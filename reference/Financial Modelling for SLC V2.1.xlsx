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hika\Documents\Commons\Housing Commons\Finance\"/>
    </mc:Choice>
  </mc:AlternateContent>
  <xr:revisionPtr revIDLastSave="0" documentId="13_ncr:1_{F1407FBA-8394-4076-9006-8B24964AD46B}" xr6:coauthVersionLast="47" xr6:coauthVersionMax="47" xr10:uidLastSave="{00000000-0000-0000-0000-000000000000}"/>
  <bookViews>
    <workbookView xWindow="-108" yWindow="-108" windowWidth="23256" windowHeight="12456" firstSheet="6" activeTab="8" xr2:uid="{ACA791E2-7D24-4909-9DA9-57F5283EB181}"/>
  </bookViews>
  <sheets>
    <sheet name="Control &amp; Parameters" sheetId="2" r:id="rId1"/>
    <sheet name="Sheet2" sheetId="11" r:id="rId2"/>
    <sheet name="Scenarios" sheetId="3" r:id="rId3"/>
    <sheet name="Macro &amp; Indexation" sheetId="4" r:id="rId4"/>
    <sheet name="Growth Engine" sheetId="5" r:id="rId5"/>
    <sheet name="Capital &amp; Debt" sheetId="6" r:id="rId6"/>
    <sheet name="Asset Register" sheetId="7" r:id="rId7"/>
    <sheet name="Financial Statements" sheetId="8" r:id="rId8"/>
    <sheet name="Dashboard" sheetId="9" r:id="rId9"/>
    <sheet name="Monthly Cash Flow" sheetId="10" r:id="rId10"/>
  </sheets>
  <definedNames>
    <definedName name="acct_early">'Control &amp; Parameters'!$C$52</definedName>
    <definedName name="acct_target">'Control &amp; Parameters'!$C$57</definedName>
    <definedName name="acq_month">'Control &amp; Parameters'!$C$91</definedName>
    <definedName name="acq_year1">'Control &amp; Parameters'!$C$67</definedName>
    <definedName name="acq_year2">'Control &amp; Parameters'!$C$68</definedName>
    <definedName name="acq_year3">'Control &amp; Parameters'!$C$69</definedName>
    <definedName name="admin_per_prop">'Control &amp; Parameters'!$C$60</definedName>
    <definedName name="avg_price">'Control &amp; Parameters'!$C$45</definedName>
    <definedName name="base_calendar_year">'Control &amp; Parameters'!$C$11</definedName>
    <definedName name="beq_baseline">'Control &amp; Parameters'!$C$37</definedName>
    <definedName name="beq_growth_mult">'Control &amp; Parameters'!$C$39</definedName>
    <definedName name="board_early">'Control &amp; Parameters'!$C$51</definedName>
    <definedName name="board_target">'Control &amp; Parameters'!$C$56</definedName>
    <definedName name="constrain_growth">'Control &amp; Parameters'!$C$89</definedName>
    <definedName name="conveyancing">'Control &amp; Parameters'!$C$47</definedName>
    <definedName name="cpi_general">'Control &amp; Parameters'!$C$8</definedName>
    <definedName name="cs_baseline_issue">'Control &amp; Parameters'!$C$32</definedName>
    <definedName name="cs_dividend_rate">'Control &amp; Parameters'!$C$28</definedName>
    <definedName name="cs_issue_cost_pct">'Control &amp; Parameters'!$C$31</definedName>
    <definedName name="cs_max_pct_capital">'Control &amp; Parameters'!$C$29</definedName>
    <definedName name="cs_takeup_mult">'Control &amp; Parameters'!$C$33</definedName>
    <definedName name="cs_withdrawal_rate">'Control &amp; Parameters'!$C$34</definedName>
    <definedName name="cs_withdrawal_years">'Control &amp; Parameters'!$C$30</definedName>
    <definedName name="ct_exempt_toggle">'Control &amp; Parameters'!$C$84</definedName>
    <definedName name="ct_rate">'Control &amp; Parameters'!$C$85</definedName>
    <definedName name="debt_pay_freq">'Control &amp; Parameters'!$C$92</definedName>
    <definedName name="div_month">'Control &amp; Parameters'!$C$93</definedName>
    <definedName name="fca_early">'Control &amp; Parameters'!$C$53</definedName>
    <definedName name="fca_target">'Control &amp; Parameters'!$C$58</definedName>
    <definedName name="founding_capital">'Control &amp; Parameters'!$C$38</definedName>
    <definedName name="gift_aid_rate">'Control &amp; Parameters'!$C$87</definedName>
    <definedName name="gift_aid_toggle">'Control &amp; Parameters'!$C$86</definedName>
    <definedName name="gift_baseline">'Control &amp; Parameters'!$C$36</definedName>
    <definedName name="gross_yield">'Control &amp; Parameters'!$C$41</definedName>
    <definedName name="hpi_premium">'Control &amp; Parameters'!$C$10</definedName>
    <definedName name="hpi_shock_pct">'Control &amp; Parameters'!$C$80</definedName>
    <definedName name="hpi_shock_year">'Control &amp; Parameters'!$C$79</definedName>
    <definedName name="ins_early">'Control &amp; Parameters'!$C$54</definedName>
    <definedName name="ins_target">'Control &amp; Parameters'!$C$59</definedName>
    <definedName name="lc_share">'Control &amp; Parameters'!$C$42</definedName>
    <definedName name="logistic_ceiling">'Control &amp; Parameters'!$C$72</definedName>
    <definedName name="logistic_dbl_yrs">'Control &amp; Parameters'!$C$73</definedName>
    <definedName name="logistic_floor">'Control &amp; Parameters'!$C$71</definedName>
    <definedName name="logistic_start_yr">'Control &amp; Parameters'!$C$70</definedName>
    <definedName name="maint_per_prop">'Control &amp; Parameters'!$C$76</definedName>
    <definedName name="min_cash_buffer">'Control &amp; Parameters'!$C$65</definedName>
    <definedName name="pf_coupon_spread">'Control &amp; Parameters'!$C$17</definedName>
    <definedName name="pf_fund_op_margin">'Control &amp; Parameters'!$C$15</definedName>
    <definedName name="pf_fund_reg_charge">'Control &amp; Parameters'!$C$16</definedName>
    <definedName name="pf_index_label">'Control &amp; Parameters'!$C$13</definedName>
    <definedName name="pf_invest_phase_yrs">'Control &amp; Parameters'!$C$19</definedName>
    <definedName name="pf_investor_rate">'Control &amp; Parameters'!$C$14</definedName>
    <definedName name="pf_ltv_limit">'Control &amp; Parameters'!$C$22</definedName>
    <definedName name="pf_max_raise">'Control &amp; Parameters'!$C$18</definedName>
    <definedName name="pf_refi_amort_yrs">'Control &amp; Parameters'!$C$26</definedName>
    <definedName name="pf_refi_rate">'Control &amp; Parameters'!$C$25</definedName>
    <definedName name="pf_refi_toggle">'Control &amp; Parameters'!$C$23</definedName>
    <definedName name="pf_refi_year">'Control &amp; Parameters'!$C$24</definedName>
    <definedName name="pf_release_rate">'Control &amp; Parameters'!$C$21</definedName>
    <definedName name="pf_release_start_yr">'Control &amp; Parameters'!$C$20</definedName>
    <definedName name="rent_inflation">'Control &amp; Parameters'!$C$9</definedName>
    <definedName name="rent_shock_rate">'Control &amp; Parameters'!$C$82</definedName>
    <definedName name="rent_shock_years">'Control &amp; Parameters'!$C$81</definedName>
    <definedName name="reserve_build_year">'Control &amp; Parameters'!$C$64</definedName>
    <definedName name="reserve_min_months">'Control &amp; Parameters'!$C$63</definedName>
    <definedName name="reserve_tgt_months">'Control &amp; Parameters'!$C$62</definedName>
    <definedName name="retrofit_cost">'Control &amp; Parameters'!$C$49</definedName>
    <definedName name="scenario_id">'Control &amp; Parameters'!$C$5</definedName>
    <definedName name="sdlt_rate">'Control &amp; Parameters'!$C$46</definedName>
    <definedName name="sinking_per_prop">'Control &amp; Parameters'!$C$75</definedName>
    <definedName name="sinking_return">'Control &amp; Parameters'!$C$77</definedName>
    <definedName name="survey_cost">'Control &amp; Parameters'!$C$48</definedName>
    <definedName name="void_rate">'Control &amp; Parameters'!$C$43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 i="3" l="1"/>
  <c r="B7" i="3"/>
  <c r="C7" i="3"/>
  <c r="D7" i="3"/>
  <c r="E7" i="3"/>
  <c r="A8" i="3"/>
  <c r="B8" i="3"/>
  <c r="C8" i="3"/>
  <c r="D8" i="3"/>
  <c r="E8" i="3"/>
  <c r="A9" i="3"/>
  <c r="B9" i="3"/>
  <c r="C9" i="3"/>
  <c r="D9" i="3"/>
  <c r="A10" i="3"/>
  <c r="B10" i="3"/>
  <c r="C10" i="3"/>
  <c r="D10" i="3"/>
  <c r="A11" i="3"/>
  <c r="B11" i="3"/>
  <c r="C11" i="3"/>
  <c r="A12" i="3"/>
  <c r="B12" i="3"/>
  <c r="C12" i="3"/>
  <c r="D12" i="3"/>
  <c r="E12" i="3"/>
  <c r="A13" i="3"/>
  <c r="B13" i="3"/>
  <c r="C13" i="3"/>
  <c r="A14" i="3"/>
  <c r="B14" i="3"/>
  <c r="C14" i="3"/>
  <c r="D14" i="3"/>
  <c r="E14" i="3"/>
  <c r="A15" i="3"/>
  <c r="B15" i="3"/>
  <c r="C15" i="3"/>
  <c r="A16" i="3"/>
  <c r="B16" i="3"/>
  <c r="C16" i="3"/>
  <c r="A17" i="3"/>
  <c r="B17" i="3"/>
  <c r="A18" i="3"/>
  <c r="B18" i="3"/>
  <c r="C18" i="3"/>
  <c r="A19" i="3"/>
  <c r="B19" i="3"/>
  <c r="C19" i="3"/>
  <c r="A20" i="3"/>
  <c r="B20" i="3"/>
  <c r="C20" i="3"/>
  <c r="A21" i="3"/>
  <c r="B21" i="3"/>
  <c r="C21" i="3"/>
  <c r="A22" i="3"/>
  <c r="B22" i="3"/>
  <c r="C22" i="3"/>
  <c r="D22" i="3"/>
  <c r="A23" i="3"/>
  <c r="B23" i="3"/>
  <c r="C23" i="3"/>
  <c r="A24" i="3"/>
  <c r="B24" i="3"/>
  <c r="C24" i="3"/>
  <c r="A25" i="3"/>
  <c r="B25" i="3"/>
  <c r="C25" i="3"/>
  <c r="D25" i="3"/>
  <c r="E25" i="3"/>
  <c r="A26" i="3"/>
  <c r="B26" i="3"/>
  <c r="C26" i="3"/>
  <c r="D26" i="3"/>
  <c r="E26" i="3"/>
  <c r="A27" i="3"/>
  <c r="B27" i="3"/>
  <c r="C27" i="3"/>
  <c r="D27" i="3"/>
  <c r="E27" i="3"/>
  <c r="A28" i="3"/>
  <c r="B28" i="3"/>
  <c r="C28" i="3"/>
  <c r="D28" i="3"/>
  <c r="E28" i="3"/>
  <c r="A29" i="3"/>
  <c r="B29" i="3"/>
  <c r="C29" i="3"/>
  <c r="D29" i="3"/>
  <c r="E29" i="3"/>
  <c r="A30" i="3"/>
  <c r="B30" i="3"/>
  <c r="C30" i="3"/>
  <c r="D30" i="3"/>
  <c r="E30" i="3"/>
  <c r="A31" i="3"/>
  <c r="B31" i="3"/>
  <c r="C31" i="3"/>
  <c r="D31" i="3"/>
  <c r="E31" i="3"/>
  <c r="A32" i="3"/>
  <c r="B32" i="3"/>
  <c r="C32" i="3"/>
  <c r="D32" i="3"/>
  <c r="E32" i="3"/>
  <c r="A33" i="3"/>
  <c r="B33" i="3"/>
  <c r="C33" i="3"/>
  <c r="D33" i="3"/>
  <c r="E33" i="3"/>
  <c r="A34" i="3"/>
  <c r="B34" i="3"/>
  <c r="C34" i="3"/>
  <c r="D34" i="3"/>
  <c r="E34" i="3"/>
  <c r="A35" i="3"/>
  <c r="B35" i="3"/>
  <c r="C35" i="3"/>
  <c r="D35" i="3"/>
  <c r="E35" i="3"/>
  <c r="A36" i="3"/>
  <c r="B36" i="3"/>
  <c r="C36" i="3"/>
  <c r="D36" i="3"/>
  <c r="E36" i="3"/>
  <c r="A37" i="3"/>
  <c r="B37" i="3"/>
  <c r="C37" i="3"/>
  <c r="D37" i="3"/>
  <c r="E37" i="3"/>
  <c r="A38" i="3"/>
  <c r="B38" i="3"/>
  <c r="C38" i="3"/>
  <c r="D38" i="3"/>
  <c r="E38" i="3"/>
  <c r="A39" i="3"/>
  <c r="B39" i="3"/>
  <c r="C39" i="3"/>
  <c r="D39" i="3"/>
  <c r="E39" i="3"/>
  <c r="A40" i="3"/>
  <c r="B40" i="3"/>
  <c r="C40" i="3"/>
  <c r="D40" i="3"/>
  <c r="E40" i="3"/>
  <c r="A41" i="3"/>
  <c r="B41" i="3"/>
  <c r="C41" i="3"/>
  <c r="D41" i="3"/>
  <c r="E41" i="3"/>
  <c r="A42" i="3"/>
  <c r="B42" i="3"/>
  <c r="C42" i="3"/>
  <c r="D42" i="3"/>
  <c r="E42" i="3"/>
  <c r="A43" i="3"/>
  <c r="B43" i="3"/>
  <c r="C43" i="3"/>
  <c r="D43" i="3"/>
  <c r="E43" i="3"/>
  <c r="A44" i="3"/>
  <c r="B44" i="3"/>
  <c r="C44" i="3"/>
  <c r="D44" i="3"/>
  <c r="E44" i="3"/>
  <c r="A45" i="3"/>
  <c r="B45" i="3"/>
  <c r="C45" i="3"/>
  <c r="D45" i="3"/>
  <c r="E45" i="3"/>
  <c r="A46" i="3"/>
  <c r="B46" i="3"/>
  <c r="C46" i="3"/>
  <c r="D46" i="3"/>
  <c r="E46" i="3"/>
  <c r="A47" i="3"/>
  <c r="B47" i="3"/>
  <c r="C47" i="3"/>
  <c r="D47" i="3"/>
  <c r="E47" i="3"/>
  <c r="A48" i="3"/>
  <c r="B48" i="3"/>
  <c r="C48" i="3"/>
  <c r="D48" i="3"/>
  <c r="E48" i="3"/>
  <c r="A49" i="3"/>
  <c r="B49" i="3"/>
  <c r="C49" i="3"/>
  <c r="D49" i="3"/>
  <c r="E49" i="3"/>
  <c r="A50" i="3"/>
  <c r="B50" i="3"/>
  <c r="C50" i="3"/>
  <c r="D50" i="3"/>
  <c r="E50" i="3"/>
  <c r="A51" i="3"/>
  <c r="B51" i="3"/>
  <c r="C51" i="3"/>
  <c r="D51" i="3"/>
  <c r="E51" i="3"/>
  <c r="A52" i="3"/>
  <c r="B52" i="3"/>
  <c r="C52" i="3"/>
  <c r="D52" i="3"/>
  <c r="E52" i="3"/>
  <c r="A53" i="3"/>
  <c r="B53" i="3"/>
  <c r="C53" i="3"/>
  <c r="D53" i="3"/>
  <c r="E53" i="3"/>
  <c r="A54" i="3"/>
  <c r="B54" i="3"/>
  <c r="C54" i="3"/>
  <c r="D54" i="3"/>
  <c r="E54" i="3"/>
  <c r="A55" i="3"/>
  <c r="B55" i="3"/>
  <c r="C55" i="3"/>
  <c r="D55" i="3"/>
  <c r="E55" i="3"/>
  <c r="A56" i="3"/>
  <c r="B56" i="3"/>
  <c r="C56" i="3"/>
  <c r="D56" i="3"/>
  <c r="E56" i="3"/>
  <c r="A57" i="3"/>
  <c r="B57" i="3"/>
  <c r="C57" i="3"/>
  <c r="D57" i="3"/>
  <c r="E57" i="3"/>
  <c r="A58" i="3"/>
  <c r="B58" i="3"/>
  <c r="C58" i="3"/>
  <c r="D58" i="3"/>
  <c r="E58" i="3"/>
  <c r="A59" i="3"/>
  <c r="B59" i="3"/>
  <c r="C59" i="3"/>
  <c r="D59" i="3"/>
  <c r="E59" i="3"/>
  <c r="A60" i="3"/>
  <c r="B60" i="3"/>
  <c r="C60" i="3"/>
  <c r="D60" i="3"/>
  <c r="E60" i="3"/>
  <c r="A61" i="3"/>
  <c r="B61" i="3"/>
  <c r="C61" i="3"/>
  <c r="D61" i="3"/>
  <c r="E61" i="3"/>
  <c r="A62" i="3"/>
  <c r="B62" i="3"/>
  <c r="C62" i="3"/>
  <c r="D62" i="3"/>
  <c r="E62" i="3"/>
  <c r="A63" i="3"/>
  <c r="B63" i="3"/>
  <c r="C63" i="3"/>
  <c r="D63" i="3"/>
  <c r="E63" i="3"/>
  <c r="A64" i="3"/>
  <c r="B64" i="3"/>
  <c r="C64" i="3"/>
  <c r="D64" i="3"/>
  <c r="E64" i="3"/>
  <c r="A65" i="3"/>
  <c r="B65" i="3"/>
  <c r="C65" i="3"/>
  <c r="D65" i="3"/>
  <c r="E65" i="3"/>
  <c r="A66" i="3"/>
  <c r="B66" i="3"/>
  <c r="C66" i="3"/>
  <c r="D66" i="3"/>
  <c r="E66" i="3"/>
  <c r="A67" i="3"/>
  <c r="B67" i="3"/>
  <c r="C67" i="3"/>
  <c r="D67" i="3"/>
  <c r="E67" i="3"/>
  <c r="A68" i="3"/>
  <c r="B68" i="3"/>
  <c r="C68" i="3"/>
  <c r="D68" i="3"/>
  <c r="E68" i="3"/>
  <c r="A69" i="3"/>
  <c r="B69" i="3"/>
  <c r="C69" i="3"/>
  <c r="D69" i="3"/>
  <c r="E69" i="3"/>
  <c r="A70" i="3"/>
  <c r="B70" i="3"/>
  <c r="C70" i="3"/>
  <c r="D70" i="3"/>
  <c r="E70" i="3"/>
  <c r="A71" i="3"/>
  <c r="B71" i="3"/>
  <c r="C71" i="3"/>
  <c r="D71" i="3"/>
  <c r="E71" i="3"/>
  <c r="A72" i="3"/>
  <c r="B72" i="3"/>
  <c r="C72" i="3"/>
  <c r="D72" i="3"/>
  <c r="E72" i="3"/>
  <c r="A73" i="3"/>
  <c r="B73" i="3"/>
  <c r="C73" i="3"/>
  <c r="D73" i="3"/>
  <c r="E73" i="3"/>
  <c r="A74" i="3"/>
  <c r="B74" i="3"/>
  <c r="C74" i="3"/>
  <c r="D74" i="3"/>
  <c r="E74" i="3"/>
  <c r="A75" i="3"/>
  <c r="B75" i="3"/>
  <c r="C75" i="3"/>
  <c r="D75" i="3"/>
  <c r="E75" i="3"/>
  <c r="A76" i="3"/>
  <c r="B76" i="3"/>
  <c r="C76" i="3"/>
  <c r="D76" i="3"/>
  <c r="E76" i="3"/>
  <c r="A77" i="3"/>
  <c r="B77" i="3"/>
  <c r="C77" i="3"/>
  <c r="D77" i="3"/>
  <c r="E77" i="3"/>
  <c r="A78" i="3"/>
  <c r="B78" i="3"/>
  <c r="C78" i="3"/>
  <c r="D78" i="3"/>
  <c r="E78" i="3"/>
  <c r="A79" i="3"/>
  <c r="B79" i="3"/>
  <c r="C79" i="3"/>
  <c r="D79" i="3"/>
  <c r="E79" i="3"/>
  <c r="A80" i="3"/>
  <c r="B80" i="3"/>
  <c r="C80" i="3"/>
  <c r="D80" i="3"/>
  <c r="E80" i="3"/>
  <c r="A81" i="3"/>
  <c r="B81" i="3"/>
  <c r="C81" i="3"/>
  <c r="D81" i="3"/>
  <c r="E81" i="3"/>
  <c r="A82" i="3"/>
  <c r="B82" i="3"/>
  <c r="C82" i="3"/>
  <c r="D82" i="3"/>
  <c r="E82" i="3"/>
  <c r="A83" i="3"/>
  <c r="B83" i="3"/>
  <c r="C83" i="3"/>
  <c r="D83" i="3"/>
  <c r="E83" i="3"/>
  <c r="A84" i="3"/>
  <c r="B84" i="3"/>
  <c r="C84" i="3"/>
  <c r="D84" i="3"/>
  <c r="E84" i="3"/>
  <c r="A85" i="3"/>
  <c r="B85" i="3"/>
  <c r="C85" i="3"/>
  <c r="A86" i="3"/>
  <c r="B86" i="3"/>
  <c r="C86" i="3"/>
  <c r="A87" i="3"/>
  <c r="B87" i="3"/>
  <c r="C87" i="3"/>
  <c r="A88" i="3"/>
  <c r="B88" i="3"/>
  <c r="C88" i="3"/>
  <c r="D88" i="3"/>
  <c r="E88" i="3"/>
  <c r="A89" i="3"/>
  <c r="B89" i="3"/>
  <c r="C89" i="3"/>
  <c r="A90" i="3"/>
  <c r="B90" i="3"/>
  <c r="C90" i="3"/>
  <c r="D90" i="3"/>
  <c r="E90" i="3"/>
  <c r="A91" i="3"/>
  <c r="B91" i="3"/>
  <c r="C91" i="3"/>
  <c r="A92" i="3"/>
  <c r="B92" i="3"/>
  <c r="C92" i="3"/>
  <c r="A93" i="3"/>
  <c r="B93" i="3"/>
  <c r="C93" i="3"/>
  <c r="D30"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I6" i="10"/>
  <c r="AJ6" i="10"/>
  <c r="AK6" i="10"/>
  <c r="AL6" i="10"/>
  <c r="AM6" i="10"/>
  <c r="AN6" i="10"/>
  <c r="AO6" i="10"/>
  <c r="AP6" i="10"/>
  <c r="AQ6" i="10"/>
  <c r="AR6" i="10"/>
  <c r="AS6" i="10"/>
  <c r="AT6" i="10"/>
  <c r="AU6" i="10"/>
  <c r="AV6" i="10"/>
  <c r="AW6" i="10"/>
  <c r="AX6" i="10"/>
  <c r="AY6" i="10"/>
  <c r="AZ6" i="10"/>
  <c r="BA6" i="10"/>
  <c r="BB6" i="10"/>
  <c r="BC6" i="10"/>
  <c r="BD6" i="10"/>
  <c r="BE6" i="10"/>
  <c r="BF6" i="10"/>
  <c r="BG6" i="10"/>
  <c r="BH6" i="10"/>
  <c r="BI6" i="10"/>
  <c r="BJ6" i="10"/>
  <c r="BK6" i="10"/>
  <c r="G93" i="2"/>
  <c r="E93" i="3" s="1"/>
  <c r="F93" i="2"/>
  <c r="D93" i="3" s="1"/>
  <c r="G92" i="2"/>
  <c r="E92" i="3" s="1"/>
  <c r="F92" i="2"/>
  <c r="D92" i="3" s="1"/>
  <c r="G91" i="2"/>
  <c r="E91" i="3" s="1"/>
  <c r="F91" i="2"/>
  <c r="D91" i="3" s="1"/>
  <c r="E35" i="9"/>
  <c r="D35" i="9"/>
  <c r="E12" i="6"/>
  <c r="F12"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AH12" i="6"/>
  <c r="AI12" i="6"/>
  <c r="AJ12" i="6"/>
  <c r="AK12" i="6"/>
  <c r="AL12" i="6"/>
  <c r="AM12" i="6"/>
  <c r="AN12" i="6"/>
  <c r="AO12" i="6"/>
  <c r="AP12" i="6"/>
  <c r="AQ12" i="6"/>
  <c r="AR12" i="6"/>
  <c r="AS12" i="6"/>
  <c r="AT12" i="6"/>
  <c r="AU12" i="6"/>
  <c r="AV12" i="6"/>
  <c r="AW12" i="6"/>
  <c r="AX12" i="6"/>
  <c r="AY12" i="6"/>
  <c r="AZ12" i="6"/>
  <c r="BA12" i="6"/>
  <c r="G82" i="2"/>
  <c r="F82" i="2"/>
  <c r="F81" i="2"/>
  <c r="G77" i="2"/>
  <c r="G65" i="2"/>
  <c r="F65" i="2"/>
  <c r="G38" i="2"/>
  <c r="F38" i="2"/>
  <c r="G37" i="2"/>
  <c r="D46" i="6"/>
  <c r="D33" i="6"/>
  <c r="D30" i="6"/>
  <c r="G9" i="2"/>
  <c r="E9" i="3" s="1"/>
  <c r="G10" i="2"/>
  <c r="E10" i="3" s="1"/>
  <c r="F11" i="2"/>
  <c r="D11" i="3" s="1"/>
  <c r="G11" i="2"/>
  <c r="E11" i="3" s="1"/>
  <c r="F13" i="2"/>
  <c r="D13" i="3" s="1"/>
  <c r="G13" i="2"/>
  <c r="E13" i="3" s="1"/>
  <c r="F15" i="2"/>
  <c r="D15" i="3" s="1"/>
  <c r="G15" i="2"/>
  <c r="E15" i="3" s="1"/>
  <c r="F16" i="2"/>
  <c r="D16" i="3" s="1"/>
  <c r="G16" i="2"/>
  <c r="E16" i="3" s="1"/>
  <c r="E17" i="2"/>
  <c r="C17" i="3" s="1"/>
  <c r="F17" i="2"/>
  <c r="D17" i="3" s="1"/>
  <c r="G17" i="2"/>
  <c r="E17" i="3" s="1"/>
  <c r="F18" i="2"/>
  <c r="D18" i="3" s="1"/>
  <c r="G18" i="2"/>
  <c r="E18" i="3" s="1"/>
  <c r="F19" i="2"/>
  <c r="D19" i="3" s="1"/>
  <c r="G19" i="2"/>
  <c r="E19" i="3" s="1"/>
  <c r="F20" i="2"/>
  <c r="D20" i="3" s="1"/>
  <c r="G20" i="2"/>
  <c r="E20" i="3" s="1"/>
  <c r="F21" i="2"/>
  <c r="D21" i="3" s="1"/>
  <c r="G21" i="2"/>
  <c r="E21" i="3" s="1"/>
  <c r="G22" i="2"/>
  <c r="E22" i="3" s="1"/>
  <c r="F23" i="2"/>
  <c r="D23" i="3" s="1"/>
  <c r="G23" i="2"/>
  <c r="E23" i="3" s="1"/>
  <c r="F24" i="2"/>
  <c r="D24" i="3" s="1"/>
  <c r="G24" i="2"/>
  <c r="E24" i="3" s="1"/>
  <c r="G25" i="2"/>
  <c r="F26" i="2"/>
  <c r="G26" i="2"/>
  <c r="F28" i="2"/>
  <c r="G28" i="2"/>
  <c r="F29" i="2"/>
  <c r="G29" i="2"/>
  <c r="F30" i="2"/>
  <c r="G30" i="2"/>
  <c r="G31" i="2"/>
  <c r="F32" i="2"/>
  <c r="G32" i="2"/>
  <c r="G34" i="2"/>
  <c r="G36" i="2"/>
  <c r="G39" i="2"/>
  <c r="G41" i="2"/>
  <c r="G42" i="2"/>
  <c r="F45" i="2"/>
  <c r="G45" i="2"/>
  <c r="F46" i="2"/>
  <c r="G46" i="2"/>
  <c r="F47" i="2"/>
  <c r="G47" i="2"/>
  <c r="F48" i="2"/>
  <c r="G48" i="2"/>
  <c r="F49" i="2"/>
  <c r="G49" i="2"/>
  <c r="F51" i="2"/>
  <c r="G51" i="2"/>
  <c r="F52" i="2"/>
  <c r="G52" i="2"/>
  <c r="F53" i="2"/>
  <c r="G53" i="2"/>
  <c r="F54" i="2"/>
  <c r="G54" i="2"/>
  <c r="F56" i="2"/>
  <c r="G56" i="2"/>
  <c r="F57" i="2"/>
  <c r="G57" i="2"/>
  <c r="F58" i="2"/>
  <c r="G58" i="2"/>
  <c r="F59" i="2"/>
  <c r="G59" i="2"/>
  <c r="F60" i="2"/>
  <c r="G60" i="2"/>
  <c r="F62" i="2"/>
  <c r="G62" i="2"/>
  <c r="F63" i="2"/>
  <c r="G63" i="2"/>
  <c r="F64" i="2"/>
  <c r="G64" i="2"/>
  <c r="F67" i="2"/>
  <c r="G67" i="2"/>
  <c r="F68" i="2"/>
  <c r="G68" i="2"/>
  <c r="F69" i="2"/>
  <c r="G69" i="2"/>
  <c r="F70" i="2"/>
  <c r="G70" i="2"/>
  <c r="F71" i="2"/>
  <c r="G71" i="2"/>
  <c r="G72" i="2"/>
  <c r="G73" i="2"/>
  <c r="F75" i="2"/>
  <c r="G75" i="2"/>
  <c r="F76" i="2"/>
  <c r="G76" i="2"/>
  <c r="G80" i="2"/>
  <c r="F84" i="2"/>
  <c r="G84" i="2"/>
  <c r="F85" i="2"/>
  <c r="D85" i="3" s="1"/>
  <c r="G85" i="2"/>
  <c r="E85" i="3" s="1"/>
  <c r="F86" i="2"/>
  <c r="D86" i="3" s="1"/>
  <c r="G86" i="2"/>
  <c r="E86" i="3" s="1"/>
  <c r="F87" i="2"/>
  <c r="D87" i="3" s="1"/>
  <c r="G87" i="2"/>
  <c r="E87" i="3" s="1"/>
  <c r="F89" i="2"/>
  <c r="D89" i="3" s="1"/>
  <c r="G89" i="2"/>
  <c r="E89" i="3" s="1"/>
  <c r="D19" i="6"/>
  <c r="E36" i="9"/>
  <c r="D36" i="9"/>
  <c r="E34" i="9"/>
  <c r="D34" i="9"/>
  <c r="E30" i="9"/>
  <c r="D30" i="9"/>
  <c r="C4" i="2"/>
  <c r="C5" i="2" s="1"/>
  <c r="D62" i="8"/>
  <c r="D21" i="6"/>
  <c r="D131" i="7"/>
  <c r="D96" i="7"/>
  <c r="E96" i="7"/>
  <c r="F96" i="7"/>
  <c r="G96" i="7"/>
  <c r="H96" i="7"/>
  <c r="I96" i="7"/>
  <c r="J96" i="7"/>
  <c r="K96" i="7"/>
  <c r="L96" i="7"/>
  <c r="M96" i="7"/>
  <c r="N96" i="7"/>
  <c r="O96" i="7"/>
  <c r="P96" i="7"/>
  <c r="Q96" i="7"/>
  <c r="R96" i="7"/>
  <c r="S96" i="7"/>
  <c r="T96" i="7"/>
  <c r="U96" i="7"/>
  <c r="V96" i="7"/>
  <c r="W96" i="7"/>
  <c r="X96" i="7"/>
  <c r="Y96" i="7"/>
  <c r="Z96" i="7"/>
  <c r="AA96" i="7"/>
  <c r="AB96" i="7"/>
  <c r="AC96" i="7"/>
  <c r="AD96" i="7"/>
  <c r="AE96" i="7"/>
  <c r="AF96" i="7"/>
  <c r="AG96" i="7"/>
  <c r="D97" i="7"/>
  <c r="E97" i="7"/>
  <c r="F97" i="7"/>
  <c r="G97" i="7"/>
  <c r="H97" i="7"/>
  <c r="I97" i="7"/>
  <c r="J97" i="7"/>
  <c r="K97" i="7"/>
  <c r="L97" i="7"/>
  <c r="M97" i="7"/>
  <c r="N97" i="7"/>
  <c r="O97" i="7"/>
  <c r="P97" i="7"/>
  <c r="Q97" i="7"/>
  <c r="R97" i="7"/>
  <c r="S97" i="7"/>
  <c r="T97" i="7"/>
  <c r="U97" i="7"/>
  <c r="V97" i="7"/>
  <c r="W97" i="7"/>
  <c r="X97" i="7"/>
  <c r="Y97" i="7"/>
  <c r="Z97" i="7"/>
  <c r="AA97" i="7"/>
  <c r="AB97" i="7"/>
  <c r="AC97" i="7"/>
  <c r="AD97" i="7"/>
  <c r="AE97" i="7"/>
  <c r="AF97" i="7"/>
  <c r="AG97" i="7"/>
  <c r="AH97" i="7"/>
  <c r="D98" i="7"/>
  <c r="E98" i="7"/>
  <c r="F98" i="7"/>
  <c r="G98" i="7"/>
  <c r="H98" i="7"/>
  <c r="I98" i="7"/>
  <c r="J98" i="7"/>
  <c r="K98" i="7"/>
  <c r="L98" i="7"/>
  <c r="M98" i="7"/>
  <c r="N98" i="7"/>
  <c r="O98" i="7"/>
  <c r="P98" i="7"/>
  <c r="Q98" i="7"/>
  <c r="R98" i="7"/>
  <c r="S98" i="7"/>
  <c r="T98" i="7"/>
  <c r="U98" i="7"/>
  <c r="V98" i="7"/>
  <c r="W98" i="7"/>
  <c r="X98" i="7"/>
  <c r="Y98" i="7"/>
  <c r="Z98" i="7"/>
  <c r="AA98" i="7"/>
  <c r="AB98" i="7"/>
  <c r="AC98" i="7"/>
  <c r="AD98" i="7"/>
  <c r="AE98" i="7"/>
  <c r="AF98" i="7"/>
  <c r="AG98" i="7"/>
  <c r="AH98" i="7"/>
  <c r="AI98" i="7"/>
  <c r="D99" i="7"/>
  <c r="E99" i="7"/>
  <c r="F99" i="7"/>
  <c r="G99" i="7"/>
  <c r="H99" i="7"/>
  <c r="I99" i="7"/>
  <c r="J99" i="7"/>
  <c r="K99" i="7"/>
  <c r="L99" i="7"/>
  <c r="M99" i="7"/>
  <c r="N99" i="7"/>
  <c r="O99" i="7"/>
  <c r="P99" i="7"/>
  <c r="Q99" i="7"/>
  <c r="R99" i="7"/>
  <c r="S99" i="7"/>
  <c r="T99" i="7"/>
  <c r="U99" i="7"/>
  <c r="V99" i="7"/>
  <c r="W99" i="7"/>
  <c r="X99" i="7"/>
  <c r="Y99" i="7"/>
  <c r="Z99" i="7"/>
  <c r="AA99" i="7"/>
  <c r="AB99" i="7"/>
  <c r="AC99" i="7"/>
  <c r="AD99" i="7"/>
  <c r="AE99" i="7"/>
  <c r="AF99" i="7"/>
  <c r="AG99" i="7"/>
  <c r="AH99" i="7"/>
  <c r="AI99" i="7"/>
  <c r="AJ99" i="7"/>
  <c r="D100" i="7"/>
  <c r="E100" i="7"/>
  <c r="F100" i="7"/>
  <c r="G100" i="7"/>
  <c r="H100" i="7"/>
  <c r="I100" i="7"/>
  <c r="J100" i="7"/>
  <c r="K100" i="7"/>
  <c r="L100" i="7"/>
  <c r="M100" i="7"/>
  <c r="N100" i="7"/>
  <c r="O100" i="7"/>
  <c r="P100" i="7"/>
  <c r="Q100" i="7"/>
  <c r="R100" i="7"/>
  <c r="S100" i="7"/>
  <c r="T100" i="7"/>
  <c r="U100" i="7"/>
  <c r="V100" i="7"/>
  <c r="W100" i="7"/>
  <c r="X100" i="7"/>
  <c r="Y100" i="7"/>
  <c r="Z100" i="7"/>
  <c r="AA100" i="7"/>
  <c r="AB100" i="7"/>
  <c r="AC100" i="7"/>
  <c r="AD100" i="7"/>
  <c r="AE100" i="7"/>
  <c r="AF100" i="7"/>
  <c r="AG100" i="7"/>
  <c r="AH100" i="7"/>
  <c r="AI100" i="7"/>
  <c r="AJ100" i="7"/>
  <c r="AK100" i="7"/>
  <c r="D101" i="7"/>
  <c r="E101" i="7"/>
  <c r="F101" i="7"/>
  <c r="G101" i="7"/>
  <c r="H101" i="7"/>
  <c r="I101" i="7"/>
  <c r="J101" i="7"/>
  <c r="K101" i="7"/>
  <c r="L101" i="7"/>
  <c r="M101" i="7"/>
  <c r="N101" i="7"/>
  <c r="O101" i="7"/>
  <c r="P101" i="7"/>
  <c r="Q101" i="7"/>
  <c r="R101" i="7"/>
  <c r="S101" i="7"/>
  <c r="T101" i="7"/>
  <c r="U101" i="7"/>
  <c r="V101" i="7"/>
  <c r="W101" i="7"/>
  <c r="X101" i="7"/>
  <c r="Y101" i="7"/>
  <c r="Z101" i="7"/>
  <c r="AA101" i="7"/>
  <c r="AB101" i="7"/>
  <c r="AC101" i="7"/>
  <c r="AD101" i="7"/>
  <c r="AE101" i="7"/>
  <c r="AF101" i="7"/>
  <c r="AG101" i="7"/>
  <c r="AH101" i="7"/>
  <c r="AI101" i="7"/>
  <c r="AJ101" i="7"/>
  <c r="AK101" i="7"/>
  <c r="AL101" i="7"/>
  <c r="D102" i="7"/>
  <c r="E102" i="7"/>
  <c r="F102" i="7"/>
  <c r="G102" i="7"/>
  <c r="H102" i="7"/>
  <c r="I102" i="7"/>
  <c r="J102" i="7"/>
  <c r="K102" i="7"/>
  <c r="L102" i="7"/>
  <c r="M102" i="7"/>
  <c r="N102" i="7"/>
  <c r="O102" i="7"/>
  <c r="P102" i="7"/>
  <c r="Q102" i="7"/>
  <c r="R102" i="7"/>
  <c r="S102" i="7"/>
  <c r="T102" i="7"/>
  <c r="U102" i="7"/>
  <c r="V102" i="7"/>
  <c r="W102" i="7"/>
  <c r="X102" i="7"/>
  <c r="Y102" i="7"/>
  <c r="Z102" i="7"/>
  <c r="AA102" i="7"/>
  <c r="AB102" i="7"/>
  <c r="AC102" i="7"/>
  <c r="AD102" i="7"/>
  <c r="AE102" i="7"/>
  <c r="AF102" i="7"/>
  <c r="AG102" i="7"/>
  <c r="AH102" i="7"/>
  <c r="AI102" i="7"/>
  <c r="AJ102" i="7"/>
  <c r="AK102" i="7"/>
  <c r="AL102" i="7"/>
  <c r="AM102" i="7"/>
  <c r="D103" i="7"/>
  <c r="E103" i="7"/>
  <c r="F103" i="7"/>
  <c r="G103" i="7"/>
  <c r="H103" i="7"/>
  <c r="I103" i="7"/>
  <c r="J103" i="7"/>
  <c r="K103" i="7"/>
  <c r="L103" i="7"/>
  <c r="M103" i="7"/>
  <c r="N103" i="7"/>
  <c r="O103" i="7"/>
  <c r="P103" i="7"/>
  <c r="Q103" i="7"/>
  <c r="R103" i="7"/>
  <c r="S103" i="7"/>
  <c r="T103" i="7"/>
  <c r="U103" i="7"/>
  <c r="V103" i="7"/>
  <c r="W103" i="7"/>
  <c r="X103" i="7"/>
  <c r="Y103" i="7"/>
  <c r="Z103" i="7"/>
  <c r="AA103" i="7"/>
  <c r="AB103" i="7"/>
  <c r="AC103" i="7"/>
  <c r="AD103" i="7"/>
  <c r="AE103" i="7"/>
  <c r="AF103" i="7"/>
  <c r="AG103" i="7"/>
  <c r="AH103" i="7"/>
  <c r="AI103" i="7"/>
  <c r="AJ103" i="7"/>
  <c r="AK103" i="7"/>
  <c r="AL103" i="7"/>
  <c r="AM103" i="7"/>
  <c r="AN103" i="7"/>
  <c r="D104" i="7"/>
  <c r="E104" i="7"/>
  <c r="F104" i="7"/>
  <c r="G104" i="7"/>
  <c r="H104" i="7"/>
  <c r="I104" i="7"/>
  <c r="J104" i="7"/>
  <c r="K104" i="7"/>
  <c r="L104" i="7"/>
  <c r="M104" i="7"/>
  <c r="N104" i="7"/>
  <c r="O104" i="7"/>
  <c r="P104" i="7"/>
  <c r="Q104" i="7"/>
  <c r="R104" i="7"/>
  <c r="S104" i="7"/>
  <c r="T104" i="7"/>
  <c r="U104" i="7"/>
  <c r="V104" i="7"/>
  <c r="W104" i="7"/>
  <c r="X104" i="7"/>
  <c r="Y104" i="7"/>
  <c r="Z104" i="7"/>
  <c r="AA104" i="7"/>
  <c r="AB104" i="7"/>
  <c r="AC104" i="7"/>
  <c r="AD104" i="7"/>
  <c r="AE104" i="7"/>
  <c r="AF104" i="7"/>
  <c r="AG104" i="7"/>
  <c r="AH104" i="7"/>
  <c r="AI104" i="7"/>
  <c r="AJ104" i="7"/>
  <c r="AK104" i="7"/>
  <c r="AL104" i="7"/>
  <c r="AM104" i="7"/>
  <c r="AN104" i="7"/>
  <c r="AO104" i="7"/>
  <c r="D105" i="7"/>
  <c r="E105" i="7"/>
  <c r="F105" i="7"/>
  <c r="G105" i="7"/>
  <c r="H105" i="7"/>
  <c r="I105" i="7"/>
  <c r="J105" i="7"/>
  <c r="K105" i="7"/>
  <c r="L105" i="7"/>
  <c r="M105" i="7"/>
  <c r="N105" i="7"/>
  <c r="O105" i="7"/>
  <c r="P105" i="7"/>
  <c r="Q105" i="7"/>
  <c r="R105" i="7"/>
  <c r="S105" i="7"/>
  <c r="T105" i="7"/>
  <c r="U105" i="7"/>
  <c r="V105" i="7"/>
  <c r="W105" i="7"/>
  <c r="X105" i="7"/>
  <c r="Y105" i="7"/>
  <c r="Z105" i="7"/>
  <c r="AA105" i="7"/>
  <c r="AB105" i="7"/>
  <c r="AC105" i="7"/>
  <c r="AD105" i="7"/>
  <c r="AE105" i="7"/>
  <c r="AF105" i="7"/>
  <c r="AG105" i="7"/>
  <c r="AH105" i="7"/>
  <c r="AI105" i="7"/>
  <c r="AJ105" i="7"/>
  <c r="AK105" i="7"/>
  <c r="AL105" i="7"/>
  <c r="AM105" i="7"/>
  <c r="AN105" i="7"/>
  <c r="AO105" i="7"/>
  <c r="AP105" i="7"/>
  <c r="D106" i="7"/>
  <c r="E106" i="7"/>
  <c r="F106" i="7"/>
  <c r="G106" i="7"/>
  <c r="H106" i="7"/>
  <c r="I106" i="7"/>
  <c r="J106" i="7"/>
  <c r="K106" i="7"/>
  <c r="L106" i="7"/>
  <c r="M106" i="7"/>
  <c r="N106" i="7"/>
  <c r="O106" i="7"/>
  <c r="P106" i="7"/>
  <c r="Q106" i="7"/>
  <c r="R106" i="7"/>
  <c r="S106" i="7"/>
  <c r="T106" i="7"/>
  <c r="U106" i="7"/>
  <c r="V106" i="7"/>
  <c r="W106" i="7"/>
  <c r="X106" i="7"/>
  <c r="Y106" i="7"/>
  <c r="Z106" i="7"/>
  <c r="AA106" i="7"/>
  <c r="AB106" i="7"/>
  <c r="AC106" i="7"/>
  <c r="AD106" i="7"/>
  <c r="AE106" i="7"/>
  <c r="AF106" i="7"/>
  <c r="AG106" i="7"/>
  <c r="AH106" i="7"/>
  <c r="AI106" i="7"/>
  <c r="AJ106" i="7"/>
  <c r="AK106" i="7"/>
  <c r="AL106" i="7"/>
  <c r="AM106" i="7"/>
  <c r="AN106" i="7"/>
  <c r="AO106" i="7"/>
  <c r="AP106" i="7"/>
  <c r="AQ106" i="7"/>
  <c r="D107" i="7"/>
  <c r="E107" i="7"/>
  <c r="F107" i="7"/>
  <c r="G107" i="7"/>
  <c r="H107" i="7"/>
  <c r="I107" i="7"/>
  <c r="J107" i="7"/>
  <c r="K107" i="7"/>
  <c r="L107" i="7"/>
  <c r="M107" i="7"/>
  <c r="N107" i="7"/>
  <c r="O107" i="7"/>
  <c r="P107" i="7"/>
  <c r="Q107" i="7"/>
  <c r="R107" i="7"/>
  <c r="S107" i="7"/>
  <c r="T107" i="7"/>
  <c r="U107" i="7"/>
  <c r="V107" i="7"/>
  <c r="W107" i="7"/>
  <c r="X107" i="7"/>
  <c r="Y107" i="7"/>
  <c r="Z107" i="7"/>
  <c r="AA107" i="7"/>
  <c r="AB107" i="7"/>
  <c r="AC107" i="7"/>
  <c r="AD107" i="7"/>
  <c r="AE107" i="7"/>
  <c r="AF107" i="7"/>
  <c r="AG107" i="7"/>
  <c r="AH107" i="7"/>
  <c r="AI107" i="7"/>
  <c r="AJ107" i="7"/>
  <c r="AK107" i="7"/>
  <c r="AL107" i="7"/>
  <c r="AM107" i="7"/>
  <c r="AN107" i="7"/>
  <c r="AO107" i="7"/>
  <c r="AP107" i="7"/>
  <c r="AQ107" i="7"/>
  <c r="AR107" i="7"/>
  <c r="D108" i="7"/>
  <c r="E108" i="7"/>
  <c r="F108" i="7"/>
  <c r="G108" i="7"/>
  <c r="H108" i="7"/>
  <c r="I108" i="7"/>
  <c r="J108" i="7"/>
  <c r="K108" i="7"/>
  <c r="L108" i="7"/>
  <c r="M108" i="7"/>
  <c r="N108" i="7"/>
  <c r="O108" i="7"/>
  <c r="P108" i="7"/>
  <c r="Q108" i="7"/>
  <c r="R108" i="7"/>
  <c r="S108" i="7"/>
  <c r="T108" i="7"/>
  <c r="U108" i="7"/>
  <c r="V108" i="7"/>
  <c r="W108" i="7"/>
  <c r="X108" i="7"/>
  <c r="Y108" i="7"/>
  <c r="Z108" i="7"/>
  <c r="AA108" i="7"/>
  <c r="AB108" i="7"/>
  <c r="AC108" i="7"/>
  <c r="AD108" i="7"/>
  <c r="AE108" i="7"/>
  <c r="AF108" i="7"/>
  <c r="AG108" i="7"/>
  <c r="AH108" i="7"/>
  <c r="AI108" i="7"/>
  <c r="AJ108" i="7"/>
  <c r="AK108" i="7"/>
  <c r="AL108" i="7"/>
  <c r="AM108" i="7"/>
  <c r="AN108" i="7"/>
  <c r="AO108" i="7"/>
  <c r="AP108" i="7"/>
  <c r="AQ108" i="7"/>
  <c r="AR108" i="7"/>
  <c r="AS108" i="7"/>
  <c r="D109" i="7"/>
  <c r="E109" i="7"/>
  <c r="F109" i="7"/>
  <c r="G109" i="7"/>
  <c r="H109" i="7"/>
  <c r="I109" i="7"/>
  <c r="J109" i="7"/>
  <c r="K109" i="7"/>
  <c r="L109" i="7"/>
  <c r="M109" i="7"/>
  <c r="N109" i="7"/>
  <c r="O109" i="7"/>
  <c r="P109" i="7"/>
  <c r="Q109" i="7"/>
  <c r="R109" i="7"/>
  <c r="S109" i="7"/>
  <c r="T109" i="7"/>
  <c r="U109" i="7"/>
  <c r="V109" i="7"/>
  <c r="W109" i="7"/>
  <c r="X109" i="7"/>
  <c r="Y109" i="7"/>
  <c r="Z109" i="7"/>
  <c r="AA109" i="7"/>
  <c r="AB109" i="7"/>
  <c r="AC109" i="7"/>
  <c r="AD109" i="7"/>
  <c r="AE109" i="7"/>
  <c r="AF109" i="7"/>
  <c r="AG109" i="7"/>
  <c r="AH109" i="7"/>
  <c r="AI109" i="7"/>
  <c r="AJ109" i="7"/>
  <c r="AK109" i="7"/>
  <c r="AL109" i="7"/>
  <c r="AM109" i="7"/>
  <c r="AN109" i="7"/>
  <c r="AO109" i="7"/>
  <c r="AP109" i="7"/>
  <c r="AQ109" i="7"/>
  <c r="AR109" i="7"/>
  <c r="AS109" i="7"/>
  <c r="AT109" i="7"/>
  <c r="D110" i="7"/>
  <c r="E110" i="7"/>
  <c r="F110" i="7"/>
  <c r="G110" i="7"/>
  <c r="H110" i="7"/>
  <c r="I110" i="7"/>
  <c r="J110" i="7"/>
  <c r="K110" i="7"/>
  <c r="L110" i="7"/>
  <c r="M110" i="7"/>
  <c r="N110" i="7"/>
  <c r="O110" i="7"/>
  <c r="P110" i="7"/>
  <c r="Q110" i="7"/>
  <c r="R110" i="7"/>
  <c r="S110" i="7"/>
  <c r="T110" i="7"/>
  <c r="U110" i="7"/>
  <c r="V110" i="7"/>
  <c r="W110" i="7"/>
  <c r="X110" i="7"/>
  <c r="Y110" i="7"/>
  <c r="Z110" i="7"/>
  <c r="AA110" i="7"/>
  <c r="AB110" i="7"/>
  <c r="AC110" i="7"/>
  <c r="AD110" i="7"/>
  <c r="AE110" i="7"/>
  <c r="AF110" i="7"/>
  <c r="AG110" i="7"/>
  <c r="AH110" i="7"/>
  <c r="AI110" i="7"/>
  <c r="AJ110" i="7"/>
  <c r="AK110" i="7"/>
  <c r="AL110" i="7"/>
  <c r="AM110" i="7"/>
  <c r="AN110" i="7"/>
  <c r="AO110" i="7"/>
  <c r="AP110" i="7"/>
  <c r="AQ110" i="7"/>
  <c r="AR110" i="7"/>
  <c r="AS110" i="7"/>
  <c r="AT110" i="7"/>
  <c r="AU110" i="7"/>
  <c r="D111" i="7"/>
  <c r="E111" i="7"/>
  <c r="F111" i="7"/>
  <c r="G111" i="7"/>
  <c r="H111" i="7"/>
  <c r="I111" i="7"/>
  <c r="J111" i="7"/>
  <c r="K111" i="7"/>
  <c r="L111" i="7"/>
  <c r="M111" i="7"/>
  <c r="N111" i="7"/>
  <c r="O111" i="7"/>
  <c r="P111" i="7"/>
  <c r="Q111" i="7"/>
  <c r="R111" i="7"/>
  <c r="S111" i="7"/>
  <c r="T111" i="7"/>
  <c r="U111" i="7"/>
  <c r="V111" i="7"/>
  <c r="W111" i="7"/>
  <c r="X111" i="7"/>
  <c r="Y111" i="7"/>
  <c r="Z111" i="7"/>
  <c r="AA111" i="7"/>
  <c r="AB111" i="7"/>
  <c r="AC111" i="7"/>
  <c r="AD111" i="7"/>
  <c r="AE111" i="7"/>
  <c r="AF111" i="7"/>
  <c r="AG111" i="7"/>
  <c r="AH111" i="7"/>
  <c r="AI111" i="7"/>
  <c r="AJ111" i="7"/>
  <c r="AK111" i="7"/>
  <c r="AL111" i="7"/>
  <c r="AM111" i="7"/>
  <c r="AN111" i="7"/>
  <c r="AO111" i="7"/>
  <c r="AP111" i="7"/>
  <c r="AQ111" i="7"/>
  <c r="AR111" i="7"/>
  <c r="AS111" i="7"/>
  <c r="AT111" i="7"/>
  <c r="AU111" i="7"/>
  <c r="AV111" i="7"/>
  <c r="D112" i="7"/>
  <c r="E112" i="7"/>
  <c r="F112" i="7"/>
  <c r="G112" i="7"/>
  <c r="H112" i="7"/>
  <c r="I112" i="7"/>
  <c r="J112" i="7"/>
  <c r="K112" i="7"/>
  <c r="L112" i="7"/>
  <c r="M112" i="7"/>
  <c r="N112" i="7"/>
  <c r="O112" i="7"/>
  <c r="P112" i="7"/>
  <c r="Q112" i="7"/>
  <c r="R112" i="7"/>
  <c r="S112" i="7"/>
  <c r="T112" i="7"/>
  <c r="U112" i="7"/>
  <c r="V112" i="7"/>
  <c r="W112" i="7"/>
  <c r="X112" i="7"/>
  <c r="Y112" i="7"/>
  <c r="Z112" i="7"/>
  <c r="AA112" i="7"/>
  <c r="AB112" i="7"/>
  <c r="AC112" i="7"/>
  <c r="AD112" i="7"/>
  <c r="AE112" i="7"/>
  <c r="AF112" i="7"/>
  <c r="AG112" i="7"/>
  <c r="AH112" i="7"/>
  <c r="AI112" i="7"/>
  <c r="AJ112" i="7"/>
  <c r="AK112" i="7"/>
  <c r="AL112" i="7"/>
  <c r="AM112" i="7"/>
  <c r="AN112" i="7"/>
  <c r="AO112" i="7"/>
  <c r="AP112" i="7"/>
  <c r="AQ112" i="7"/>
  <c r="AR112" i="7"/>
  <c r="AS112" i="7"/>
  <c r="AT112" i="7"/>
  <c r="AU112" i="7"/>
  <c r="AV112" i="7"/>
  <c r="AW112" i="7"/>
  <c r="D113" i="7"/>
  <c r="E113" i="7"/>
  <c r="F113" i="7"/>
  <c r="G113" i="7"/>
  <c r="H113" i="7"/>
  <c r="I113" i="7"/>
  <c r="J113" i="7"/>
  <c r="K113" i="7"/>
  <c r="L113" i="7"/>
  <c r="M113" i="7"/>
  <c r="N113" i="7"/>
  <c r="O113" i="7"/>
  <c r="P113" i="7"/>
  <c r="Q113" i="7"/>
  <c r="R113" i="7"/>
  <c r="S113" i="7"/>
  <c r="T113" i="7"/>
  <c r="U113" i="7"/>
  <c r="V113" i="7"/>
  <c r="W113" i="7"/>
  <c r="X113" i="7"/>
  <c r="Y113" i="7"/>
  <c r="Z113" i="7"/>
  <c r="AA113" i="7"/>
  <c r="AB113" i="7"/>
  <c r="AC113" i="7"/>
  <c r="AD113" i="7"/>
  <c r="AE113" i="7"/>
  <c r="AF113" i="7"/>
  <c r="AG113" i="7"/>
  <c r="AH113" i="7"/>
  <c r="AI113" i="7"/>
  <c r="AJ113" i="7"/>
  <c r="AK113" i="7"/>
  <c r="AL113" i="7"/>
  <c r="AM113" i="7"/>
  <c r="AN113" i="7"/>
  <c r="AO113" i="7"/>
  <c r="AP113" i="7"/>
  <c r="AQ113" i="7"/>
  <c r="AR113" i="7"/>
  <c r="AS113" i="7"/>
  <c r="AT113" i="7"/>
  <c r="AU113" i="7"/>
  <c r="AV113" i="7"/>
  <c r="AW113" i="7"/>
  <c r="AX113" i="7"/>
  <c r="D114" i="7"/>
  <c r="E114" i="7"/>
  <c r="F114" i="7"/>
  <c r="G114" i="7"/>
  <c r="H114" i="7"/>
  <c r="I114" i="7"/>
  <c r="J114" i="7"/>
  <c r="K114" i="7"/>
  <c r="L114" i="7"/>
  <c r="M114" i="7"/>
  <c r="N114" i="7"/>
  <c r="O114" i="7"/>
  <c r="P114" i="7"/>
  <c r="Q114" i="7"/>
  <c r="R114" i="7"/>
  <c r="S114" i="7"/>
  <c r="T114" i="7"/>
  <c r="U114" i="7"/>
  <c r="V114" i="7"/>
  <c r="W114" i="7"/>
  <c r="X114" i="7"/>
  <c r="Y114" i="7"/>
  <c r="Z114" i="7"/>
  <c r="AA114" i="7"/>
  <c r="AB114" i="7"/>
  <c r="AC114" i="7"/>
  <c r="AD114" i="7"/>
  <c r="AE114" i="7"/>
  <c r="AF114" i="7"/>
  <c r="AG114" i="7"/>
  <c r="AH114" i="7"/>
  <c r="AI114" i="7"/>
  <c r="AJ114" i="7"/>
  <c r="AK114" i="7"/>
  <c r="AL114" i="7"/>
  <c r="AM114" i="7"/>
  <c r="AN114" i="7"/>
  <c r="AO114" i="7"/>
  <c r="AP114" i="7"/>
  <c r="AQ114" i="7"/>
  <c r="AR114" i="7"/>
  <c r="AS114" i="7"/>
  <c r="AT114" i="7"/>
  <c r="AU114" i="7"/>
  <c r="AV114" i="7"/>
  <c r="AW114" i="7"/>
  <c r="AX114" i="7"/>
  <c r="AY114" i="7"/>
  <c r="D115" i="7"/>
  <c r="E115" i="7"/>
  <c r="F115" i="7"/>
  <c r="G115" i="7"/>
  <c r="H115" i="7"/>
  <c r="I115" i="7"/>
  <c r="J115" i="7"/>
  <c r="K115" i="7"/>
  <c r="L115" i="7"/>
  <c r="M115" i="7"/>
  <c r="N115" i="7"/>
  <c r="O115" i="7"/>
  <c r="P115" i="7"/>
  <c r="Q115" i="7"/>
  <c r="R115" i="7"/>
  <c r="S115" i="7"/>
  <c r="T115" i="7"/>
  <c r="U115" i="7"/>
  <c r="V115" i="7"/>
  <c r="W115" i="7"/>
  <c r="X115" i="7"/>
  <c r="Y115" i="7"/>
  <c r="Z115" i="7"/>
  <c r="AA115" i="7"/>
  <c r="AB115" i="7"/>
  <c r="AC115" i="7"/>
  <c r="AD115" i="7"/>
  <c r="AE115" i="7"/>
  <c r="AF115" i="7"/>
  <c r="AG115" i="7"/>
  <c r="AH115" i="7"/>
  <c r="AI115" i="7"/>
  <c r="AJ115" i="7"/>
  <c r="AK115" i="7"/>
  <c r="AL115" i="7"/>
  <c r="AM115" i="7"/>
  <c r="AN115" i="7"/>
  <c r="AO115" i="7"/>
  <c r="AP115" i="7"/>
  <c r="AQ115" i="7"/>
  <c r="AR115" i="7"/>
  <c r="AS115" i="7"/>
  <c r="AT115" i="7"/>
  <c r="AU115" i="7"/>
  <c r="AV115" i="7"/>
  <c r="AW115" i="7"/>
  <c r="AX115" i="7"/>
  <c r="AY115" i="7"/>
  <c r="AZ115" i="7"/>
  <c r="D67" i="7"/>
  <c r="D68" i="7"/>
  <c r="E68" i="7"/>
  <c r="D69" i="7"/>
  <c r="E69" i="7"/>
  <c r="F69" i="7"/>
  <c r="D70" i="7"/>
  <c r="E70" i="7"/>
  <c r="F70" i="7"/>
  <c r="G70" i="7"/>
  <c r="D71" i="7"/>
  <c r="E71" i="7"/>
  <c r="F71" i="7"/>
  <c r="G71" i="7"/>
  <c r="H71" i="7"/>
  <c r="D72" i="7"/>
  <c r="E72" i="7"/>
  <c r="F72" i="7"/>
  <c r="G72" i="7"/>
  <c r="H72" i="7"/>
  <c r="I72" i="7"/>
  <c r="D73" i="7"/>
  <c r="E73" i="7"/>
  <c r="F73" i="7"/>
  <c r="G73" i="7"/>
  <c r="H73" i="7"/>
  <c r="I73" i="7"/>
  <c r="J73" i="7"/>
  <c r="D74" i="7"/>
  <c r="E74" i="7"/>
  <c r="F74" i="7"/>
  <c r="G74" i="7"/>
  <c r="H74" i="7"/>
  <c r="I74" i="7"/>
  <c r="J74" i="7"/>
  <c r="K74" i="7"/>
  <c r="D75" i="7"/>
  <c r="E75" i="7"/>
  <c r="F75" i="7"/>
  <c r="G75" i="7"/>
  <c r="H75" i="7"/>
  <c r="I75" i="7"/>
  <c r="J75" i="7"/>
  <c r="K75" i="7"/>
  <c r="L75" i="7"/>
  <c r="D76" i="7"/>
  <c r="E76" i="7"/>
  <c r="F76" i="7"/>
  <c r="G76" i="7"/>
  <c r="H76" i="7"/>
  <c r="I76" i="7"/>
  <c r="J76" i="7"/>
  <c r="K76" i="7"/>
  <c r="L76" i="7"/>
  <c r="M76" i="7"/>
  <c r="D77" i="7"/>
  <c r="E77" i="7"/>
  <c r="F77" i="7"/>
  <c r="G77" i="7"/>
  <c r="H77" i="7"/>
  <c r="I77" i="7"/>
  <c r="J77" i="7"/>
  <c r="K77" i="7"/>
  <c r="L77" i="7"/>
  <c r="M77" i="7"/>
  <c r="N77" i="7"/>
  <c r="D78" i="7"/>
  <c r="E78" i="7"/>
  <c r="F78" i="7"/>
  <c r="G78" i="7"/>
  <c r="H78" i="7"/>
  <c r="I78" i="7"/>
  <c r="J78" i="7"/>
  <c r="K78" i="7"/>
  <c r="L78" i="7"/>
  <c r="M78" i="7"/>
  <c r="N78" i="7"/>
  <c r="O78" i="7"/>
  <c r="D79" i="7"/>
  <c r="E79" i="7"/>
  <c r="F79" i="7"/>
  <c r="G79" i="7"/>
  <c r="H79" i="7"/>
  <c r="I79" i="7"/>
  <c r="J79" i="7"/>
  <c r="K79" i="7"/>
  <c r="L79" i="7"/>
  <c r="M79" i="7"/>
  <c r="N79" i="7"/>
  <c r="O79" i="7"/>
  <c r="P79" i="7"/>
  <c r="D80" i="7"/>
  <c r="E80" i="7"/>
  <c r="F80" i="7"/>
  <c r="G80" i="7"/>
  <c r="H80" i="7"/>
  <c r="I80" i="7"/>
  <c r="J80" i="7"/>
  <c r="K80" i="7"/>
  <c r="L80" i="7"/>
  <c r="M80" i="7"/>
  <c r="N80" i="7"/>
  <c r="O80" i="7"/>
  <c r="P80" i="7"/>
  <c r="Q80" i="7"/>
  <c r="D81" i="7"/>
  <c r="E81" i="7"/>
  <c r="F81" i="7"/>
  <c r="G81" i="7"/>
  <c r="H81" i="7"/>
  <c r="I81" i="7"/>
  <c r="J81" i="7"/>
  <c r="K81" i="7"/>
  <c r="L81" i="7"/>
  <c r="M81" i="7"/>
  <c r="N81" i="7"/>
  <c r="O81" i="7"/>
  <c r="P81" i="7"/>
  <c r="Q81" i="7"/>
  <c r="R81" i="7"/>
  <c r="D82" i="7"/>
  <c r="E82" i="7"/>
  <c r="F82" i="7"/>
  <c r="G82" i="7"/>
  <c r="H82" i="7"/>
  <c r="I82" i="7"/>
  <c r="J82" i="7"/>
  <c r="K82" i="7"/>
  <c r="L82" i="7"/>
  <c r="M82" i="7"/>
  <c r="N82" i="7"/>
  <c r="O82" i="7"/>
  <c r="P82" i="7"/>
  <c r="Q82" i="7"/>
  <c r="R82" i="7"/>
  <c r="S82" i="7"/>
  <c r="D83" i="7"/>
  <c r="E83" i="7"/>
  <c r="F83" i="7"/>
  <c r="G83" i="7"/>
  <c r="H83" i="7"/>
  <c r="I83" i="7"/>
  <c r="J83" i="7"/>
  <c r="K83" i="7"/>
  <c r="L83" i="7"/>
  <c r="M83" i="7"/>
  <c r="N83" i="7"/>
  <c r="O83" i="7"/>
  <c r="P83" i="7"/>
  <c r="Q83" i="7"/>
  <c r="R83" i="7"/>
  <c r="S83" i="7"/>
  <c r="T83" i="7"/>
  <c r="D84" i="7"/>
  <c r="E84" i="7"/>
  <c r="F84" i="7"/>
  <c r="G84" i="7"/>
  <c r="H84" i="7"/>
  <c r="I84" i="7"/>
  <c r="J84" i="7"/>
  <c r="K84" i="7"/>
  <c r="L84" i="7"/>
  <c r="M84" i="7"/>
  <c r="N84" i="7"/>
  <c r="O84" i="7"/>
  <c r="P84" i="7"/>
  <c r="Q84" i="7"/>
  <c r="R84" i="7"/>
  <c r="S84" i="7"/>
  <c r="T84" i="7"/>
  <c r="U84" i="7"/>
  <c r="D85" i="7"/>
  <c r="E85" i="7"/>
  <c r="F85" i="7"/>
  <c r="G85" i="7"/>
  <c r="H85" i="7"/>
  <c r="I85" i="7"/>
  <c r="J85" i="7"/>
  <c r="K85" i="7"/>
  <c r="L85" i="7"/>
  <c r="M85" i="7"/>
  <c r="N85" i="7"/>
  <c r="O85" i="7"/>
  <c r="P85" i="7"/>
  <c r="Q85" i="7"/>
  <c r="R85" i="7"/>
  <c r="S85" i="7"/>
  <c r="T85" i="7"/>
  <c r="U85" i="7"/>
  <c r="V85" i="7"/>
  <c r="D86" i="7"/>
  <c r="E86" i="7"/>
  <c r="F86" i="7"/>
  <c r="G86" i="7"/>
  <c r="H86" i="7"/>
  <c r="I86" i="7"/>
  <c r="J86" i="7"/>
  <c r="K86" i="7"/>
  <c r="L86" i="7"/>
  <c r="M86" i="7"/>
  <c r="N86" i="7"/>
  <c r="O86" i="7"/>
  <c r="P86" i="7"/>
  <c r="Q86" i="7"/>
  <c r="R86" i="7"/>
  <c r="S86" i="7"/>
  <c r="T86" i="7"/>
  <c r="U86" i="7"/>
  <c r="V86" i="7"/>
  <c r="W86" i="7"/>
  <c r="D87" i="7"/>
  <c r="E87" i="7"/>
  <c r="F87" i="7"/>
  <c r="G87" i="7"/>
  <c r="H87" i="7"/>
  <c r="I87" i="7"/>
  <c r="J87" i="7"/>
  <c r="K87" i="7"/>
  <c r="L87" i="7"/>
  <c r="M87" i="7"/>
  <c r="N87" i="7"/>
  <c r="O87" i="7"/>
  <c r="P87" i="7"/>
  <c r="Q87" i="7"/>
  <c r="R87" i="7"/>
  <c r="S87" i="7"/>
  <c r="T87" i="7"/>
  <c r="U87" i="7"/>
  <c r="V87" i="7"/>
  <c r="W87" i="7"/>
  <c r="X87" i="7"/>
  <c r="D88" i="7"/>
  <c r="E88" i="7"/>
  <c r="F88" i="7"/>
  <c r="G88" i="7"/>
  <c r="H88" i="7"/>
  <c r="I88" i="7"/>
  <c r="J88" i="7"/>
  <c r="K88" i="7"/>
  <c r="L88" i="7"/>
  <c r="M88" i="7"/>
  <c r="N88" i="7"/>
  <c r="O88" i="7"/>
  <c r="P88" i="7"/>
  <c r="Q88" i="7"/>
  <c r="R88" i="7"/>
  <c r="S88" i="7"/>
  <c r="T88" i="7"/>
  <c r="U88" i="7"/>
  <c r="V88" i="7"/>
  <c r="W88" i="7"/>
  <c r="X88" i="7"/>
  <c r="Y88" i="7"/>
  <c r="D89" i="7"/>
  <c r="E89" i="7"/>
  <c r="F89" i="7"/>
  <c r="G89" i="7"/>
  <c r="H89" i="7"/>
  <c r="I89" i="7"/>
  <c r="J89" i="7"/>
  <c r="K89" i="7"/>
  <c r="L89" i="7"/>
  <c r="M89" i="7"/>
  <c r="N89" i="7"/>
  <c r="O89" i="7"/>
  <c r="P89" i="7"/>
  <c r="Q89" i="7"/>
  <c r="R89" i="7"/>
  <c r="S89" i="7"/>
  <c r="T89" i="7"/>
  <c r="U89" i="7"/>
  <c r="V89" i="7"/>
  <c r="W89" i="7"/>
  <c r="X89" i="7"/>
  <c r="Y89" i="7"/>
  <c r="Z89" i="7"/>
  <c r="D90" i="7"/>
  <c r="E90" i="7"/>
  <c r="F90" i="7"/>
  <c r="G90" i="7"/>
  <c r="H90" i="7"/>
  <c r="I90" i="7"/>
  <c r="J90" i="7"/>
  <c r="K90" i="7"/>
  <c r="L90" i="7"/>
  <c r="M90" i="7"/>
  <c r="N90" i="7"/>
  <c r="O90" i="7"/>
  <c r="P90" i="7"/>
  <c r="Q90" i="7"/>
  <c r="R90" i="7"/>
  <c r="S90" i="7"/>
  <c r="T90" i="7"/>
  <c r="U90" i="7"/>
  <c r="V90" i="7"/>
  <c r="W90" i="7"/>
  <c r="X90" i="7"/>
  <c r="Y90" i="7"/>
  <c r="Z90" i="7"/>
  <c r="AA90" i="7"/>
  <c r="D91" i="7"/>
  <c r="E91" i="7"/>
  <c r="F91" i="7"/>
  <c r="G91" i="7"/>
  <c r="H91" i="7"/>
  <c r="I91" i="7"/>
  <c r="J91" i="7"/>
  <c r="K91" i="7"/>
  <c r="L91" i="7"/>
  <c r="M91" i="7"/>
  <c r="N91" i="7"/>
  <c r="O91" i="7"/>
  <c r="P91" i="7"/>
  <c r="Q91" i="7"/>
  <c r="R91" i="7"/>
  <c r="S91" i="7"/>
  <c r="T91" i="7"/>
  <c r="U91" i="7"/>
  <c r="V91" i="7"/>
  <c r="W91" i="7"/>
  <c r="X91" i="7"/>
  <c r="Y91" i="7"/>
  <c r="Z91" i="7"/>
  <c r="AA91" i="7"/>
  <c r="AB91" i="7"/>
  <c r="D92" i="7"/>
  <c r="E92" i="7"/>
  <c r="F92" i="7"/>
  <c r="G92" i="7"/>
  <c r="H92" i="7"/>
  <c r="I92" i="7"/>
  <c r="J92" i="7"/>
  <c r="K92" i="7"/>
  <c r="L92" i="7"/>
  <c r="M92" i="7"/>
  <c r="N92" i="7"/>
  <c r="O92" i="7"/>
  <c r="P92" i="7"/>
  <c r="Q92" i="7"/>
  <c r="R92" i="7"/>
  <c r="S92" i="7"/>
  <c r="T92" i="7"/>
  <c r="U92" i="7"/>
  <c r="V92" i="7"/>
  <c r="W92" i="7"/>
  <c r="X92" i="7"/>
  <c r="Y92" i="7"/>
  <c r="Z92" i="7"/>
  <c r="AA92" i="7"/>
  <c r="AB92" i="7"/>
  <c r="AC92" i="7"/>
  <c r="D93" i="7"/>
  <c r="E93" i="7"/>
  <c r="F93" i="7"/>
  <c r="G93" i="7"/>
  <c r="H93" i="7"/>
  <c r="I93" i="7"/>
  <c r="J93" i="7"/>
  <c r="K93" i="7"/>
  <c r="L93" i="7"/>
  <c r="M93" i="7"/>
  <c r="N93" i="7"/>
  <c r="O93" i="7"/>
  <c r="P93" i="7"/>
  <c r="Q93" i="7"/>
  <c r="R93" i="7"/>
  <c r="S93" i="7"/>
  <c r="T93" i="7"/>
  <c r="U93" i="7"/>
  <c r="V93" i="7"/>
  <c r="W93" i="7"/>
  <c r="X93" i="7"/>
  <c r="Y93" i="7"/>
  <c r="Z93" i="7"/>
  <c r="AA93" i="7"/>
  <c r="AB93" i="7"/>
  <c r="AC93" i="7"/>
  <c r="AD93" i="7"/>
  <c r="D94" i="7"/>
  <c r="E94" i="7"/>
  <c r="F94" i="7"/>
  <c r="G94" i="7"/>
  <c r="H94" i="7"/>
  <c r="I94" i="7"/>
  <c r="J94" i="7"/>
  <c r="K94" i="7"/>
  <c r="L94" i="7"/>
  <c r="M94" i="7"/>
  <c r="N94" i="7"/>
  <c r="O94" i="7"/>
  <c r="P94" i="7"/>
  <c r="Q94" i="7"/>
  <c r="R94" i="7"/>
  <c r="S94" i="7"/>
  <c r="T94" i="7"/>
  <c r="U94" i="7"/>
  <c r="V94" i="7"/>
  <c r="W94" i="7"/>
  <c r="X94" i="7"/>
  <c r="Y94" i="7"/>
  <c r="Z94" i="7"/>
  <c r="AA94" i="7"/>
  <c r="AB94" i="7"/>
  <c r="AC94" i="7"/>
  <c r="AD94" i="7"/>
  <c r="AE94" i="7"/>
  <c r="D95" i="7"/>
  <c r="E95" i="7"/>
  <c r="F95" i="7"/>
  <c r="G95" i="7"/>
  <c r="H95" i="7"/>
  <c r="I95" i="7"/>
  <c r="J95" i="7"/>
  <c r="K95" i="7"/>
  <c r="L95" i="7"/>
  <c r="M95" i="7"/>
  <c r="N95" i="7"/>
  <c r="O95" i="7"/>
  <c r="P95" i="7"/>
  <c r="Q95" i="7"/>
  <c r="R95" i="7"/>
  <c r="S95" i="7"/>
  <c r="T95" i="7"/>
  <c r="U95" i="7"/>
  <c r="V95" i="7"/>
  <c r="W95" i="7"/>
  <c r="X95" i="7"/>
  <c r="Y95" i="7"/>
  <c r="Z95" i="7"/>
  <c r="AA95" i="7"/>
  <c r="AB95" i="7"/>
  <c r="AC95" i="7"/>
  <c r="AD95" i="7"/>
  <c r="AE95" i="7"/>
  <c r="AF95" i="7"/>
  <c r="D40" i="7"/>
  <c r="E40" i="7"/>
  <c r="F40" i="7"/>
  <c r="G40" i="7"/>
  <c r="H40" i="7"/>
  <c r="I40" i="7"/>
  <c r="J40" i="7"/>
  <c r="K40" i="7"/>
  <c r="L40" i="7"/>
  <c r="M40" i="7"/>
  <c r="N40" i="7"/>
  <c r="O40" i="7"/>
  <c r="P40" i="7"/>
  <c r="Q40" i="7"/>
  <c r="R40" i="7"/>
  <c r="S40" i="7"/>
  <c r="T40" i="7"/>
  <c r="U40" i="7"/>
  <c r="V40" i="7"/>
  <c r="W40" i="7"/>
  <c r="X40" i="7"/>
  <c r="Y40" i="7"/>
  <c r="Z40" i="7"/>
  <c r="AA40" i="7"/>
  <c r="AB40" i="7"/>
  <c r="AC40" i="7"/>
  <c r="AD40" i="7"/>
  <c r="AE40" i="7"/>
  <c r="AF40" i="7"/>
  <c r="AG40" i="7"/>
  <c r="D41" i="7"/>
  <c r="E41" i="7"/>
  <c r="F41" i="7"/>
  <c r="G41" i="7"/>
  <c r="H41" i="7"/>
  <c r="I41" i="7"/>
  <c r="J41" i="7"/>
  <c r="K41" i="7"/>
  <c r="L41" i="7"/>
  <c r="M41" i="7"/>
  <c r="N41" i="7"/>
  <c r="O41" i="7"/>
  <c r="P41" i="7"/>
  <c r="Q41" i="7"/>
  <c r="R41" i="7"/>
  <c r="S41" i="7"/>
  <c r="T41" i="7"/>
  <c r="U41" i="7"/>
  <c r="V41" i="7"/>
  <c r="W41" i="7"/>
  <c r="X41" i="7"/>
  <c r="Y41" i="7"/>
  <c r="Z41" i="7"/>
  <c r="AA41" i="7"/>
  <c r="AB41" i="7"/>
  <c r="AC41" i="7"/>
  <c r="AD41" i="7"/>
  <c r="AE41" i="7"/>
  <c r="AF41" i="7"/>
  <c r="AG41" i="7"/>
  <c r="AH41" i="7"/>
  <c r="D42" i="7"/>
  <c r="E42" i="7"/>
  <c r="F42" i="7"/>
  <c r="G42" i="7"/>
  <c r="H42" i="7"/>
  <c r="I42" i="7"/>
  <c r="J42" i="7"/>
  <c r="K42" i="7"/>
  <c r="L42" i="7"/>
  <c r="M42" i="7"/>
  <c r="N42" i="7"/>
  <c r="O42" i="7"/>
  <c r="P42" i="7"/>
  <c r="Q42" i="7"/>
  <c r="R42" i="7"/>
  <c r="S42" i="7"/>
  <c r="T42" i="7"/>
  <c r="U42" i="7"/>
  <c r="V42" i="7"/>
  <c r="W42" i="7"/>
  <c r="X42" i="7"/>
  <c r="Y42" i="7"/>
  <c r="Z42" i="7"/>
  <c r="AA42" i="7"/>
  <c r="AB42" i="7"/>
  <c r="AC42" i="7"/>
  <c r="AD42" i="7"/>
  <c r="AE42" i="7"/>
  <c r="AF42" i="7"/>
  <c r="AG42" i="7"/>
  <c r="AH42" i="7"/>
  <c r="AI42" i="7"/>
  <c r="D43" i="7"/>
  <c r="E43" i="7"/>
  <c r="F43" i="7"/>
  <c r="G43" i="7"/>
  <c r="H43" i="7"/>
  <c r="I43" i="7"/>
  <c r="J43" i="7"/>
  <c r="K43" i="7"/>
  <c r="L43" i="7"/>
  <c r="M43" i="7"/>
  <c r="N43" i="7"/>
  <c r="O43" i="7"/>
  <c r="P43" i="7"/>
  <c r="Q43" i="7"/>
  <c r="R43" i="7"/>
  <c r="S43" i="7"/>
  <c r="T43" i="7"/>
  <c r="U43" i="7"/>
  <c r="V43" i="7"/>
  <c r="W43" i="7"/>
  <c r="X43" i="7"/>
  <c r="Y43" i="7"/>
  <c r="Z43" i="7"/>
  <c r="AA43" i="7"/>
  <c r="AB43" i="7"/>
  <c r="AC43" i="7"/>
  <c r="AD43" i="7"/>
  <c r="AE43" i="7"/>
  <c r="AF43" i="7"/>
  <c r="AG43" i="7"/>
  <c r="AH43" i="7"/>
  <c r="AI43" i="7"/>
  <c r="AJ43" i="7"/>
  <c r="D44" i="7"/>
  <c r="E44" i="7"/>
  <c r="F44" i="7"/>
  <c r="G44" i="7"/>
  <c r="H44" i="7"/>
  <c r="I44" i="7"/>
  <c r="J44" i="7"/>
  <c r="K44" i="7"/>
  <c r="L44" i="7"/>
  <c r="M44" i="7"/>
  <c r="N44" i="7"/>
  <c r="O44" i="7"/>
  <c r="P44" i="7"/>
  <c r="Q44" i="7"/>
  <c r="R44" i="7"/>
  <c r="S44" i="7"/>
  <c r="T44" i="7"/>
  <c r="U44" i="7"/>
  <c r="V44" i="7"/>
  <c r="W44" i="7"/>
  <c r="X44" i="7"/>
  <c r="Y44" i="7"/>
  <c r="Z44" i="7"/>
  <c r="AA44" i="7"/>
  <c r="AB44" i="7"/>
  <c r="AC44" i="7"/>
  <c r="AD44" i="7"/>
  <c r="AE44" i="7"/>
  <c r="AF44" i="7"/>
  <c r="AG44" i="7"/>
  <c r="AH44" i="7"/>
  <c r="AI44" i="7"/>
  <c r="AJ44" i="7"/>
  <c r="AK44" i="7"/>
  <c r="D45" i="7"/>
  <c r="E45" i="7"/>
  <c r="F45" i="7"/>
  <c r="G45" i="7"/>
  <c r="H45" i="7"/>
  <c r="I45" i="7"/>
  <c r="J45" i="7"/>
  <c r="K45" i="7"/>
  <c r="L45" i="7"/>
  <c r="M45" i="7"/>
  <c r="N45" i="7"/>
  <c r="O45" i="7"/>
  <c r="P45" i="7"/>
  <c r="Q45" i="7"/>
  <c r="R45" i="7"/>
  <c r="S45" i="7"/>
  <c r="T45" i="7"/>
  <c r="U45" i="7"/>
  <c r="V45" i="7"/>
  <c r="W45" i="7"/>
  <c r="X45" i="7"/>
  <c r="Y45" i="7"/>
  <c r="Z45" i="7"/>
  <c r="AA45" i="7"/>
  <c r="AB45" i="7"/>
  <c r="AC45" i="7"/>
  <c r="AD45" i="7"/>
  <c r="AE45" i="7"/>
  <c r="AF45" i="7"/>
  <c r="AG45" i="7"/>
  <c r="AH45" i="7"/>
  <c r="AI45" i="7"/>
  <c r="AJ45" i="7"/>
  <c r="AK45" i="7"/>
  <c r="AL45" i="7"/>
  <c r="D46" i="7"/>
  <c r="E46" i="7"/>
  <c r="F46" i="7"/>
  <c r="G46" i="7"/>
  <c r="H46" i="7"/>
  <c r="I46" i="7"/>
  <c r="J46" i="7"/>
  <c r="K46" i="7"/>
  <c r="L46" i="7"/>
  <c r="M46" i="7"/>
  <c r="N46" i="7"/>
  <c r="O46" i="7"/>
  <c r="P46" i="7"/>
  <c r="Q46" i="7"/>
  <c r="R46" i="7"/>
  <c r="S46" i="7"/>
  <c r="T46" i="7"/>
  <c r="U46" i="7"/>
  <c r="V46" i="7"/>
  <c r="W46" i="7"/>
  <c r="X46" i="7"/>
  <c r="Y46" i="7"/>
  <c r="Z46" i="7"/>
  <c r="AA46" i="7"/>
  <c r="AB46" i="7"/>
  <c r="AC46" i="7"/>
  <c r="AD46" i="7"/>
  <c r="AE46" i="7"/>
  <c r="AF46" i="7"/>
  <c r="AG46" i="7"/>
  <c r="AH46" i="7"/>
  <c r="AI46" i="7"/>
  <c r="AJ46" i="7"/>
  <c r="AK46" i="7"/>
  <c r="AL46" i="7"/>
  <c r="AM46" i="7"/>
  <c r="D47" i="7"/>
  <c r="E47" i="7"/>
  <c r="F47" i="7"/>
  <c r="G47" i="7"/>
  <c r="H47" i="7"/>
  <c r="I47" i="7"/>
  <c r="J47" i="7"/>
  <c r="K47" i="7"/>
  <c r="L47" i="7"/>
  <c r="M47" i="7"/>
  <c r="N47" i="7"/>
  <c r="O47" i="7"/>
  <c r="P47" i="7"/>
  <c r="Q47" i="7"/>
  <c r="R47" i="7"/>
  <c r="S47" i="7"/>
  <c r="T47" i="7"/>
  <c r="U47" i="7"/>
  <c r="V47" i="7"/>
  <c r="W47" i="7"/>
  <c r="X47" i="7"/>
  <c r="Y47" i="7"/>
  <c r="Z47" i="7"/>
  <c r="AA47" i="7"/>
  <c r="AB47" i="7"/>
  <c r="AC47" i="7"/>
  <c r="AD47" i="7"/>
  <c r="AE47" i="7"/>
  <c r="AF47" i="7"/>
  <c r="AG47" i="7"/>
  <c r="AH47" i="7"/>
  <c r="AI47" i="7"/>
  <c r="AJ47" i="7"/>
  <c r="AK47" i="7"/>
  <c r="AL47" i="7"/>
  <c r="AM47" i="7"/>
  <c r="AN47" i="7"/>
  <c r="D48" i="7"/>
  <c r="E48" i="7"/>
  <c r="F48" i="7"/>
  <c r="G48" i="7"/>
  <c r="H48" i="7"/>
  <c r="I48" i="7"/>
  <c r="J48" i="7"/>
  <c r="K48" i="7"/>
  <c r="L48" i="7"/>
  <c r="M48" i="7"/>
  <c r="N48" i="7"/>
  <c r="O48" i="7"/>
  <c r="P48" i="7"/>
  <c r="Q48" i="7"/>
  <c r="R48" i="7"/>
  <c r="S48" i="7"/>
  <c r="T48" i="7"/>
  <c r="U48" i="7"/>
  <c r="V48" i="7"/>
  <c r="W48" i="7"/>
  <c r="X48" i="7"/>
  <c r="Y48" i="7"/>
  <c r="Z48" i="7"/>
  <c r="AA48" i="7"/>
  <c r="AB48" i="7"/>
  <c r="AC48" i="7"/>
  <c r="AD48" i="7"/>
  <c r="AE48" i="7"/>
  <c r="AF48" i="7"/>
  <c r="AG48" i="7"/>
  <c r="AH48" i="7"/>
  <c r="AI48" i="7"/>
  <c r="AJ48" i="7"/>
  <c r="AK48" i="7"/>
  <c r="AL48" i="7"/>
  <c r="AM48" i="7"/>
  <c r="AN48" i="7"/>
  <c r="AO48" i="7"/>
  <c r="D49" i="7"/>
  <c r="E49" i="7"/>
  <c r="F49" i="7"/>
  <c r="G49" i="7"/>
  <c r="H49" i="7"/>
  <c r="I49" i="7"/>
  <c r="J49" i="7"/>
  <c r="K49" i="7"/>
  <c r="L49" i="7"/>
  <c r="M49" i="7"/>
  <c r="N49" i="7"/>
  <c r="O49" i="7"/>
  <c r="P49" i="7"/>
  <c r="Q49" i="7"/>
  <c r="R49" i="7"/>
  <c r="S49" i="7"/>
  <c r="T49" i="7"/>
  <c r="U49" i="7"/>
  <c r="V49" i="7"/>
  <c r="W49" i="7"/>
  <c r="X49" i="7"/>
  <c r="Y49" i="7"/>
  <c r="Z49" i="7"/>
  <c r="AA49" i="7"/>
  <c r="AB49" i="7"/>
  <c r="AC49" i="7"/>
  <c r="AD49" i="7"/>
  <c r="AE49" i="7"/>
  <c r="AF49" i="7"/>
  <c r="AG49" i="7"/>
  <c r="AH49" i="7"/>
  <c r="AI49" i="7"/>
  <c r="AJ49" i="7"/>
  <c r="AK49" i="7"/>
  <c r="AL49" i="7"/>
  <c r="AM49" i="7"/>
  <c r="AN49" i="7"/>
  <c r="AO49" i="7"/>
  <c r="AP49" i="7"/>
  <c r="D50" i="7"/>
  <c r="E50" i="7"/>
  <c r="F50" i="7"/>
  <c r="G50" i="7"/>
  <c r="H50" i="7"/>
  <c r="I50" i="7"/>
  <c r="J50" i="7"/>
  <c r="K50" i="7"/>
  <c r="L50" i="7"/>
  <c r="M50" i="7"/>
  <c r="N50" i="7"/>
  <c r="O50" i="7"/>
  <c r="P50" i="7"/>
  <c r="Q50" i="7"/>
  <c r="R50" i="7"/>
  <c r="S50" i="7"/>
  <c r="T50" i="7"/>
  <c r="U50" i="7"/>
  <c r="V50" i="7"/>
  <c r="W50" i="7"/>
  <c r="X50" i="7"/>
  <c r="Y50" i="7"/>
  <c r="Z50" i="7"/>
  <c r="AA50" i="7"/>
  <c r="AB50" i="7"/>
  <c r="AC50" i="7"/>
  <c r="AD50" i="7"/>
  <c r="AE50" i="7"/>
  <c r="AF50" i="7"/>
  <c r="AG50" i="7"/>
  <c r="AH50" i="7"/>
  <c r="AI50" i="7"/>
  <c r="AJ50" i="7"/>
  <c r="AK50" i="7"/>
  <c r="AL50" i="7"/>
  <c r="AM50" i="7"/>
  <c r="AN50" i="7"/>
  <c r="AO50" i="7"/>
  <c r="AP50" i="7"/>
  <c r="AQ50" i="7"/>
  <c r="D51" i="7"/>
  <c r="E51" i="7"/>
  <c r="F51" i="7"/>
  <c r="G51" i="7"/>
  <c r="H51" i="7"/>
  <c r="I51" i="7"/>
  <c r="J51" i="7"/>
  <c r="K51" i="7"/>
  <c r="L51" i="7"/>
  <c r="M51" i="7"/>
  <c r="N51" i="7"/>
  <c r="O51" i="7"/>
  <c r="P51" i="7"/>
  <c r="Q51" i="7"/>
  <c r="R51" i="7"/>
  <c r="S51" i="7"/>
  <c r="T51" i="7"/>
  <c r="U51" i="7"/>
  <c r="V51" i="7"/>
  <c r="W51" i="7"/>
  <c r="X51" i="7"/>
  <c r="Y51" i="7"/>
  <c r="Z51" i="7"/>
  <c r="AA51" i="7"/>
  <c r="AB51" i="7"/>
  <c r="AC51" i="7"/>
  <c r="AD51" i="7"/>
  <c r="AE51" i="7"/>
  <c r="AF51" i="7"/>
  <c r="AG51" i="7"/>
  <c r="AH51" i="7"/>
  <c r="AI51" i="7"/>
  <c r="AJ51" i="7"/>
  <c r="AK51" i="7"/>
  <c r="AL51" i="7"/>
  <c r="AM51" i="7"/>
  <c r="AN51" i="7"/>
  <c r="AO51" i="7"/>
  <c r="AP51" i="7"/>
  <c r="AQ51" i="7"/>
  <c r="AR51" i="7"/>
  <c r="D52" i="7"/>
  <c r="E52" i="7"/>
  <c r="F52" i="7"/>
  <c r="G52" i="7"/>
  <c r="H52" i="7"/>
  <c r="I52" i="7"/>
  <c r="J52" i="7"/>
  <c r="K52" i="7"/>
  <c r="L52" i="7"/>
  <c r="M52" i="7"/>
  <c r="N52" i="7"/>
  <c r="O52" i="7"/>
  <c r="P52" i="7"/>
  <c r="Q52" i="7"/>
  <c r="R52" i="7"/>
  <c r="S52" i="7"/>
  <c r="T52" i="7"/>
  <c r="U52" i="7"/>
  <c r="V52" i="7"/>
  <c r="W52" i="7"/>
  <c r="X52" i="7"/>
  <c r="Y52" i="7"/>
  <c r="Z52" i="7"/>
  <c r="AA52" i="7"/>
  <c r="AB52" i="7"/>
  <c r="AC52" i="7"/>
  <c r="AD52" i="7"/>
  <c r="AE52" i="7"/>
  <c r="AF52" i="7"/>
  <c r="AG52" i="7"/>
  <c r="AH52" i="7"/>
  <c r="AI52" i="7"/>
  <c r="AJ52" i="7"/>
  <c r="AK52" i="7"/>
  <c r="AL52" i="7"/>
  <c r="AM52" i="7"/>
  <c r="AN52" i="7"/>
  <c r="AO52" i="7"/>
  <c r="AP52" i="7"/>
  <c r="AQ52" i="7"/>
  <c r="AR52" i="7"/>
  <c r="AS52" i="7"/>
  <c r="D53" i="7"/>
  <c r="E53" i="7"/>
  <c r="F53" i="7"/>
  <c r="G53" i="7"/>
  <c r="H53" i="7"/>
  <c r="I53" i="7"/>
  <c r="J53" i="7"/>
  <c r="K53" i="7"/>
  <c r="L53" i="7"/>
  <c r="M53" i="7"/>
  <c r="N53" i="7"/>
  <c r="O53" i="7"/>
  <c r="P53" i="7"/>
  <c r="Q53" i="7"/>
  <c r="R53" i="7"/>
  <c r="S53" i="7"/>
  <c r="T53" i="7"/>
  <c r="U53" i="7"/>
  <c r="V53" i="7"/>
  <c r="W53" i="7"/>
  <c r="X53" i="7"/>
  <c r="Y53" i="7"/>
  <c r="Z53" i="7"/>
  <c r="AA53" i="7"/>
  <c r="AB53" i="7"/>
  <c r="AC53" i="7"/>
  <c r="AD53" i="7"/>
  <c r="AE53" i="7"/>
  <c r="AF53" i="7"/>
  <c r="AG53" i="7"/>
  <c r="AH53" i="7"/>
  <c r="AI53" i="7"/>
  <c r="AJ53" i="7"/>
  <c r="AK53" i="7"/>
  <c r="AL53" i="7"/>
  <c r="AM53" i="7"/>
  <c r="AN53" i="7"/>
  <c r="AO53" i="7"/>
  <c r="AP53" i="7"/>
  <c r="AQ53" i="7"/>
  <c r="AR53" i="7"/>
  <c r="AS53" i="7"/>
  <c r="AT53" i="7"/>
  <c r="D54" i="7"/>
  <c r="E54" i="7"/>
  <c r="F54" i="7"/>
  <c r="G54" i="7"/>
  <c r="H54" i="7"/>
  <c r="I54" i="7"/>
  <c r="J54" i="7"/>
  <c r="K54" i="7"/>
  <c r="L54" i="7"/>
  <c r="M54" i="7"/>
  <c r="N54" i="7"/>
  <c r="O54" i="7"/>
  <c r="P54" i="7"/>
  <c r="Q54" i="7"/>
  <c r="R54" i="7"/>
  <c r="S54" i="7"/>
  <c r="T54" i="7"/>
  <c r="U54" i="7"/>
  <c r="V54" i="7"/>
  <c r="W54" i="7"/>
  <c r="X54" i="7"/>
  <c r="Y54" i="7"/>
  <c r="Z54" i="7"/>
  <c r="AA54" i="7"/>
  <c r="AB54" i="7"/>
  <c r="AC54" i="7"/>
  <c r="AD54" i="7"/>
  <c r="AE54" i="7"/>
  <c r="AF54" i="7"/>
  <c r="AG54" i="7"/>
  <c r="AH54" i="7"/>
  <c r="AI54" i="7"/>
  <c r="AJ54" i="7"/>
  <c r="AK54" i="7"/>
  <c r="AL54" i="7"/>
  <c r="AM54" i="7"/>
  <c r="AN54" i="7"/>
  <c r="AO54" i="7"/>
  <c r="AP54" i="7"/>
  <c r="AQ54" i="7"/>
  <c r="AR54" i="7"/>
  <c r="AS54" i="7"/>
  <c r="AT54" i="7"/>
  <c r="AU54" i="7"/>
  <c r="D55" i="7"/>
  <c r="E55" i="7"/>
  <c r="F55" i="7"/>
  <c r="G55" i="7"/>
  <c r="H55" i="7"/>
  <c r="I55" i="7"/>
  <c r="J55" i="7"/>
  <c r="K55" i="7"/>
  <c r="L55" i="7"/>
  <c r="M55" i="7"/>
  <c r="N55" i="7"/>
  <c r="O55" i="7"/>
  <c r="P55" i="7"/>
  <c r="Q55" i="7"/>
  <c r="R55" i="7"/>
  <c r="S55" i="7"/>
  <c r="T55" i="7"/>
  <c r="U55" i="7"/>
  <c r="V55" i="7"/>
  <c r="W55" i="7"/>
  <c r="X55" i="7"/>
  <c r="Y55" i="7"/>
  <c r="Z55" i="7"/>
  <c r="AA55" i="7"/>
  <c r="AB55" i="7"/>
  <c r="AC55" i="7"/>
  <c r="AD55" i="7"/>
  <c r="AE55" i="7"/>
  <c r="AF55" i="7"/>
  <c r="AG55" i="7"/>
  <c r="AH55" i="7"/>
  <c r="AI55" i="7"/>
  <c r="AJ55" i="7"/>
  <c r="AK55" i="7"/>
  <c r="AL55" i="7"/>
  <c r="AM55" i="7"/>
  <c r="AN55" i="7"/>
  <c r="AO55" i="7"/>
  <c r="AP55" i="7"/>
  <c r="AQ55" i="7"/>
  <c r="AR55" i="7"/>
  <c r="AS55" i="7"/>
  <c r="AT55" i="7"/>
  <c r="AU55" i="7"/>
  <c r="AV55" i="7"/>
  <c r="D56" i="7"/>
  <c r="E56" i="7"/>
  <c r="F56" i="7"/>
  <c r="G56" i="7"/>
  <c r="H56" i="7"/>
  <c r="I56" i="7"/>
  <c r="J56" i="7"/>
  <c r="K56" i="7"/>
  <c r="L56" i="7"/>
  <c r="M56" i="7"/>
  <c r="N56" i="7"/>
  <c r="O56" i="7"/>
  <c r="P56" i="7"/>
  <c r="Q56" i="7"/>
  <c r="R56" i="7"/>
  <c r="S56" i="7"/>
  <c r="T56" i="7"/>
  <c r="U56" i="7"/>
  <c r="V56" i="7"/>
  <c r="W56"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D57" i="7"/>
  <c r="E57" i="7"/>
  <c r="F57" i="7"/>
  <c r="G57" i="7"/>
  <c r="H57"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D58" i="7"/>
  <c r="E58" i="7"/>
  <c r="F58" i="7"/>
  <c r="G58" i="7"/>
  <c r="H58" i="7"/>
  <c r="I58" i="7"/>
  <c r="J58" i="7"/>
  <c r="K58" i="7"/>
  <c r="L58" i="7"/>
  <c r="M58" i="7"/>
  <c r="N58" i="7"/>
  <c r="O58" i="7"/>
  <c r="P58" i="7"/>
  <c r="Q58" i="7"/>
  <c r="R58" i="7"/>
  <c r="S58" i="7"/>
  <c r="T58" i="7"/>
  <c r="U58" i="7"/>
  <c r="V58" i="7"/>
  <c r="W58" i="7"/>
  <c r="X58" i="7"/>
  <c r="Y58" i="7"/>
  <c r="Z58" i="7"/>
  <c r="AA58" i="7"/>
  <c r="AB58" i="7"/>
  <c r="AC58" i="7"/>
  <c r="AD58" i="7"/>
  <c r="AE58" i="7"/>
  <c r="AF58" i="7"/>
  <c r="AG58" i="7"/>
  <c r="AH58" i="7"/>
  <c r="AI58" i="7"/>
  <c r="AJ58" i="7"/>
  <c r="AK58" i="7"/>
  <c r="AL58" i="7"/>
  <c r="AM58" i="7"/>
  <c r="AN58" i="7"/>
  <c r="AO58" i="7"/>
  <c r="AP58" i="7"/>
  <c r="AQ58" i="7"/>
  <c r="AR58" i="7"/>
  <c r="AS58" i="7"/>
  <c r="AT58" i="7"/>
  <c r="AU58" i="7"/>
  <c r="AV58" i="7"/>
  <c r="AW58" i="7"/>
  <c r="AX58" i="7"/>
  <c r="AY58" i="7"/>
  <c r="D59" i="7"/>
  <c r="E59" i="7"/>
  <c r="F59" i="7"/>
  <c r="G59" i="7"/>
  <c r="H59" i="7"/>
  <c r="I59" i="7"/>
  <c r="J59" i="7"/>
  <c r="K59" i="7"/>
  <c r="L59" i="7"/>
  <c r="M59" i="7"/>
  <c r="N59" i="7"/>
  <c r="O59" i="7"/>
  <c r="P59" i="7"/>
  <c r="Q59" i="7"/>
  <c r="R59" i="7"/>
  <c r="S59" i="7"/>
  <c r="T59" i="7"/>
  <c r="U59" i="7"/>
  <c r="V59" i="7"/>
  <c r="W59" i="7"/>
  <c r="X59" i="7"/>
  <c r="Y59" i="7"/>
  <c r="Z59" i="7"/>
  <c r="AA59" i="7"/>
  <c r="AB59" i="7"/>
  <c r="AC59" i="7"/>
  <c r="AD59" i="7"/>
  <c r="AE59" i="7"/>
  <c r="AF59" i="7"/>
  <c r="AG59" i="7"/>
  <c r="AH59" i="7"/>
  <c r="AI59" i="7"/>
  <c r="AJ59" i="7"/>
  <c r="AK59" i="7"/>
  <c r="AL59" i="7"/>
  <c r="AM59" i="7"/>
  <c r="AN59" i="7"/>
  <c r="AO59" i="7"/>
  <c r="AP59" i="7"/>
  <c r="AQ59" i="7"/>
  <c r="AR59" i="7"/>
  <c r="AS59" i="7"/>
  <c r="AT59" i="7"/>
  <c r="AU59" i="7"/>
  <c r="AV59" i="7"/>
  <c r="AW59" i="7"/>
  <c r="AX59" i="7"/>
  <c r="AY59" i="7"/>
  <c r="AZ59" i="7"/>
  <c r="D11" i="7"/>
  <c r="D12" i="7"/>
  <c r="E12" i="7"/>
  <c r="D13" i="7"/>
  <c r="E13" i="7"/>
  <c r="F13" i="7"/>
  <c r="D14" i="7"/>
  <c r="E14" i="7"/>
  <c r="F14" i="7"/>
  <c r="G14" i="7"/>
  <c r="D15" i="7"/>
  <c r="E15" i="7"/>
  <c r="F15" i="7"/>
  <c r="G15" i="7"/>
  <c r="H15" i="7"/>
  <c r="D16" i="7"/>
  <c r="E16" i="7"/>
  <c r="F16" i="7"/>
  <c r="G16" i="7"/>
  <c r="H16" i="7"/>
  <c r="I16" i="7"/>
  <c r="D17" i="7"/>
  <c r="E17" i="7"/>
  <c r="F17" i="7"/>
  <c r="G17" i="7"/>
  <c r="H17" i="7"/>
  <c r="I17" i="7"/>
  <c r="J17" i="7"/>
  <c r="D18" i="7"/>
  <c r="E18" i="7"/>
  <c r="F18" i="7"/>
  <c r="G18" i="7"/>
  <c r="H18" i="7"/>
  <c r="I18" i="7"/>
  <c r="J18" i="7"/>
  <c r="K18" i="7"/>
  <c r="D19" i="7"/>
  <c r="E19" i="7"/>
  <c r="F19" i="7"/>
  <c r="G19" i="7"/>
  <c r="H19" i="7"/>
  <c r="I19" i="7"/>
  <c r="J19" i="7"/>
  <c r="K19" i="7"/>
  <c r="L19" i="7"/>
  <c r="D20" i="7"/>
  <c r="E20" i="7"/>
  <c r="F20" i="7"/>
  <c r="G20" i="7"/>
  <c r="H20" i="7"/>
  <c r="I20" i="7"/>
  <c r="J20" i="7"/>
  <c r="K20" i="7"/>
  <c r="L20" i="7"/>
  <c r="M20" i="7"/>
  <c r="D21" i="7"/>
  <c r="E21" i="7"/>
  <c r="F21" i="7"/>
  <c r="G21" i="7"/>
  <c r="H21" i="7"/>
  <c r="I21" i="7"/>
  <c r="J21" i="7"/>
  <c r="K21" i="7"/>
  <c r="L21" i="7"/>
  <c r="M21" i="7"/>
  <c r="N21" i="7"/>
  <c r="D22" i="7"/>
  <c r="E22" i="7"/>
  <c r="F22" i="7"/>
  <c r="G22" i="7"/>
  <c r="H22" i="7"/>
  <c r="I22" i="7"/>
  <c r="J22" i="7"/>
  <c r="K22" i="7"/>
  <c r="L22" i="7"/>
  <c r="M22" i="7"/>
  <c r="N22" i="7"/>
  <c r="O22" i="7"/>
  <c r="D23" i="7"/>
  <c r="E23" i="7"/>
  <c r="F23" i="7"/>
  <c r="G23" i="7"/>
  <c r="H23" i="7"/>
  <c r="I23" i="7"/>
  <c r="J23" i="7"/>
  <c r="K23" i="7"/>
  <c r="L23" i="7"/>
  <c r="M23" i="7"/>
  <c r="N23" i="7"/>
  <c r="O23" i="7"/>
  <c r="P23" i="7"/>
  <c r="D24" i="7"/>
  <c r="E24" i="7"/>
  <c r="F24" i="7"/>
  <c r="G24" i="7"/>
  <c r="H24" i="7"/>
  <c r="I24" i="7"/>
  <c r="J24" i="7"/>
  <c r="K24" i="7"/>
  <c r="L24" i="7"/>
  <c r="M24" i="7"/>
  <c r="N24" i="7"/>
  <c r="O24" i="7"/>
  <c r="P24" i="7"/>
  <c r="Q24" i="7"/>
  <c r="D25" i="7"/>
  <c r="E25" i="7"/>
  <c r="F25" i="7"/>
  <c r="G25" i="7"/>
  <c r="H25" i="7"/>
  <c r="I25" i="7"/>
  <c r="J25" i="7"/>
  <c r="K25" i="7"/>
  <c r="L25" i="7"/>
  <c r="M25" i="7"/>
  <c r="N25" i="7"/>
  <c r="O25" i="7"/>
  <c r="P25" i="7"/>
  <c r="Q25" i="7"/>
  <c r="R25" i="7"/>
  <c r="D26" i="7"/>
  <c r="E26" i="7"/>
  <c r="F26" i="7"/>
  <c r="G26" i="7"/>
  <c r="H26" i="7"/>
  <c r="I26" i="7"/>
  <c r="J26" i="7"/>
  <c r="K26" i="7"/>
  <c r="L26" i="7"/>
  <c r="M26" i="7"/>
  <c r="N26" i="7"/>
  <c r="O26" i="7"/>
  <c r="P26" i="7"/>
  <c r="Q26" i="7"/>
  <c r="R26" i="7"/>
  <c r="S26" i="7"/>
  <c r="D27" i="7"/>
  <c r="E27" i="7"/>
  <c r="F27" i="7"/>
  <c r="G27" i="7"/>
  <c r="H27" i="7"/>
  <c r="I27" i="7"/>
  <c r="J27" i="7"/>
  <c r="K27" i="7"/>
  <c r="L27" i="7"/>
  <c r="M27" i="7"/>
  <c r="N27" i="7"/>
  <c r="O27" i="7"/>
  <c r="P27" i="7"/>
  <c r="Q27" i="7"/>
  <c r="R27" i="7"/>
  <c r="S27" i="7"/>
  <c r="T27" i="7"/>
  <c r="D28" i="7"/>
  <c r="E28" i="7"/>
  <c r="F28" i="7"/>
  <c r="G28" i="7"/>
  <c r="H28" i="7"/>
  <c r="I28" i="7"/>
  <c r="J28" i="7"/>
  <c r="K28" i="7"/>
  <c r="L28" i="7"/>
  <c r="M28" i="7"/>
  <c r="N28" i="7"/>
  <c r="O28" i="7"/>
  <c r="P28" i="7"/>
  <c r="Q28" i="7"/>
  <c r="R28" i="7"/>
  <c r="S28" i="7"/>
  <c r="T28" i="7"/>
  <c r="U28" i="7"/>
  <c r="D29" i="7"/>
  <c r="E29" i="7"/>
  <c r="F29" i="7"/>
  <c r="G29" i="7"/>
  <c r="H29" i="7"/>
  <c r="I29" i="7"/>
  <c r="J29" i="7"/>
  <c r="K29" i="7"/>
  <c r="L29" i="7"/>
  <c r="M29" i="7"/>
  <c r="N29" i="7"/>
  <c r="O29" i="7"/>
  <c r="P29" i="7"/>
  <c r="Q29" i="7"/>
  <c r="R29" i="7"/>
  <c r="S29" i="7"/>
  <c r="T29" i="7"/>
  <c r="U29" i="7"/>
  <c r="V29" i="7"/>
  <c r="D30" i="7"/>
  <c r="E30" i="7"/>
  <c r="F30" i="7"/>
  <c r="G30" i="7"/>
  <c r="H30" i="7"/>
  <c r="I30" i="7"/>
  <c r="J30" i="7"/>
  <c r="K30" i="7"/>
  <c r="L30" i="7"/>
  <c r="M30" i="7"/>
  <c r="N30" i="7"/>
  <c r="O30" i="7"/>
  <c r="P30" i="7"/>
  <c r="Q30" i="7"/>
  <c r="R30" i="7"/>
  <c r="S30" i="7"/>
  <c r="T30" i="7"/>
  <c r="U30" i="7"/>
  <c r="V30" i="7"/>
  <c r="W30" i="7"/>
  <c r="D31" i="7"/>
  <c r="E31" i="7"/>
  <c r="F31" i="7"/>
  <c r="G31" i="7"/>
  <c r="H31" i="7"/>
  <c r="I31" i="7"/>
  <c r="J31" i="7"/>
  <c r="K31" i="7"/>
  <c r="L31" i="7"/>
  <c r="M31" i="7"/>
  <c r="N31" i="7"/>
  <c r="O31" i="7"/>
  <c r="P31" i="7"/>
  <c r="Q31" i="7"/>
  <c r="R31" i="7"/>
  <c r="S31" i="7"/>
  <c r="T31" i="7"/>
  <c r="U31" i="7"/>
  <c r="V31" i="7"/>
  <c r="W31" i="7"/>
  <c r="X31" i="7"/>
  <c r="D32" i="7"/>
  <c r="E32" i="7"/>
  <c r="F32" i="7"/>
  <c r="G32" i="7"/>
  <c r="H32" i="7"/>
  <c r="I32" i="7"/>
  <c r="J32" i="7"/>
  <c r="K32" i="7"/>
  <c r="L32" i="7"/>
  <c r="M32" i="7"/>
  <c r="N32" i="7"/>
  <c r="O32" i="7"/>
  <c r="P32" i="7"/>
  <c r="Q32" i="7"/>
  <c r="R32" i="7"/>
  <c r="S32" i="7"/>
  <c r="T32" i="7"/>
  <c r="U32" i="7"/>
  <c r="V32" i="7"/>
  <c r="W32" i="7"/>
  <c r="X32" i="7"/>
  <c r="Y32" i="7"/>
  <c r="D33" i="7"/>
  <c r="E33" i="7"/>
  <c r="F33" i="7"/>
  <c r="G33" i="7"/>
  <c r="H33" i="7"/>
  <c r="I33" i="7"/>
  <c r="J33" i="7"/>
  <c r="K33" i="7"/>
  <c r="L33" i="7"/>
  <c r="M33" i="7"/>
  <c r="N33" i="7"/>
  <c r="O33" i="7"/>
  <c r="P33" i="7"/>
  <c r="Q33" i="7"/>
  <c r="R33" i="7"/>
  <c r="S33" i="7"/>
  <c r="T33" i="7"/>
  <c r="U33" i="7"/>
  <c r="V33" i="7"/>
  <c r="W33" i="7"/>
  <c r="X33" i="7"/>
  <c r="Y33" i="7"/>
  <c r="Z33" i="7"/>
  <c r="D34" i="7"/>
  <c r="E34" i="7"/>
  <c r="F34" i="7"/>
  <c r="G34" i="7"/>
  <c r="H34" i="7"/>
  <c r="I34" i="7"/>
  <c r="J34" i="7"/>
  <c r="K34" i="7"/>
  <c r="L34" i="7"/>
  <c r="M34" i="7"/>
  <c r="N34" i="7"/>
  <c r="O34" i="7"/>
  <c r="P34" i="7"/>
  <c r="Q34" i="7"/>
  <c r="R34" i="7"/>
  <c r="S34" i="7"/>
  <c r="T34" i="7"/>
  <c r="U34" i="7"/>
  <c r="V34" i="7"/>
  <c r="W34" i="7"/>
  <c r="X34" i="7"/>
  <c r="Y34" i="7"/>
  <c r="Z34" i="7"/>
  <c r="AA34" i="7"/>
  <c r="D35" i="7"/>
  <c r="E35" i="7"/>
  <c r="F35" i="7"/>
  <c r="G35" i="7"/>
  <c r="H35" i="7"/>
  <c r="I35" i="7"/>
  <c r="J35" i="7"/>
  <c r="K35" i="7"/>
  <c r="L35" i="7"/>
  <c r="M35" i="7"/>
  <c r="N35" i="7"/>
  <c r="O35" i="7"/>
  <c r="P35" i="7"/>
  <c r="Q35" i="7"/>
  <c r="R35" i="7"/>
  <c r="S35" i="7"/>
  <c r="T35" i="7"/>
  <c r="U35" i="7"/>
  <c r="V35" i="7"/>
  <c r="W35" i="7"/>
  <c r="X35" i="7"/>
  <c r="Y35" i="7"/>
  <c r="Z35" i="7"/>
  <c r="AA35" i="7"/>
  <c r="AB35" i="7"/>
  <c r="D36" i="7"/>
  <c r="E36" i="7"/>
  <c r="F36" i="7"/>
  <c r="G36" i="7"/>
  <c r="H36" i="7"/>
  <c r="I36" i="7"/>
  <c r="J36" i="7"/>
  <c r="K36" i="7"/>
  <c r="L36" i="7"/>
  <c r="M36" i="7"/>
  <c r="N36" i="7"/>
  <c r="O36" i="7"/>
  <c r="P36" i="7"/>
  <c r="Q36" i="7"/>
  <c r="R36" i="7"/>
  <c r="S36" i="7"/>
  <c r="T36" i="7"/>
  <c r="U36" i="7"/>
  <c r="V36" i="7"/>
  <c r="W36" i="7"/>
  <c r="X36" i="7"/>
  <c r="Y36" i="7"/>
  <c r="Z36" i="7"/>
  <c r="AA36" i="7"/>
  <c r="AB36" i="7"/>
  <c r="AC36" i="7"/>
  <c r="D37" i="7"/>
  <c r="E37" i="7"/>
  <c r="F37" i="7"/>
  <c r="G37" i="7"/>
  <c r="H37" i="7"/>
  <c r="I37" i="7"/>
  <c r="J37" i="7"/>
  <c r="K37" i="7"/>
  <c r="L37" i="7"/>
  <c r="M37" i="7"/>
  <c r="N37" i="7"/>
  <c r="O37" i="7"/>
  <c r="P37" i="7"/>
  <c r="Q37" i="7"/>
  <c r="R37" i="7"/>
  <c r="S37" i="7"/>
  <c r="T37" i="7"/>
  <c r="U37" i="7"/>
  <c r="V37" i="7"/>
  <c r="W37" i="7"/>
  <c r="X37" i="7"/>
  <c r="Y37" i="7"/>
  <c r="Z37" i="7"/>
  <c r="AA37" i="7"/>
  <c r="AB37" i="7"/>
  <c r="AC37" i="7"/>
  <c r="AD37" i="7"/>
  <c r="D38" i="7"/>
  <c r="E38" i="7"/>
  <c r="F38" i="7"/>
  <c r="G38" i="7"/>
  <c r="H38" i="7"/>
  <c r="I38" i="7"/>
  <c r="J38" i="7"/>
  <c r="K38" i="7"/>
  <c r="L38" i="7"/>
  <c r="M38" i="7"/>
  <c r="N38" i="7"/>
  <c r="O38" i="7"/>
  <c r="P38" i="7"/>
  <c r="Q38" i="7"/>
  <c r="R38" i="7"/>
  <c r="S38" i="7"/>
  <c r="T38" i="7"/>
  <c r="U38" i="7"/>
  <c r="V38" i="7"/>
  <c r="W38" i="7"/>
  <c r="X38" i="7"/>
  <c r="Y38" i="7"/>
  <c r="Z38" i="7"/>
  <c r="AA38" i="7"/>
  <c r="AB38" i="7"/>
  <c r="AC38" i="7"/>
  <c r="AD38" i="7"/>
  <c r="AE38" i="7"/>
  <c r="D39" i="7"/>
  <c r="E39" i="7"/>
  <c r="F39" i="7"/>
  <c r="G39" i="7"/>
  <c r="H39" i="7"/>
  <c r="I39" i="7"/>
  <c r="J39" i="7"/>
  <c r="K39" i="7"/>
  <c r="L39" i="7"/>
  <c r="M39" i="7"/>
  <c r="N39" i="7"/>
  <c r="O39" i="7"/>
  <c r="P39" i="7"/>
  <c r="Q39" i="7"/>
  <c r="R39" i="7"/>
  <c r="S39" i="7"/>
  <c r="T39" i="7"/>
  <c r="U39" i="7"/>
  <c r="V39" i="7"/>
  <c r="W39" i="7"/>
  <c r="X39" i="7"/>
  <c r="Y39" i="7"/>
  <c r="Z39" i="7"/>
  <c r="AA39" i="7"/>
  <c r="AB39" i="7"/>
  <c r="AC39" i="7"/>
  <c r="AD39" i="7"/>
  <c r="AE39" i="7"/>
  <c r="AF39" i="7"/>
  <c r="D9" i="5"/>
  <c r="D17" i="4"/>
  <c r="D12" i="4"/>
  <c r="D10" i="4"/>
  <c r="D20" i="4" s="1"/>
  <c r="D7" i="10" l="1"/>
  <c r="D8" i="10" s="1"/>
  <c r="E7" i="10"/>
  <c r="E8" i="10" s="1"/>
  <c r="F7" i="10"/>
  <c r="F8" i="10" s="1"/>
  <c r="G7" i="10"/>
  <c r="G8" i="10" s="1"/>
  <c r="H7" i="10"/>
  <c r="H8" i="10" s="1"/>
  <c r="I7" i="10"/>
  <c r="I8" i="10" s="1"/>
  <c r="J7" i="10"/>
  <c r="J8" i="10" s="1"/>
  <c r="K7" i="10"/>
  <c r="K8" i="10" s="1"/>
  <c r="L7" i="10"/>
  <c r="L8" i="10" s="1"/>
  <c r="M7" i="10"/>
  <c r="M8" i="10" s="1"/>
  <c r="N7" i="10"/>
  <c r="N8" i="10" s="1"/>
  <c r="O7" i="10"/>
  <c r="O8" i="10" s="1"/>
  <c r="P8" i="10"/>
  <c r="P7" i="10"/>
  <c r="Q7" i="10"/>
  <c r="Q8" i="10" s="1"/>
  <c r="R7" i="10"/>
  <c r="R8" i="10" s="1"/>
  <c r="S7" i="10"/>
  <c r="S8" i="10" s="1"/>
  <c r="T7" i="10"/>
  <c r="T8" i="10" s="1"/>
  <c r="U7" i="10"/>
  <c r="U8" i="10" s="1"/>
  <c r="V7" i="10"/>
  <c r="V8" i="10" s="1"/>
  <c r="W7" i="10"/>
  <c r="W8" i="10" s="1"/>
  <c r="X7" i="10"/>
  <c r="X8" i="10" s="1"/>
  <c r="Y7" i="10"/>
  <c r="Y8" i="10" s="1"/>
  <c r="Z7" i="10"/>
  <c r="Z8" i="10" s="1"/>
  <c r="AA7" i="10"/>
  <c r="AA8" i="10" s="1"/>
  <c r="AB7" i="10"/>
  <c r="AB8" i="10" s="1"/>
  <c r="AC7" i="10"/>
  <c r="AC8" i="10" s="1"/>
  <c r="AD7" i="10"/>
  <c r="AD8" i="10" s="1"/>
  <c r="AE7" i="10"/>
  <c r="AE8" i="10" s="1"/>
  <c r="AF7" i="10"/>
  <c r="AF8" i="10" s="1"/>
  <c r="AG7" i="10"/>
  <c r="AG8" i="10" s="1"/>
  <c r="AH7" i="10"/>
  <c r="AH8" i="10" s="1"/>
  <c r="AI7" i="10"/>
  <c r="AI8" i="10" s="1"/>
  <c r="AJ7" i="10"/>
  <c r="AJ8" i="10" s="1"/>
  <c r="AK7" i="10"/>
  <c r="AK8" i="10" s="1"/>
  <c r="AL7" i="10"/>
  <c r="AL8" i="10" s="1"/>
  <c r="AM7" i="10"/>
  <c r="AM8" i="10" s="1"/>
  <c r="AN7" i="10"/>
  <c r="AN8" i="10" s="1"/>
  <c r="AO7" i="10"/>
  <c r="AO8" i="10" s="1"/>
  <c r="AP7" i="10"/>
  <c r="AP8" i="10" s="1"/>
  <c r="AQ7" i="10"/>
  <c r="AQ8" i="10" s="1"/>
  <c r="AR7" i="10"/>
  <c r="AR8" i="10" s="1"/>
  <c r="AS7" i="10"/>
  <c r="AS8" i="10" s="1"/>
  <c r="AT7" i="10"/>
  <c r="AT8" i="10" s="1"/>
  <c r="AU7" i="10"/>
  <c r="AU8" i="10" s="1"/>
  <c r="AV7" i="10"/>
  <c r="AV8" i="10" s="1"/>
  <c r="AW7" i="10"/>
  <c r="AW8" i="10" s="1"/>
  <c r="AX7" i="10"/>
  <c r="AX8" i="10" s="1"/>
  <c r="AY7" i="10"/>
  <c r="AY8" i="10" s="1"/>
  <c r="AZ7" i="10"/>
  <c r="AZ8" i="10" s="1"/>
  <c r="BA7" i="10"/>
  <c r="BA8" i="10" s="1"/>
  <c r="BB7" i="10"/>
  <c r="BB8" i="10" s="1"/>
  <c r="BC7" i="10"/>
  <c r="BC8" i="10" s="1"/>
  <c r="BD7" i="10"/>
  <c r="BD8" i="10" s="1"/>
  <c r="BE7" i="10"/>
  <c r="BE8" i="10" s="1"/>
  <c r="BF7" i="10"/>
  <c r="BF8" i="10" s="1"/>
  <c r="BG7" i="10"/>
  <c r="BG8" i="10" s="1"/>
  <c r="BH7" i="10"/>
  <c r="BH8" i="10" s="1"/>
  <c r="BI7" i="10"/>
  <c r="BI8" i="10" s="1"/>
  <c r="BJ7" i="10"/>
  <c r="BJ8" i="10" s="1"/>
  <c r="BK7" i="10"/>
  <c r="BK8" i="10" s="1"/>
  <c r="C93" i="2"/>
  <c r="C92" i="2"/>
  <c r="C91" i="2"/>
  <c r="C38" i="2"/>
  <c r="D12" i="6" s="1"/>
  <c r="C37" i="2"/>
  <c r="C77" i="2"/>
  <c r="D133" i="7" s="1"/>
  <c r="C81" i="2"/>
  <c r="C82" i="2"/>
  <c r="C65" i="2"/>
  <c r="C17" i="2"/>
  <c r="C11" i="2"/>
  <c r="C5" i="9" s="1"/>
  <c r="C13" i="2"/>
  <c r="C14" i="2"/>
  <c r="C15" i="2"/>
  <c r="C16" i="2"/>
  <c r="C18" i="2"/>
  <c r="D34" i="6" s="1"/>
  <c r="C19" i="2"/>
  <c r="C20" i="2"/>
  <c r="C60" i="2"/>
  <c r="C72" i="2"/>
  <c r="C80" i="2"/>
  <c r="C25" i="2"/>
  <c r="C34" i="2"/>
  <c r="C41" i="2"/>
  <c r="A7" i="9" s="1"/>
  <c r="C43" i="2"/>
  <c r="C51" i="2"/>
  <c r="C52" i="2"/>
  <c r="C53" i="2"/>
  <c r="C56" i="2"/>
  <c r="C57" i="2"/>
  <c r="C69" i="2"/>
  <c r="F26" i="5" s="1"/>
  <c r="C73" i="2"/>
  <c r="C4" i="5" s="1"/>
  <c r="C76" i="2"/>
  <c r="C87" i="2"/>
  <c r="C21" i="2"/>
  <c r="C26" i="2"/>
  <c r="C31" i="2"/>
  <c r="C36" i="2"/>
  <c r="C46" i="2"/>
  <c r="C47" i="2"/>
  <c r="C59" i="2"/>
  <c r="C67" i="2"/>
  <c r="D26" i="5" s="1"/>
  <c r="C86" i="2"/>
  <c r="C8" i="2"/>
  <c r="C9" i="2"/>
  <c r="C30" i="2"/>
  <c r="C33" i="2"/>
  <c r="C42" i="2"/>
  <c r="C45" i="2"/>
  <c r="C63" i="2"/>
  <c r="E32" i="9" s="1"/>
  <c r="C64" i="2"/>
  <c r="C70" i="2"/>
  <c r="C75" i="2"/>
  <c r="C85" i="2"/>
  <c r="C10" i="2"/>
  <c r="C22" i="2"/>
  <c r="C23" i="2"/>
  <c r="C24" i="2"/>
  <c r="C28" i="2"/>
  <c r="C29" i="2"/>
  <c r="C32" i="2"/>
  <c r="C39" i="2"/>
  <c r="C48" i="2"/>
  <c r="C49" i="2"/>
  <c r="C54" i="2"/>
  <c r="C58" i="2"/>
  <c r="C62" i="2"/>
  <c r="D32" i="9" s="1"/>
  <c r="C68" i="2"/>
  <c r="C71" i="2"/>
  <c r="C79" i="2"/>
  <c r="C84" i="2"/>
  <c r="C89" i="2"/>
  <c r="E26" i="5"/>
  <c r="D36" i="10" l="1" a="1"/>
  <c r="D22" i="10" a="1"/>
  <c r="D24" i="10" a="1"/>
  <c r="D23" i="10" a="1"/>
  <c r="D14" i="10" a="1"/>
  <c r="D20" i="10" a="1"/>
  <c r="D26" i="10" a="1"/>
  <c r="D25" i="10" a="1"/>
  <c r="D13" i="10"/>
  <c r="E23" i="10" a="1"/>
  <c r="E14" i="10" a="1"/>
  <c r="E22" i="10" a="1"/>
  <c r="E25" i="10" a="1"/>
  <c r="E26" i="10" a="1"/>
  <c r="E36" i="10" a="1"/>
  <c r="E20" i="10" a="1"/>
  <c r="E24" i="10" a="1"/>
  <c r="E13" i="10"/>
  <c r="F14" i="10" a="1"/>
  <c r="F25" i="10" a="1"/>
  <c r="F26" i="10" a="1"/>
  <c r="F20" i="10" a="1"/>
  <c r="F22" i="10" a="1"/>
  <c r="F36" i="10" a="1"/>
  <c r="F13" i="10"/>
  <c r="G36" i="10" a="1"/>
  <c r="G14" i="10" a="1"/>
  <c r="G20" i="10" a="1"/>
  <c r="G24" i="10" a="1"/>
  <c r="G25" i="10" a="1"/>
  <c r="G26" i="10" a="1"/>
  <c r="G22" i="10" a="1"/>
  <c r="G23" i="10" a="1"/>
  <c r="G13" i="10"/>
  <c r="H22" i="10" a="1"/>
  <c r="H24" i="10" a="1"/>
  <c r="H36" i="10" a="1"/>
  <c r="H14" i="10" a="1"/>
  <c r="H23" i="10" a="1"/>
  <c r="H20" i="10" a="1"/>
  <c r="H25" i="10" a="1"/>
  <c r="H26" i="10" a="1"/>
  <c r="H13" i="10"/>
  <c r="I20" i="10" a="1"/>
  <c r="I22" i="10" a="1"/>
  <c r="I25" i="10" a="1"/>
  <c r="I26" i="10" a="1"/>
  <c r="I14" i="10" a="1"/>
  <c r="I36" i="10" a="1"/>
  <c r="I13" i="10"/>
  <c r="J14" i="10" a="1"/>
  <c r="J23" i="10" a="1"/>
  <c r="J22" i="10" a="1"/>
  <c r="J24" i="10" a="1"/>
  <c r="J25" i="10" a="1"/>
  <c r="J26" i="10" a="1"/>
  <c r="J20" i="10" a="1"/>
  <c r="J36" i="10" a="1"/>
  <c r="J13" i="10"/>
  <c r="K25" i="10" a="1"/>
  <c r="K26" i="10" a="1"/>
  <c r="K14" i="10" a="1"/>
  <c r="K20" i="10" a="1"/>
  <c r="K23" i="10" a="1"/>
  <c r="K22" i="10" a="1"/>
  <c r="K24" i="10" a="1"/>
  <c r="K36" i="10" a="1"/>
  <c r="K13" i="10"/>
  <c r="L22" i="10" a="1"/>
  <c r="L25" i="10" a="1"/>
  <c r="L26" i="10" a="1"/>
  <c r="L14" i="10" a="1"/>
  <c r="L20" i="10" a="1"/>
  <c r="L36" i="10" a="1"/>
  <c r="L13" i="10"/>
  <c r="M14" i="10" a="1"/>
  <c r="M36" i="10" a="1"/>
  <c r="M20" i="10" a="1"/>
  <c r="M22" i="10" a="1"/>
  <c r="M24" i="10" a="1"/>
  <c r="M23" i="10" a="1"/>
  <c r="M25" i="10" a="1"/>
  <c r="M26" i="10" a="1"/>
  <c r="M13" i="10"/>
  <c r="N23" i="10" a="1"/>
  <c r="N26" i="10" a="1"/>
  <c r="N14" i="10" a="1"/>
  <c r="N24" i="10" a="1"/>
  <c r="N25" i="10" a="1"/>
  <c r="N36" i="10" a="1"/>
  <c r="N20" i="10" a="1"/>
  <c r="N22" i="10" a="1"/>
  <c r="N13" i="10"/>
  <c r="O13" i="10"/>
  <c r="P25" i="10" a="1"/>
  <c r="P20" i="10" a="1"/>
  <c r="P23" i="10" a="1"/>
  <c r="P36" i="10" a="1"/>
  <c r="P14" i="10" a="1"/>
  <c r="P22" i="10" a="1"/>
  <c r="P26" i="10" a="1"/>
  <c r="P24" i="10" a="1"/>
  <c r="P13" i="10"/>
  <c r="Q14" i="10" a="1"/>
  <c r="Q22" i="10" a="1"/>
  <c r="Q24" i="10" a="1"/>
  <c r="Q23" i="10" a="1"/>
  <c r="Q20" i="10" a="1"/>
  <c r="Q25" i="10" a="1"/>
  <c r="Q26" i="10" a="1"/>
  <c r="Q36" i="10" a="1"/>
  <c r="Q13" i="10"/>
  <c r="R26" i="10" a="1"/>
  <c r="R36" i="10" a="1"/>
  <c r="R14" i="10" a="1"/>
  <c r="R20" i="10" a="1"/>
  <c r="R25" i="10" a="1"/>
  <c r="R22" i="10" a="1"/>
  <c r="R13" i="10"/>
  <c r="S23" i="10" a="1"/>
  <c r="S14" i="10" a="1"/>
  <c r="S22" i="10" a="1"/>
  <c r="S25" i="10" a="1"/>
  <c r="S26" i="10" a="1"/>
  <c r="S36" i="10" a="1"/>
  <c r="S20" i="10" a="1"/>
  <c r="S24" i="10" a="1"/>
  <c r="S13" i="10"/>
  <c r="T14" i="10" a="1"/>
  <c r="T20" i="10" a="1"/>
  <c r="T25" i="10" a="1"/>
  <c r="T22" i="10" a="1"/>
  <c r="T24" i="10" a="1"/>
  <c r="T23" i="10" a="1"/>
  <c r="T26" i="10" a="1"/>
  <c r="T36" i="10" a="1"/>
  <c r="T13" i="10"/>
  <c r="U14" i="10" a="1"/>
  <c r="U20" i="10" a="1"/>
  <c r="U26" i="10" a="1"/>
  <c r="U36" i="10" a="1"/>
  <c r="U22" i="10" a="1"/>
  <c r="U25" i="10" a="1"/>
  <c r="U13" i="10"/>
  <c r="V14" i="10" a="1"/>
  <c r="V26" i="10" a="1"/>
  <c r="V24" i="10" a="1"/>
  <c r="V23" i="10" a="1"/>
  <c r="V25" i="10" a="1"/>
  <c r="V36" i="10" a="1"/>
  <c r="V20" i="10" a="1"/>
  <c r="V22" i="10" a="1"/>
  <c r="V13" i="10"/>
  <c r="W23" i="10" a="1"/>
  <c r="W20" i="10" a="1"/>
  <c r="W22" i="10" a="1"/>
  <c r="W25" i="10" a="1"/>
  <c r="W14" i="10" a="1"/>
  <c r="W24" i="10" a="1"/>
  <c r="W26" i="10" a="1"/>
  <c r="W36" i="10" a="1"/>
  <c r="W13" i="10"/>
  <c r="X14" i="10" a="1"/>
  <c r="X20" i="10" a="1"/>
  <c r="X26" i="10" a="1"/>
  <c r="X36" i="10" a="1"/>
  <c r="X22" i="10" a="1"/>
  <c r="X25" i="10" a="1"/>
  <c r="X13" i="10"/>
  <c r="Y23" i="10" a="1"/>
  <c r="Y24" i="10" a="1"/>
  <c r="Y26" i="10" a="1"/>
  <c r="Y14" i="10" a="1"/>
  <c r="Y25" i="10" a="1"/>
  <c r="Y36" i="10" a="1"/>
  <c r="Y20" i="10" a="1"/>
  <c r="Y22" i="10" a="1"/>
  <c r="Y13" i="10"/>
  <c r="Z22" i="10" a="1"/>
  <c r="Z24" i="10" a="1"/>
  <c r="Z25" i="10" a="1"/>
  <c r="Z26" i="10" a="1"/>
  <c r="Z14" i="10" a="1"/>
  <c r="Z20" i="10" a="1"/>
  <c r="Z23" i="10" a="1"/>
  <c r="Z36" i="10" a="1"/>
  <c r="Z13" i="10"/>
  <c r="AA13" i="10"/>
  <c r="AB14" i="10" a="1"/>
  <c r="AB20" i="10" a="1"/>
  <c r="AB23" i="10" a="1"/>
  <c r="AB36" i="10" a="1"/>
  <c r="AB22" i="10" a="1"/>
  <c r="AB24" i="10" a="1"/>
  <c r="AB26" i="10" a="1"/>
  <c r="AB25" i="10" a="1"/>
  <c r="AB13" i="10"/>
  <c r="AC24" i="10" a="1"/>
  <c r="AC14" i="10" a="1"/>
  <c r="AC23" i="10" a="1"/>
  <c r="AC25" i="10" a="1"/>
  <c r="AC26" i="10" a="1"/>
  <c r="AC20" i="10" a="1"/>
  <c r="AC22" i="10" a="1"/>
  <c r="AC36" i="10" a="1"/>
  <c r="AC13" i="10"/>
  <c r="AD20" i="10" a="1"/>
  <c r="AD25" i="10" a="1"/>
  <c r="AD26" i="10" a="1"/>
  <c r="AD36" i="10" a="1"/>
  <c r="AD14" i="10" a="1"/>
  <c r="AD22" i="10" a="1"/>
  <c r="AD13" i="10"/>
  <c r="AE14" i="10" a="1"/>
  <c r="AE22" i="10" a="1"/>
  <c r="AE24" i="10" a="1"/>
  <c r="AE26" i="10" a="1"/>
  <c r="AE36" i="10" a="1"/>
  <c r="AE20" i="10" a="1"/>
  <c r="AE25" i="10" a="1"/>
  <c r="AE23" i="10" a="1"/>
  <c r="AE13" i="10"/>
  <c r="AF22" i="10" a="1"/>
  <c r="AF23" i="10" a="1"/>
  <c r="AF24" i="10" a="1"/>
  <c r="AF25" i="10" a="1"/>
  <c r="AF14" i="10" a="1"/>
  <c r="AF20" i="10" a="1"/>
  <c r="AF26" i="10" a="1"/>
  <c r="AF36" i="10" a="1"/>
  <c r="AF13" i="10"/>
  <c r="AG20" i="10" a="1"/>
  <c r="AG26" i="10" a="1"/>
  <c r="AG14" i="10" a="1"/>
  <c r="AG25" i="10" a="1"/>
  <c r="AG36" i="10" a="1"/>
  <c r="AG22" i="10" a="1"/>
  <c r="AG13" i="10"/>
  <c r="AH14" i="10" a="1"/>
  <c r="AH36" i="10" a="1"/>
  <c r="AH23" i="10" a="1"/>
  <c r="AH20" i="10" a="1"/>
  <c r="AH22" i="10" a="1"/>
  <c r="AH24" i="10" a="1"/>
  <c r="AH25" i="10" a="1"/>
  <c r="AH26" i="10" a="1"/>
  <c r="AH13" i="10"/>
  <c r="AI24" i="10" a="1"/>
  <c r="AI25" i="10" a="1"/>
  <c r="AI22" i="10" a="1"/>
  <c r="AI14" i="10" a="1"/>
  <c r="AI20" i="10" a="1"/>
  <c r="AI23" i="10" a="1"/>
  <c r="AI26" i="10" a="1"/>
  <c r="AI36" i="10" a="1"/>
  <c r="AI13" i="10"/>
  <c r="AJ14" i="10" a="1"/>
  <c r="AJ20" i="10" a="1"/>
  <c r="AJ22" i="10" a="1"/>
  <c r="AJ26" i="10" a="1"/>
  <c r="AJ36" i="10" a="1"/>
  <c r="AJ25" i="10" a="1"/>
  <c r="AJ13" i="10"/>
  <c r="AK14" i="10" a="1"/>
  <c r="AK25" i="10" a="1"/>
  <c r="AK26" i="10" a="1"/>
  <c r="AK23" i="10" a="1"/>
  <c r="AK36" i="10" a="1"/>
  <c r="AK20" i="10" a="1"/>
  <c r="AK22" i="10" a="1"/>
  <c r="AK24" i="10" a="1"/>
  <c r="AK13" i="10"/>
  <c r="AL14" i="10" a="1"/>
  <c r="AL20" i="10" a="1"/>
  <c r="AL24" i="10" a="1"/>
  <c r="AL25" i="10" a="1"/>
  <c r="AL23" i="10" a="1"/>
  <c r="AL36" i="10" a="1"/>
  <c r="AL22" i="10" a="1"/>
  <c r="AL26" i="10" a="1"/>
  <c r="AL13" i="10"/>
  <c r="AM13" i="10"/>
  <c r="AN23" i="10" a="1"/>
  <c r="AN26" i="10" a="1"/>
  <c r="AN14" i="10" a="1"/>
  <c r="AN22" i="10" a="1"/>
  <c r="AN20" i="10" a="1"/>
  <c r="AN25" i="10" a="1"/>
  <c r="AN24" i="10" a="1"/>
  <c r="AN36" i="10" a="1"/>
  <c r="AN13" i="10"/>
  <c r="AO20" i="10" a="1"/>
  <c r="AO22" i="10" a="1"/>
  <c r="AO26" i="10" a="1"/>
  <c r="AO14" i="10" a="1"/>
  <c r="AO23" i="10" a="1"/>
  <c r="AO24" i="10" a="1"/>
  <c r="AO36" i="10" a="1"/>
  <c r="AO25" i="10" a="1"/>
  <c r="AO13" i="10"/>
  <c r="AP14" i="10" a="1"/>
  <c r="AP36" i="10" a="1"/>
  <c r="AP25" i="10" a="1"/>
  <c r="AP20" i="10" a="1"/>
  <c r="AP22" i="10" a="1"/>
  <c r="AP26" i="10" a="1"/>
  <c r="AP13" i="10"/>
  <c r="AQ24" i="10" a="1"/>
  <c r="AQ14" i="10" a="1"/>
  <c r="AQ20" i="10" a="1"/>
  <c r="AQ22" i="10" a="1"/>
  <c r="AQ25" i="10" a="1"/>
  <c r="AQ26" i="10" a="1"/>
  <c r="AQ23" i="10" a="1"/>
  <c r="AQ36" i="10" a="1"/>
  <c r="AQ13" i="10"/>
  <c r="AR20" i="10" a="1"/>
  <c r="AR23" i="10" a="1"/>
  <c r="AR25" i="10" a="1"/>
  <c r="AR26" i="10" a="1"/>
  <c r="AR22" i="10" a="1"/>
  <c r="AR36" i="10" a="1"/>
  <c r="AR14" i="10" a="1"/>
  <c r="AR24" i="10" a="1"/>
  <c r="AR13" i="10"/>
  <c r="AS14" i="10" a="1"/>
  <c r="AS36" i="10" a="1"/>
  <c r="AS20" i="10" a="1"/>
  <c r="AS22" i="10" a="1"/>
  <c r="AS25" i="10" a="1"/>
  <c r="AS26" i="10" a="1"/>
  <c r="AS13" i="10"/>
  <c r="AT22" i="10" a="1"/>
  <c r="AT25" i="10" a="1"/>
  <c r="AT26" i="10" a="1"/>
  <c r="AT36" i="10" a="1"/>
  <c r="AT14" i="10" a="1"/>
  <c r="AT20" i="10" a="1"/>
  <c r="AT24" i="10" a="1"/>
  <c r="AT23" i="10" a="1"/>
  <c r="AT13" i="10"/>
  <c r="AU20" i="10" a="1"/>
  <c r="AU24" i="10" a="1"/>
  <c r="AU25" i="10" a="1"/>
  <c r="AU26" i="10" a="1"/>
  <c r="AU14" i="10" a="1"/>
  <c r="AU22" i="10" a="1"/>
  <c r="AU23" i="10" a="1"/>
  <c r="AU36" i="10" a="1"/>
  <c r="AU13" i="10"/>
  <c r="AV14" i="10" a="1"/>
  <c r="AV36" i="10" a="1"/>
  <c r="AV22" i="10" a="1"/>
  <c r="AV25" i="10" a="1"/>
  <c r="AV26" i="10" a="1"/>
  <c r="AV20" i="10" a="1"/>
  <c r="AV13" i="10"/>
  <c r="AW13" i="10"/>
  <c r="AW25" i="10" a="1"/>
  <c r="AW23" i="10" a="1"/>
  <c r="AW36" i="10" a="1"/>
  <c r="AW14" i="10" a="1"/>
  <c r="AW20" i="10" a="1"/>
  <c r="AW24" i="10" a="1"/>
  <c r="AW22" i="10" a="1"/>
  <c r="AW26" i="10" a="1"/>
  <c r="AX20" i="10" a="1"/>
  <c r="AX24" i="10" a="1"/>
  <c r="AX14" i="10" a="1"/>
  <c r="AX22" i="10" a="1"/>
  <c r="AX26" i="10" a="1"/>
  <c r="AX36" i="10" a="1"/>
  <c r="AX23" i="10" a="1"/>
  <c r="AX25" i="10" a="1"/>
  <c r="AX13" i="10"/>
  <c r="AY13" i="10"/>
  <c r="AZ14" i="10" a="1"/>
  <c r="AZ22" i="10" a="1"/>
  <c r="AZ23" i="10" a="1"/>
  <c r="AZ26" i="10" a="1"/>
  <c r="AZ25" i="10" a="1"/>
  <c r="AZ20" i="10" a="1"/>
  <c r="AZ24" i="10" a="1"/>
  <c r="AZ36" i="10" a="1"/>
  <c r="AZ13" i="10"/>
  <c r="BA20" i="10" a="1"/>
  <c r="BA25" i="10" a="1"/>
  <c r="BA36" i="10" a="1"/>
  <c r="BA14" i="10" a="1"/>
  <c r="BA22" i="10" a="1"/>
  <c r="BA23" i="10" a="1"/>
  <c r="BA24" i="10" a="1"/>
  <c r="BA26" i="10" a="1"/>
  <c r="BA13" i="10"/>
  <c r="BB14" i="10" a="1"/>
  <c r="BB22" i="10" a="1"/>
  <c r="BB20" i="10" a="1"/>
  <c r="BB36" i="10" a="1"/>
  <c r="BB25" i="10" a="1"/>
  <c r="BB26" i="10" a="1"/>
  <c r="BB13" i="10"/>
  <c r="BC14" i="10" a="1"/>
  <c r="BC24" i="10" a="1"/>
  <c r="BC26" i="10" a="1"/>
  <c r="BC36" i="10" a="1"/>
  <c r="BC22" i="10" a="1"/>
  <c r="BC25" i="10" a="1"/>
  <c r="BC20" i="10" a="1"/>
  <c r="BC23" i="10" a="1"/>
  <c r="BC13" i="10"/>
  <c r="BD20" i="10" a="1"/>
  <c r="BD22" i="10" a="1"/>
  <c r="BD14" i="10" a="1"/>
  <c r="BD24" i="10" a="1"/>
  <c r="BD25" i="10" a="1"/>
  <c r="BD23" i="10" a="1"/>
  <c r="BD26" i="10" a="1"/>
  <c r="BD36" i="10" a="1"/>
  <c r="BD13" i="10"/>
  <c r="BE26" i="10" a="1"/>
  <c r="BE36" i="10" a="1"/>
  <c r="BE14" i="10" a="1"/>
  <c r="BE20" i="10" a="1"/>
  <c r="BE25" i="10" a="1"/>
  <c r="BE22" i="10" a="1"/>
  <c r="BE13" i="10"/>
  <c r="BF14" i="10" a="1"/>
  <c r="BF24" i="10" a="1"/>
  <c r="BF22" i="10" a="1"/>
  <c r="BF23" i="10" a="1"/>
  <c r="BF36" i="10" a="1"/>
  <c r="BF20" i="10" a="1"/>
  <c r="BF25" i="10" a="1"/>
  <c r="BF26" i="10" a="1"/>
  <c r="BF13" i="10"/>
  <c r="BG20" i="10" a="1"/>
  <c r="BG22" i="10" a="1"/>
  <c r="BG23" i="10" a="1"/>
  <c r="BG25" i="10" a="1"/>
  <c r="BG14" i="10" a="1"/>
  <c r="BG24" i="10" a="1"/>
  <c r="BG26" i="10" a="1"/>
  <c r="BG36" i="10" a="1"/>
  <c r="BG13" i="10"/>
  <c r="BH26" i="10" a="1"/>
  <c r="BH25" i="10" a="1"/>
  <c r="BH14" i="10" a="1"/>
  <c r="BH20" i="10" a="1"/>
  <c r="BH22" i="10" a="1"/>
  <c r="BH36" i="10" a="1"/>
  <c r="BH13" i="10"/>
  <c r="BI14" i="10" a="1"/>
  <c r="BI20" i="10" a="1"/>
  <c r="BI36" i="10" a="1"/>
  <c r="BI23" i="10" a="1"/>
  <c r="BI26" i="10" a="1"/>
  <c r="BI22" i="10" a="1"/>
  <c r="BI24" i="10" a="1"/>
  <c r="BI25" i="10" a="1"/>
  <c r="BI13" i="10"/>
  <c r="BJ22" i="10" a="1"/>
  <c r="BJ24" i="10" a="1"/>
  <c r="BJ14" i="10" a="1"/>
  <c r="BJ36" i="10" a="1"/>
  <c r="BJ25" i="10" a="1"/>
  <c r="BJ26" i="10" a="1"/>
  <c r="BJ20" i="10" a="1"/>
  <c r="BJ23" i="10" a="1"/>
  <c r="BJ13" i="10"/>
  <c r="BK13" i="10"/>
  <c r="D11" i="6"/>
  <c r="BA11" i="4"/>
  <c r="AZ11" i="4"/>
  <c r="AY11" i="4"/>
  <c r="AX11"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E12" i="4" s="1"/>
  <c r="F12" i="4" s="1"/>
  <c r="G12" i="4" s="1"/>
  <c r="H12" i="4" s="1"/>
  <c r="I12" i="4" s="1"/>
  <c r="J12" i="4" s="1"/>
  <c r="D11" i="4"/>
  <c r="D10" i="6"/>
  <c r="BA37" i="6"/>
  <c r="AZ37" i="6"/>
  <c r="AY37" i="6"/>
  <c r="AX37" i="6"/>
  <c r="AW37" i="6"/>
  <c r="AV37" i="6"/>
  <c r="AU37" i="6"/>
  <c r="AT37" i="6"/>
  <c r="AS37" i="6"/>
  <c r="AR37" i="6"/>
  <c r="AQ37" i="6"/>
  <c r="AP37" i="6"/>
  <c r="AO37" i="6"/>
  <c r="AN37" i="6"/>
  <c r="AM37" i="6"/>
  <c r="AL37" i="6"/>
  <c r="AK37" i="6"/>
  <c r="AJ37" i="6"/>
  <c r="AI37" i="6"/>
  <c r="AH37" i="6"/>
  <c r="AG37" i="6"/>
  <c r="AF37" i="6"/>
  <c r="AE37" i="6"/>
  <c r="AD37" i="6"/>
  <c r="AC37" i="6"/>
  <c r="AB37" i="6"/>
  <c r="AA37" i="6"/>
  <c r="Z37" i="6"/>
  <c r="Y37" i="6"/>
  <c r="X37" i="6"/>
  <c r="W37" i="6"/>
  <c r="V37" i="6"/>
  <c r="U37" i="6"/>
  <c r="T37" i="6"/>
  <c r="S37" i="6"/>
  <c r="R37" i="6"/>
  <c r="Q37" i="6"/>
  <c r="P37" i="6"/>
  <c r="O37" i="6"/>
  <c r="N37" i="6"/>
  <c r="D27" i="5"/>
  <c r="AA41" i="6"/>
  <c r="T41" i="6"/>
  <c r="P41" i="6"/>
  <c r="L41" i="6"/>
  <c r="H41" i="6"/>
  <c r="E41" i="6"/>
  <c r="Z41" i="6"/>
  <c r="W41" i="6"/>
  <c r="R41" i="6"/>
  <c r="O41" i="6"/>
  <c r="K41" i="6"/>
  <c r="D41" i="6"/>
  <c r="D42" i="8" s="1"/>
  <c r="E42" i="8" s="1"/>
  <c r="Y41" i="6"/>
  <c r="U41" i="6"/>
  <c r="Q41" i="6"/>
  <c r="N41" i="6"/>
  <c r="I41" i="6"/>
  <c r="F41" i="6"/>
  <c r="X41" i="6"/>
  <c r="V41" i="6"/>
  <c r="S41" i="6"/>
  <c r="M41" i="6"/>
  <c r="J41" i="6"/>
  <c r="G41" i="6"/>
  <c r="AU42" i="6"/>
  <c r="AU47" i="6" s="1"/>
  <c r="AR42" i="6"/>
  <c r="AR47" i="6" s="1"/>
  <c r="AO42" i="6"/>
  <c r="AO47" i="6" s="1"/>
  <c r="AK42" i="6"/>
  <c r="AK47" i="6" s="1"/>
  <c r="AF42" i="6"/>
  <c r="AF47" i="6" s="1"/>
  <c r="AB42" i="6"/>
  <c r="AB47" i="6" s="1"/>
  <c r="X42" i="6"/>
  <c r="X47" i="6" s="1"/>
  <c r="T42" i="6"/>
  <c r="T47" i="6" s="1"/>
  <c r="P42" i="6"/>
  <c r="P47" i="6" s="1"/>
  <c r="L42" i="6"/>
  <c r="L47" i="6" s="1"/>
  <c r="H42" i="6"/>
  <c r="H47" i="6" s="1"/>
  <c r="F42" i="6"/>
  <c r="F47" i="6" s="1"/>
  <c r="AZ42" i="6"/>
  <c r="AZ47" i="6" s="1"/>
  <c r="AX42" i="6"/>
  <c r="AX47" i="6" s="1"/>
  <c r="AT42" i="6"/>
  <c r="AT47" i="6" s="1"/>
  <c r="AP42" i="6"/>
  <c r="AP47" i="6" s="1"/>
  <c r="AN42" i="6"/>
  <c r="AN47" i="6" s="1"/>
  <c r="AJ42" i="6"/>
  <c r="AJ47" i="6" s="1"/>
  <c r="AG42" i="6"/>
  <c r="AG47" i="6" s="1"/>
  <c r="AC42" i="6"/>
  <c r="AC47" i="6" s="1"/>
  <c r="Z42" i="6"/>
  <c r="Z47" i="6" s="1"/>
  <c r="V42" i="6"/>
  <c r="V47" i="6" s="1"/>
  <c r="R42" i="6"/>
  <c r="R47" i="6" s="1"/>
  <c r="M42" i="6"/>
  <c r="M47" i="6" s="1"/>
  <c r="I42" i="6"/>
  <c r="I47" i="6" s="1"/>
  <c r="D42" i="6"/>
  <c r="D47" i="6" s="1"/>
  <c r="BA42" i="6"/>
  <c r="BA47" i="6" s="1"/>
  <c r="AW42" i="6"/>
  <c r="AW47" i="6" s="1"/>
  <c r="AQ42" i="6"/>
  <c r="AQ47" i="6" s="1"/>
  <c r="AL42" i="6"/>
  <c r="AL47" i="6" s="1"/>
  <c r="AH42" i="6"/>
  <c r="AH47" i="6" s="1"/>
  <c r="AD42" i="6"/>
  <c r="AD47" i="6" s="1"/>
  <c r="Y42" i="6"/>
  <c r="Y47" i="6" s="1"/>
  <c r="U42" i="6"/>
  <c r="U47" i="6" s="1"/>
  <c r="Q42" i="6"/>
  <c r="Q47" i="6" s="1"/>
  <c r="N42" i="6"/>
  <c r="N47" i="6" s="1"/>
  <c r="J42" i="6"/>
  <c r="J47" i="6" s="1"/>
  <c r="E42" i="6"/>
  <c r="E47" i="6" s="1"/>
  <c r="AY42" i="6"/>
  <c r="AY47" i="6" s="1"/>
  <c r="AV42" i="6"/>
  <c r="AV47" i="6" s="1"/>
  <c r="AS42" i="6"/>
  <c r="AS47" i="6" s="1"/>
  <c r="AM42" i="6"/>
  <c r="AM47" i="6" s="1"/>
  <c r="AI42" i="6"/>
  <c r="AI47" i="6" s="1"/>
  <c r="AE42" i="6"/>
  <c r="AE47" i="6" s="1"/>
  <c r="AA42" i="6"/>
  <c r="AA47" i="6" s="1"/>
  <c r="W42" i="6"/>
  <c r="W47" i="6" s="1"/>
  <c r="S42" i="6"/>
  <c r="S47" i="6" s="1"/>
  <c r="O42" i="6"/>
  <c r="O47" i="6" s="1"/>
  <c r="K42" i="6"/>
  <c r="K47" i="6" s="1"/>
  <c r="G42" i="6"/>
  <c r="G47" i="6" s="1"/>
  <c r="D23" i="6"/>
  <c r="D24" i="6" s="1"/>
  <c r="E31" i="9"/>
  <c r="D31" i="9"/>
  <c r="D20" i="6"/>
  <c r="E33" i="9"/>
  <c r="D33" i="9"/>
  <c r="M7" i="8"/>
  <c r="AJ7" i="6"/>
  <c r="AK7" i="6"/>
  <c r="AL7" i="6"/>
  <c r="AM7" i="6"/>
  <c r="AN7" i="6"/>
  <c r="AO7" i="6"/>
  <c r="AP7" i="6"/>
  <c r="AQ7" i="6"/>
  <c r="AR7" i="6"/>
  <c r="AS7" i="6"/>
  <c r="AT7" i="6"/>
  <c r="AU7" i="6"/>
  <c r="AV7" i="6"/>
  <c r="AW7" i="6"/>
  <c r="AX7" i="6"/>
  <c r="AY7" i="6"/>
  <c r="AZ7" i="6"/>
  <c r="U7" i="8"/>
  <c r="V7" i="8"/>
  <c r="W7" i="8"/>
  <c r="X7" i="8"/>
  <c r="Y7" i="8"/>
  <c r="AS7" i="8"/>
  <c r="Z7" i="8"/>
  <c r="AA7" i="8"/>
  <c r="AB7" i="8"/>
  <c r="AC7" i="8"/>
  <c r="AD7" i="8"/>
  <c r="AE7" i="8"/>
  <c r="AF7" i="8"/>
  <c r="AG7" i="8"/>
  <c r="AH7" i="8"/>
  <c r="AI7" i="8"/>
  <c r="AJ7" i="8"/>
  <c r="AK7" i="8"/>
  <c r="AL7" i="8"/>
  <c r="AM7" i="8"/>
  <c r="AN7" i="8"/>
  <c r="AO7" i="8"/>
  <c r="AP7" i="8"/>
  <c r="AQ7" i="8"/>
  <c r="AR7" i="8"/>
  <c r="BA7" i="6"/>
  <c r="BA7" i="8"/>
  <c r="AZ7" i="8"/>
  <c r="AY7" i="8"/>
  <c r="AX7" i="8"/>
  <c r="AW7" i="8"/>
  <c r="AV7" i="8"/>
  <c r="AU7" i="8"/>
  <c r="D7" i="8"/>
  <c r="E7" i="8"/>
  <c r="F7" i="8"/>
  <c r="G7" i="8"/>
  <c r="H7" i="8"/>
  <c r="I7" i="8"/>
  <c r="J7" i="8"/>
  <c r="K7" i="8"/>
  <c r="L7" i="8"/>
  <c r="AT7" i="8"/>
  <c r="N7" i="8"/>
  <c r="O7" i="8"/>
  <c r="P7" i="8"/>
  <c r="Q7" i="8"/>
  <c r="R7" i="8"/>
  <c r="S7" i="8"/>
  <c r="T7" i="8"/>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E7" i="6"/>
  <c r="D7" i="6"/>
  <c r="AI27" i="6"/>
  <c r="AJ27" i="6"/>
  <c r="J27" i="6"/>
  <c r="I27" i="6"/>
  <c r="H27" i="6"/>
  <c r="G27" i="6"/>
  <c r="F27" i="6"/>
  <c r="E27" i="6"/>
  <c r="D27" i="6"/>
  <c r="K27" i="6"/>
  <c r="L27" i="6"/>
  <c r="M27" i="6"/>
  <c r="N27" i="6"/>
  <c r="O27" i="6"/>
  <c r="P27" i="6"/>
  <c r="Q27" i="6"/>
  <c r="R27" i="6"/>
  <c r="T27" i="6"/>
  <c r="U27" i="6"/>
  <c r="V27" i="6"/>
  <c r="W27" i="6"/>
  <c r="X27" i="6"/>
  <c r="Y27" i="6"/>
  <c r="Z27" i="6"/>
  <c r="AA27" i="6"/>
  <c r="AB27" i="6"/>
  <c r="AC27" i="6"/>
  <c r="AD27" i="6"/>
  <c r="AE27" i="6"/>
  <c r="AF27" i="6"/>
  <c r="AG27" i="6"/>
  <c r="AH27" i="6"/>
  <c r="AK27" i="6"/>
  <c r="BA27" i="6"/>
  <c r="AZ27" i="6"/>
  <c r="AY27" i="6"/>
  <c r="AX27" i="6"/>
  <c r="AW27" i="6"/>
  <c r="AV27" i="6"/>
  <c r="AU27" i="6"/>
  <c r="AT27" i="6"/>
  <c r="AS27" i="6"/>
  <c r="AR27" i="6"/>
  <c r="AQ27" i="6"/>
  <c r="AP27" i="6"/>
  <c r="AO27" i="6"/>
  <c r="AN27" i="6"/>
  <c r="AM27" i="6"/>
  <c r="AL27" i="6"/>
  <c r="S27" i="6"/>
  <c r="D18" i="6"/>
  <c r="BA9" i="4"/>
  <c r="BA39" i="6" s="1"/>
  <c r="AZ9" i="4"/>
  <c r="AZ39" i="6" s="1"/>
  <c r="AY9" i="4"/>
  <c r="AY39" i="6" s="1"/>
  <c r="AX9" i="4"/>
  <c r="AX39" i="6" s="1"/>
  <c r="AW9" i="4"/>
  <c r="AW39" i="6" s="1"/>
  <c r="AV9" i="4"/>
  <c r="AV39" i="6" s="1"/>
  <c r="AU9" i="4"/>
  <c r="AU39" i="6" s="1"/>
  <c r="AT9" i="4"/>
  <c r="AT39" i="6" s="1"/>
  <c r="AS9" i="4"/>
  <c r="AS39" i="6" s="1"/>
  <c r="AR9" i="4"/>
  <c r="AR39" i="6" s="1"/>
  <c r="AQ9" i="4"/>
  <c r="AQ39" i="6" s="1"/>
  <c r="AP9" i="4"/>
  <c r="AP39" i="6" s="1"/>
  <c r="AO9" i="4"/>
  <c r="AO39" i="6" s="1"/>
  <c r="AN9" i="4"/>
  <c r="AN39" i="6" s="1"/>
  <c r="AM9" i="4"/>
  <c r="AM39" i="6" s="1"/>
  <c r="AL9" i="4"/>
  <c r="AL39" i="6" s="1"/>
  <c r="AK9" i="4"/>
  <c r="AK39" i="6" s="1"/>
  <c r="AJ9" i="4"/>
  <c r="AJ39" i="6" s="1"/>
  <c r="AI9" i="4"/>
  <c r="AI39" i="6" s="1"/>
  <c r="AH9" i="4"/>
  <c r="AH39" i="6" s="1"/>
  <c r="AG9" i="4"/>
  <c r="AG39" i="6" s="1"/>
  <c r="AF9" i="4"/>
  <c r="AF39" i="6" s="1"/>
  <c r="AE9" i="4"/>
  <c r="AE39" i="6" s="1"/>
  <c r="AD9" i="4"/>
  <c r="AD39" i="6" s="1"/>
  <c r="AC9" i="4"/>
  <c r="AC39" i="6" s="1"/>
  <c r="AB9" i="4"/>
  <c r="AB39" i="6" s="1"/>
  <c r="AA9" i="4"/>
  <c r="AA39" i="6" s="1"/>
  <c r="Z9" i="4"/>
  <c r="Z39" i="6" s="1"/>
  <c r="Y9" i="4"/>
  <c r="Y39" i="6" s="1"/>
  <c r="X9" i="4"/>
  <c r="X39" i="6" s="1"/>
  <c r="W9" i="4"/>
  <c r="W39" i="6" s="1"/>
  <c r="V9" i="4"/>
  <c r="V39" i="6" s="1"/>
  <c r="U9" i="4"/>
  <c r="U39" i="6" s="1"/>
  <c r="T9" i="4"/>
  <c r="T39" i="6" s="1"/>
  <c r="S9" i="4"/>
  <c r="S39" i="6" s="1"/>
  <c r="R9" i="4"/>
  <c r="R39" i="6" s="1"/>
  <c r="Q9" i="4"/>
  <c r="Q39" i="6" s="1"/>
  <c r="P9" i="4"/>
  <c r="P39" i="6" s="1"/>
  <c r="O9" i="4"/>
  <c r="O39" i="6" s="1"/>
  <c r="N9" i="4"/>
  <c r="N39" i="6" s="1"/>
  <c r="M9" i="4"/>
  <c r="M39" i="6" s="1"/>
  <c r="L9" i="4"/>
  <c r="L39" i="6" s="1"/>
  <c r="K9" i="4"/>
  <c r="K39" i="6" s="1"/>
  <c r="J9" i="4"/>
  <c r="J39" i="6" s="1"/>
  <c r="I9" i="4"/>
  <c r="I39" i="6" s="1"/>
  <c r="H9" i="4"/>
  <c r="H39" i="6" s="1"/>
  <c r="G9" i="4"/>
  <c r="G39" i="6" s="1"/>
  <c r="F9" i="4"/>
  <c r="F39" i="6" s="1"/>
  <c r="E9" i="4"/>
  <c r="E39" i="6" s="1"/>
  <c r="D9" i="4"/>
  <c r="BA13" i="4"/>
  <c r="AZ13" i="4"/>
  <c r="AY13" i="4"/>
  <c r="AX13" i="4"/>
  <c r="AW13" i="4"/>
  <c r="AV13" i="4"/>
  <c r="AU13" i="4"/>
  <c r="AT13" i="4"/>
  <c r="AS13"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BA7" i="5"/>
  <c r="AZ7" i="5"/>
  <c r="AY7" i="5"/>
  <c r="AX7" i="5"/>
  <c r="AW7" i="5"/>
  <c r="AV7" i="5"/>
  <c r="AU7" i="5"/>
  <c r="AT7" i="5"/>
  <c r="AS7" i="5"/>
  <c r="AR7" i="5"/>
  <c r="AQ7" i="5"/>
  <c r="AP7" i="5"/>
  <c r="AO7" i="5"/>
  <c r="AN7"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I7" i="5"/>
  <c r="H7" i="5"/>
  <c r="G7" i="5"/>
  <c r="F7" i="5"/>
  <c r="E7" i="5"/>
  <c r="D7" i="5"/>
  <c r="BA7" i="7"/>
  <c r="AZ7" i="7"/>
  <c r="AY7" i="7"/>
  <c r="AX7" i="7"/>
  <c r="AW7" i="7"/>
  <c r="AV7" i="7"/>
  <c r="AU7" i="7"/>
  <c r="AT7" i="7"/>
  <c r="AS7" i="7"/>
  <c r="AR7" i="7"/>
  <c r="AQ7" i="7"/>
  <c r="AP7" i="7"/>
  <c r="AO7" i="7"/>
  <c r="AN7" i="7"/>
  <c r="AM7" i="7"/>
  <c r="AL7" i="7"/>
  <c r="AK7" i="7"/>
  <c r="AJ7" i="7"/>
  <c r="AI7" i="7"/>
  <c r="AH7" i="7"/>
  <c r="AG7" i="7"/>
  <c r="AF7" i="7"/>
  <c r="AE7" i="7"/>
  <c r="AD7" i="7"/>
  <c r="AC7" i="7"/>
  <c r="AB7" i="7"/>
  <c r="AA7" i="7"/>
  <c r="Z7" i="7"/>
  <c r="Y7" i="7"/>
  <c r="X7" i="7"/>
  <c r="W7" i="7"/>
  <c r="V7" i="7"/>
  <c r="U7" i="7"/>
  <c r="T7" i="7"/>
  <c r="S7" i="7"/>
  <c r="R7" i="7"/>
  <c r="Q7" i="7"/>
  <c r="P7" i="7"/>
  <c r="O7" i="7"/>
  <c r="N7" i="7"/>
  <c r="M7" i="7"/>
  <c r="L7" i="7"/>
  <c r="K7" i="7"/>
  <c r="J7" i="7"/>
  <c r="I7" i="7"/>
  <c r="H7" i="7"/>
  <c r="G7" i="7"/>
  <c r="F7" i="7"/>
  <c r="E7" i="7"/>
  <c r="D7" i="7"/>
  <c r="D19" i="4"/>
  <c r="D23" i="5" s="1"/>
  <c r="BA14" i="5"/>
  <c r="AZ14" i="5"/>
  <c r="AY14" i="5"/>
  <c r="AX14" i="5"/>
  <c r="AW14" i="5"/>
  <c r="AV14" i="5"/>
  <c r="AU14" i="5"/>
  <c r="AT14" i="5"/>
  <c r="AS14" i="5"/>
  <c r="AR14" i="5"/>
  <c r="AQ14" i="5"/>
  <c r="AP14" i="5"/>
  <c r="AO14" i="5"/>
  <c r="AN14"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D13" i="6" l="1"/>
  <c r="D12" i="8" s="1"/>
  <c r="D12" i="10" a="1"/>
  <c r="G12" i="10" a="1"/>
  <c r="I12" i="10" a="1"/>
  <c r="K12" i="10" a="1"/>
  <c r="L12" i="10" a="1"/>
  <c r="N12" i="10" a="1"/>
  <c r="O12" i="10" a="1"/>
  <c r="E12" i="10" a="1"/>
  <c r="F12" i="10" a="1"/>
  <c r="H12" i="10" a="1"/>
  <c r="J12" i="10" a="1"/>
  <c r="M12" i="10" a="1"/>
  <c r="D14" i="6"/>
  <c r="D15" i="6" s="1"/>
  <c r="D11" i="8"/>
  <c r="BA56" i="8"/>
  <c r="BA69" i="8"/>
  <c r="AZ56" i="8"/>
  <c r="AZ69" i="8"/>
  <c r="AY56" i="8"/>
  <c r="AY69" i="8"/>
  <c r="AX56" i="8"/>
  <c r="AX69" i="8"/>
  <c r="AW56" i="8"/>
  <c r="AW69" i="8"/>
  <c r="AV56" i="8"/>
  <c r="AV69" i="8"/>
  <c r="AU56" i="8"/>
  <c r="AU69" i="8"/>
  <c r="AT56" i="8"/>
  <c r="AT69" i="8"/>
  <c r="AS56" i="8"/>
  <c r="AS69" i="8"/>
  <c r="AR56" i="8"/>
  <c r="AR69" i="8"/>
  <c r="AQ56" i="8"/>
  <c r="AQ69" i="8"/>
  <c r="AP56" i="8"/>
  <c r="AP69" i="8"/>
  <c r="AO56" i="8"/>
  <c r="AO69" i="8"/>
  <c r="AN56" i="8"/>
  <c r="AN69" i="8"/>
  <c r="AM56" i="8"/>
  <c r="AM69" i="8"/>
  <c r="AL56" i="8"/>
  <c r="AL69" i="8"/>
  <c r="AK56" i="8"/>
  <c r="AK69" i="8"/>
  <c r="AJ56" i="8"/>
  <c r="AJ69" i="8"/>
  <c r="AI56" i="8"/>
  <c r="AI69" i="8"/>
  <c r="AH56" i="8"/>
  <c r="AH69" i="8"/>
  <c r="AG56" i="8"/>
  <c r="AG69" i="8"/>
  <c r="AF56" i="8"/>
  <c r="AF69" i="8"/>
  <c r="AE56" i="8"/>
  <c r="AE69" i="8"/>
  <c r="AD56" i="8"/>
  <c r="AD69" i="8"/>
  <c r="AC56" i="8"/>
  <c r="AC69" i="8"/>
  <c r="AB56" i="8"/>
  <c r="AB69" i="8"/>
  <c r="AA56" i="8"/>
  <c r="AA69" i="8"/>
  <c r="Z56" i="8"/>
  <c r="Z69" i="8"/>
  <c r="Y56" i="8"/>
  <c r="Y69" i="8"/>
  <c r="X56" i="8"/>
  <c r="X69" i="8"/>
  <c r="W56" i="8"/>
  <c r="W69" i="8"/>
  <c r="V56" i="8"/>
  <c r="V69" i="8"/>
  <c r="U56" i="8"/>
  <c r="U69" i="8"/>
  <c r="T56" i="8"/>
  <c r="T69" i="8"/>
  <c r="S56" i="8"/>
  <c r="S69" i="8"/>
  <c r="R56" i="8"/>
  <c r="R69" i="8"/>
  <c r="Q56" i="8"/>
  <c r="Q69" i="8"/>
  <c r="P56" i="8"/>
  <c r="P69" i="8"/>
  <c r="O56" i="8"/>
  <c r="O69" i="8"/>
  <c r="N56" i="8"/>
  <c r="N69" i="8"/>
  <c r="F42" i="8"/>
  <c r="G42" i="8" s="1"/>
  <c r="H42" i="8" s="1"/>
  <c r="I42" i="8" s="1"/>
  <c r="J42" i="8" s="1"/>
  <c r="K42" i="8" s="1"/>
  <c r="L42" i="8" s="1"/>
  <c r="M42" i="8" s="1"/>
  <c r="N42" i="8" s="1"/>
  <c r="O42" i="8" s="1"/>
  <c r="P42" i="8" s="1"/>
  <c r="Q42" i="8" s="1"/>
  <c r="R42" i="8" s="1"/>
  <c r="S42" i="8" s="1"/>
  <c r="T42" i="8" s="1"/>
  <c r="U42" i="8" s="1"/>
  <c r="V42" i="8" s="1"/>
  <c r="W42" i="8" s="1"/>
  <c r="D49" i="6"/>
  <c r="D50" i="6" s="1"/>
  <c r="D36" i="8" s="1"/>
  <c r="D48" i="6"/>
  <c r="D21" i="8" s="1"/>
  <c r="D39" i="6"/>
  <c r="D31" i="6"/>
  <c r="K12" i="4"/>
  <c r="L12" i="4" s="1"/>
  <c r="M12" i="4" s="1"/>
  <c r="N12" i="4" s="1"/>
  <c r="O12" i="4" s="1"/>
  <c r="P12" i="4" s="1"/>
  <c r="Q12" i="4" s="1"/>
  <c r="R12" i="4" s="1"/>
  <c r="S12" i="4" s="1"/>
  <c r="T12" i="4" s="1"/>
  <c r="U12" i="4" s="1"/>
  <c r="V12" i="4" s="1"/>
  <c r="W12" i="4" s="1"/>
  <c r="X12" i="4" s="1"/>
  <c r="Y12" i="4" s="1"/>
  <c r="Z12" i="4" s="1"/>
  <c r="AA12" i="4" s="1"/>
  <c r="AB12" i="4" s="1"/>
  <c r="AC12" i="4" s="1"/>
  <c r="AD12" i="4" s="1"/>
  <c r="AE12" i="4" s="1"/>
  <c r="AF12" i="4" s="1"/>
  <c r="AG12" i="4" s="1"/>
  <c r="AH12" i="4" s="1"/>
  <c r="AI12" i="4" s="1"/>
  <c r="AJ12" i="4" s="1"/>
  <c r="AK12" i="4" s="1"/>
  <c r="AL12" i="4" s="1"/>
  <c r="AM12" i="4" s="1"/>
  <c r="AN12" i="4" s="1"/>
  <c r="AO12" i="4" s="1"/>
  <c r="AP12" i="4" s="1"/>
  <c r="AQ12" i="4" s="1"/>
  <c r="AR12" i="4" s="1"/>
  <c r="AS12" i="4" s="1"/>
  <c r="AT12" i="4" s="1"/>
  <c r="AU12" i="4" s="1"/>
  <c r="AV12" i="4" s="1"/>
  <c r="AW12" i="4" s="1"/>
  <c r="AX12" i="4" s="1"/>
  <c r="AY12" i="4" s="1"/>
  <c r="AZ12" i="4" s="1"/>
  <c r="BA12" i="4" s="1"/>
  <c r="D22" i="6"/>
  <c r="D68" i="8" s="1"/>
  <c r="D58" i="8"/>
  <c r="AZ16" i="4"/>
  <c r="AX16" i="4"/>
  <c r="AV16" i="4"/>
  <c r="AT16" i="4"/>
  <c r="AR16" i="4"/>
  <c r="AP16" i="4"/>
  <c r="AN16" i="4"/>
  <c r="AL16" i="4"/>
  <c r="AJ16" i="4"/>
  <c r="AH16" i="4"/>
  <c r="AF16" i="4"/>
  <c r="AD16" i="4"/>
  <c r="AB16" i="4"/>
  <c r="Z16" i="4"/>
  <c r="X16" i="4"/>
  <c r="V16" i="4"/>
  <c r="T16" i="4"/>
  <c r="R16" i="4"/>
  <c r="P16" i="4"/>
  <c r="N16" i="4"/>
  <c r="BA16" i="4"/>
  <c r="AY16" i="4"/>
  <c r="AW16" i="4"/>
  <c r="AU16" i="4"/>
  <c r="AS16" i="4"/>
  <c r="AQ16" i="4"/>
  <c r="AO16" i="4"/>
  <c r="AM16" i="4"/>
  <c r="AK16" i="4"/>
  <c r="AI16" i="4"/>
  <c r="AG16" i="4"/>
  <c r="AE16" i="4"/>
  <c r="AC16" i="4"/>
  <c r="AA16" i="4"/>
  <c r="Y16" i="4"/>
  <c r="W16" i="4"/>
  <c r="U16" i="4"/>
  <c r="S16" i="4"/>
  <c r="Q16" i="4"/>
  <c r="O16" i="4"/>
  <c r="M16" i="4"/>
  <c r="L16" i="4"/>
  <c r="K16" i="4"/>
  <c r="J16" i="4"/>
  <c r="I16" i="4"/>
  <c r="H16" i="4"/>
  <c r="G16" i="4"/>
  <c r="F16" i="4"/>
  <c r="E16" i="4"/>
  <c r="E10" i="4"/>
  <c r="D16" i="4"/>
  <c r="D17" i="5"/>
  <c r="D18" i="5"/>
  <c r="D16" i="5"/>
  <c r="D15" i="5"/>
  <c r="D27" i="10" l="1" a="1"/>
  <c r="L27" i="10" a="1"/>
  <c r="F27" i="10" a="1"/>
  <c r="K27" i="10" a="1"/>
  <c r="H27" i="10" a="1"/>
  <c r="I27" i="10" a="1"/>
  <c r="N27" i="10" a="1"/>
  <c r="G27" i="10" a="1"/>
  <c r="M27" i="10" a="1"/>
  <c r="E27" i="10" a="1"/>
  <c r="J27" i="10" a="1"/>
  <c r="O27" i="10" a="1"/>
  <c r="C25" i="9" a="1"/>
  <c r="X42" i="8"/>
  <c r="Y42" i="8" s="1"/>
  <c r="Z42" i="8" s="1"/>
  <c r="AA42" i="8" s="1"/>
  <c r="D59" i="8"/>
  <c r="D54" i="6"/>
  <c r="D32" i="6"/>
  <c r="D22" i="8"/>
  <c r="D57" i="8"/>
  <c r="D25" i="6"/>
  <c r="D24" i="5" s="1"/>
  <c r="D25" i="5" s="1"/>
  <c r="D26" i="6"/>
  <c r="E23" i="6" s="1"/>
  <c r="E17" i="4"/>
  <c r="E20" i="4"/>
  <c r="F10" i="4"/>
  <c r="L24" i="10" l="1" a="1"/>
  <c r="O24" i="10" a="1"/>
  <c r="F24" i="10" a="1"/>
  <c r="I24" i="10" a="1"/>
  <c r="D15" i="10" a="1"/>
  <c r="E15" i="10" a="1"/>
  <c r="F15" i="10" a="1"/>
  <c r="K15" i="10" a="1"/>
  <c r="G15" i="10" a="1"/>
  <c r="H15" i="10" a="1"/>
  <c r="I15" i="10" a="1"/>
  <c r="J15" i="10" a="1"/>
  <c r="L15" i="10" a="1"/>
  <c r="M15" i="10" a="1"/>
  <c r="N15" i="10" a="1"/>
  <c r="O15" i="10" a="1"/>
  <c r="E11" i="6"/>
  <c r="E10" i="6"/>
  <c r="D17" i="8"/>
  <c r="D10" i="5"/>
  <c r="D37" i="8"/>
  <c r="E21" i="6"/>
  <c r="F17" i="4"/>
  <c r="E19" i="4"/>
  <c r="E23" i="5" s="1"/>
  <c r="E18" i="6"/>
  <c r="E18" i="5"/>
  <c r="E15" i="5"/>
  <c r="E16" i="5"/>
  <c r="E17" i="5"/>
  <c r="F20" i="4"/>
  <c r="G10" i="4"/>
  <c r="G21" i="10" l="1" a="1"/>
  <c r="H21" i="10" a="1"/>
  <c r="I21" i="10" a="1"/>
  <c r="K21" i="10" a="1"/>
  <c r="L21" i="10" a="1"/>
  <c r="M21" i="10" a="1"/>
  <c r="O21" i="10" a="1"/>
  <c r="D21" i="10" a="1"/>
  <c r="E21" i="10" a="1"/>
  <c r="F21" i="10" a="1"/>
  <c r="J21" i="10" a="1"/>
  <c r="N21" i="10" a="1"/>
  <c r="E11" i="8"/>
  <c r="E13" i="6"/>
  <c r="F11" i="6"/>
  <c r="F10" i="6"/>
  <c r="E24" i="6"/>
  <c r="E58" i="8" s="1"/>
  <c r="D11" i="5"/>
  <c r="D10" i="7"/>
  <c r="D66" i="7"/>
  <c r="D62" i="7"/>
  <c r="D122" i="7" s="1"/>
  <c r="D124" i="7"/>
  <c r="D125" i="7"/>
  <c r="D126" i="7"/>
  <c r="F19" i="4"/>
  <c r="F23" i="5" s="1"/>
  <c r="G17" i="4"/>
  <c r="F16" i="5"/>
  <c r="F15" i="5"/>
  <c r="F17" i="5"/>
  <c r="G20" i="4"/>
  <c r="H10" i="4"/>
  <c r="F18" i="6"/>
  <c r="F18" i="5"/>
  <c r="S12" i="10" l="1" a="1"/>
  <c r="U12" i="10" a="1"/>
  <c r="V12" i="10" a="1"/>
  <c r="X12" i="10" a="1"/>
  <c r="Y12" i="10" a="1"/>
  <c r="W12" i="10" a="1"/>
  <c r="Z12" i="10" a="1"/>
  <c r="T12" i="10" a="1"/>
  <c r="AA12" i="10" a="1"/>
  <c r="P12" i="10" a="1"/>
  <c r="Q12" i="10" a="1"/>
  <c r="R12" i="10" a="1"/>
  <c r="R27" i="10" a="1"/>
  <c r="V27" i="10" a="1"/>
  <c r="Q27" i="10" a="1"/>
  <c r="S27" i="10" a="1"/>
  <c r="AA27" i="10" a="1"/>
  <c r="T27" i="10" a="1"/>
  <c r="X27" i="10" a="1"/>
  <c r="P27" i="10" a="1"/>
  <c r="U27" i="10" a="1"/>
  <c r="Y27" i="10" a="1"/>
  <c r="W27" i="10" a="1"/>
  <c r="Z27" i="10" a="1"/>
  <c r="E12" i="8"/>
  <c r="E14" i="6"/>
  <c r="E15" i="6" s="1"/>
  <c r="F11" i="8"/>
  <c r="F13" i="6"/>
  <c r="G11" i="6"/>
  <c r="G10" i="6"/>
  <c r="D117" i="7"/>
  <c r="D119" i="7" s="1"/>
  <c r="D10" i="8" s="1"/>
  <c r="E66" i="7"/>
  <c r="F66" i="7" s="1"/>
  <c r="G66" i="7" s="1"/>
  <c r="H66" i="7" s="1"/>
  <c r="I66" i="7" s="1"/>
  <c r="D134" i="7"/>
  <c r="D16" i="8" s="1"/>
  <c r="E9" i="5"/>
  <c r="E10" i="7"/>
  <c r="F10" i="7" s="1"/>
  <c r="G10" i="7" s="1"/>
  <c r="H10" i="7" s="1"/>
  <c r="I10" i="7" s="1"/>
  <c r="D61" i="7"/>
  <c r="D54" i="8"/>
  <c r="D123" i="7"/>
  <c r="D127" i="7" s="1"/>
  <c r="D19" i="5"/>
  <c r="D20" i="5" s="1"/>
  <c r="D14" i="8" s="1"/>
  <c r="D132" i="7"/>
  <c r="H17" i="4"/>
  <c r="G19" i="4"/>
  <c r="G23" i="5" s="1"/>
  <c r="G16" i="5"/>
  <c r="G15" i="5"/>
  <c r="G18" i="5"/>
  <c r="G17" i="5"/>
  <c r="H20" i="4"/>
  <c r="I10" i="4"/>
  <c r="G18" i="6"/>
  <c r="AL12" i="10" l="1" a="1"/>
  <c r="AB12" i="10" a="1"/>
  <c r="AC12" i="10" a="1"/>
  <c r="AD12" i="10" a="1"/>
  <c r="AE12" i="10" a="1"/>
  <c r="AF12" i="10" a="1"/>
  <c r="AH12" i="10" a="1"/>
  <c r="AJ12" i="10" a="1"/>
  <c r="AG12" i="10" a="1"/>
  <c r="AI12" i="10" a="1"/>
  <c r="AK12" i="10" a="1"/>
  <c r="AM12" i="10" a="1"/>
  <c r="D55" i="8"/>
  <c r="O22" i="10" a="1"/>
  <c r="D19" i="10" a="1"/>
  <c r="I19" i="10" a="1"/>
  <c r="K19" i="10" a="1"/>
  <c r="N19" i="10" a="1"/>
  <c r="E19" i="10" a="1"/>
  <c r="F19" i="10" a="1"/>
  <c r="G19" i="10" a="1"/>
  <c r="J19" i="10" a="1"/>
  <c r="M19" i="10" a="1"/>
  <c r="O19" i="10" a="1"/>
  <c r="H19" i="10" a="1"/>
  <c r="L19" i="10" a="1"/>
  <c r="D18" i="10" a="1"/>
  <c r="I18" i="10" a="1"/>
  <c r="M18" i="10" a="1"/>
  <c r="F18" i="10" a="1"/>
  <c r="J18" i="10" a="1"/>
  <c r="N18" i="10" a="1"/>
  <c r="G18" i="10" a="1"/>
  <c r="H18" i="10" a="1"/>
  <c r="L18" i="10" a="1"/>
  <c r="E18" i="10" a="1"/>
  <c r="K18" i="10" a="1"/>
  <c r="O18" i="10" a="1"/>
  <c r="D11" i="10" a="1"/>
  <c r="K11" i="10" a="1"/>
  <c r="O11" i="10" a="1"/>
  <c r="G11" i="10" a="1"/>
  <c r="J11" i="10" a="1"/>
  <c r="M11" i="10" a="1"/>
  <c r="F11" i="10" a="1"/>
  <c r="H11" i="10" a="1"/>
  <c r="N11" i="10" a="1"/>
  <c r="E11" i="10" a="1"/>
  <c r="I11" i="10" a="1"/>
  <c r="L11" i="10" a="1"/>
  <c r="F12" i="8"/>
  <c r="F14" i="6"/>
  <c r="F15" i="6" s="1"/>
  <c r="G11" i="8"/>
  <c r="G13" i="6"/>
  <c r="H11" i="6"/>
  <c r="H10" i="6"/>
  <c r="D135" i="7"/>
  <c r="D35" i="6"/>
  <c r="D128" i="7"/>
  <c r="D36" i="6" s="1"/>
  <c r="D15" i="8"/>
  <c r="D13" i="8"/>
  <c r="B72" i="9"/>
  <c r="B68" i="9"/>
  <c r="D30" i="8"/>
  <c r="D63" i="7"/>
  <c r="D41" i="8" s="1"/>
  <c r="H19" i="4"/>
  <c r="H23" i="5" s="1"/>
  <c r="I17" i="4"/>
  <c r="H17" i="5"/>
  <c r="H18" i="6"/>
  <c r="H18" i="5"/>
  <c r="H16" i="5"/>
  <c r="H15" i="5"/>
  <c r="I20" i="4"/>
  <c r="J10" i="4"/>
  <c r="J10" i="7"/>
  <c r="J66" i="7"/>
  <c r="AQ12" i="10" l="1" a="1"/>
  <c r="AT12" i="10" a="1"/>
  <c r="AN12" i="10" a="1"/>
  <c r="AO12" i="10" a="1"/>
  <c r="AS12" i="10" a="1"/>
  <c r="AU12" i="10" a="1"/>
  <c r="AW12" i="10" a="1"/>
  <c r="AP12" i="10" a="1"/>
  <c r="AR12" i="10" a="1"/>
  <c r="AV12" i="10" a="1"/>
  <c r="AX12" i="10" a="1"/>
  <c r="AY12" i="10" a="1"/>
  <c r="D32" i="10" a="1"/>
  <c r="I32" i="10" a="1"/>
  <c r="K32" i="10" a="1"/>
  <c r="M32" i="10" a="1"/>
  <c r="O32" i="10" a="1"/>
  <c r="G32" i="10" a="1"/>
  <c r="F32" i="10" a="1"/>
  <c r="E32" i="10" a="1"/>
  <c r="J32" i="10" a="1"/>
  <c r="L32" i="10" a="1"/>
  <c r="N32" i="10" a="1"/>
  <c r="H32" i="10" a="1"/>
  <c r="D29" i="10"/>
  <c r="K29" i="10"/>
  <c r="G29" i="10"/>
  <c r="J29" i="10"/>
  <c r="M29" i="10"/>
  <c r="N29" i="10"/>
  <c r="E29" i="10"/>
  <c r="H29" i="10"/>
  <c r="D18" i="8"/>
  <c r="D19" i="8" s="1"/>
  <c r="D49" i="8" s="1"/>
  <c r="O20" i="10" a="1"/>
  <c r="G12" i="8"/>
  <c r="G14" i="6"/>
  <c r="G15" i="6" s="1"/>
  <c r="H11" i="8"/>
  <c r="H13" i="6"/>
  <c r="I11" i="6"/>
  <c r="I10" i="6"/>
  <c r="D37" i="6"/>
  <c r="E131" i="7"/>
  <c r="D64" i="8"/>
  <c r="D31" i="8"/>
  <c r="I19" i="4"/>
  <c r="I23" i="5" s="1"/>
  <c r="J17" i="4"/>
  <c r="I18" i="6"/>
  <c r="I18" i="5"/>
  <c r="I17" i="5"/>
  <c r="I15" i="5"/>
  <c r="I16" i="5"/>
  <c r="J20" i="4"/>
  <c r="K10" i="4"/>
  <c r="K10" i="7"/>
  <c r="K66" i="7"/>
  <c r="L66" i="7" s="1"/>
  <c r="M66" i="7" s="1"/>
  <c r="N66" i="7" s="1"/>
  <c r="O66" i="7" s="1"/>
  <c r="P66" i="7" s="1"/>
  <c r="Q66" i="7" s="1"/>
  <c r="BH12" i="10" l="1" a="1"/>
  <c r="AZ12" i="10" a="1"/>
  <c r="BA12" i="10" a="1"/>
  <c r="BD12" i="10" a="1"/>
  <c r="BK12" i="10" a="1"/>
  <c r="BC12" i="10" a="1"/>
  <c r="BE12" i="10" a="1"/>
  <c r="BG12" i="10" a="1"/>
  <c r="BI12" i="10" a="1"/>
  <c r="BJ12" i="10" a="1"/>
  <c r="BF12" i="10" a="1"/>
  <c r="BB12" i="10" a="1"/>
  <c r="D31" i="10"/>
  <c r="H12" i="8"/>
  <c r="H14" i="6"/>
  <c r="H15" i="6" s="1"/>
  <c r="I11" i="8"/>
  <c r="I13" i="6"/>
  <c r="J11" i="6"/>
  <c r="J10" i="6"/>
  <c r="D56" i="8"/>
  <c r="O14" i="10" s="1" a="1"/>
  <c r="D69" i="8"/>
  <c r="D70" i="8" s="1"/>
  <c r="E133" i="7"/>
  <c r="D43" i="6"/>
  <c r="D38" i="6"/>
  <c r="D40" i="6"/>
  <c r="D62" i="6"/>
  <c r="J19" i="4"/>
  <c r="J23" i="5" s="1"/>
  <c r="K17" i="4"/>
  <c r="J18" i="6"/>
  <c r="J17" i="5"/>
  <c r="J15" i="5"/>
  <c r="J16" i="5"/>
  <c r="J18" i="5"/>
  <c r="K20" i="4"/>
  <c r="L10" i="4"/>
  <c r="L10" i="7"/>
  <c r="R66" i="7"/>
  <c r="E30" i="10" l="1"/>
  <c r="E31" i="10" s="1"/>
  <c r="D33" i="10"/>
  <c r="D34" i="10" s="1"/>
  <c r="E33" i="10"/>
  <c r="E34" i="10" s="1"/>
  <c r="F30" i="10"/>
  <c r="I12" i="8"/>
  <c r="I14" i="6"/>
  <c r="I15" i="6" s="1"/>
  <c r="J11" i="8"/>
  <c r="J13" i="6"/>
  <c r="K11" i="6"/>
  <c r="K10" i="6"/>
  <c r="E33" i="6"/>
  <c r="E34" i="6" s="1"/>
  <c r="E27" i="5"/>
  <c r="D35" i="8"/>
  <c r="D53" i="6"/>
  <c r="D55" i="6" s="1"/>
  <c r="D20" i="8"/>
  <c r="E30" i="6"/>
  <c r="E31" i="6" s="1"/>
  <c r="D56" i="6"/>
  <c r="D57" i="6" s="1"/>
  <c r="K19" i="4"/>
  <c r="K23" i="5" s="1"/>
  <c r="L17" i="4"/>
  <c r="K18" i="6"/>
  <c r="K17" i="5"/>
  <c r="K15" i="5"/>
  <c r="K18" i="5"/>
  <c r="K16" i="5"/>
  <c r="L20" i="4"/>
  <c r="M10" i="4"/>
  <c r="M10" i="7"/>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S66" i="7"/>
  <c r="J12" i="8" l="1"/>
  <c r="J14" i="6"/>
  <c r="J15" i="6" s="1"/>
  <c r="K11" i="8"/>
  <c r="K13" i="6"/>
  <c r="L11" i="6"/>
  <c r="L10" i="6"/>
  <c r="D64" i="6"/>
  <c r="E32" i="6"/>
  <c r="E22" i="8"/>
  <c r="D61" i="6"/>
  <c r="D60" i="6"/>
  <c r="D50" i="8"/>
  <c r="D23" i="8"/>
  <c r="D28" i="6" s="1"/>
  <c r="L19" i="4"/>
  <c r="L23" i="5" s="1"/>
  <c r="M17" i="4"/>
  <c r="L18" i="6"/>
  <c r="L16" i="5"/>
  <c r="L17" i="5"/>
  <c r="L18" i="5"/>
  <c r="L15" i="5"/>
  <c r="M20" i="4"/>
  <c r="N10" i="4"/>
  <c r="AJ10" i="7"/>
  <c r="T66" i="7"/>
  <c r="I23" i="10" l="1" a="1"/>
  <c r="I29" i="10" s="1"/>
  <c r="L23" i="10" a="1"/>
  <c r="L29" i="10" s="1"/>
  <c r="O23" i="10" a="1"/>
  <c r="F23" i="10" a="1"/>
  <c r="F29" i="10" s="1"/>
  <c r="K12" i="8"/>
  <c r="K14" i="6"/>
  <c r="K15" i="6" s="1"/>
  <c r="L11" i="8"/>
  <c r="L13" i="6"/>
  <c r="M11" i="6"/>
  <c r="M10" i="6"/>
  <c r="D24" i="8"/>
  <c r="M19" i="4"/>
  <c r="M23" i="5" s="1"/>
  <c r="N17" i="4"/>
  <c r="M18" i="6"/>
  <c r="M16" i="5"/>
  <c r="M15" i="5"/>
  <c r="M17" i="5"/>
  <c r="M18" i="5"/>
  <c r="N20" i="4"/>
  <c r="O10" i="4"/>
  <c r="AK10" i="7"/>
  <c r="U66" i="7"/>
  <c r="L12" i="8" l="1"/>
  <c r="L14" i="6"/>
  <c r="L15" i="6" s="1"/>
  <c r="F31" i="10"/>
  <c r="M11" i="8"/>
  <c r="M13" i="6"/>
  <c r="N11" i="6"/>
  <c r="N10" i="6"/>
  <c r="D25" i="8"/>
  <c r="D51" i="8"/>
  <c r="O25" i="10" s="1" a="1"/>
  <c r="N19" i="4"/>
  <c r="N23" i="5" s="1"/>
  <c r="O17" i="4"/>
  <c r="N18" i="5"/>
  <c r="N17" i="5"/>
  <c r="N15" i="5"/>
  <c r="N16" i="5"/>
  <c r="O20" i="4"/>
  <c r="P10" i="4"/>
  <c r="N18" i="6"/>
  <c r="AL10" i="7"/>
  <c r="V66" i="7"/>
  <c r="G30" i="10" l="1"/>
  <c r="G31" i="10" s="1"/>
  <c r="F33" i="10"/>
  <c r="F34" i="10" s="1"/>
  <c r="M12" i="8"/>
  <c r="M14" i="6"/>
  <c r="M15" i="6" s="1"/>
  <c r="N11" i="8"/>
  <c r="N13" i="6"/>
  <c r="O11" i="6"/>
  <c r="O10" i="6"/>
  <c r="D52" i="8"/>
  <c r="D26" i="8"/>
  <c r="D27" i="8" s="1"/>
  <c r="D40" i="8" s="1"/>
  <c r="D43" i="8" s="1"/>
  <c r="O19" i="4"/>
  <c r="O23" i="5" s="1"/>
  <c r="P17" i="4"/>
  <c r="O18" i="6"/>
  <c r="O15" i="5"/>
  <c r="O17" i="5"/>
  <c r="O18" i="5"/>
  <c r="O16" i="5"/>
  <c r="P20" i="4"/>
  <c r="Q10" i="4"/>
  <c r="AM10" i="7"/>
  <c r="W66" i="7"/>
  <c r="G33" i="10" l="1"/>
  <c r="G34" i="10" s="1"/>
  <c r="H30" i="10"/>
  <c r="H31" i="10" s="1"/>
  <c r="D53" i="8"/>
  <c r="O26" i="10" a="1"/>
  <c r="O29" i="10" s="1"/>
  <c r="N12" i="8"/>
  <c r="N14" i="6"/>
  <c r="N15" i="6" s="1"/>
  <c r="O11" i="8"/>
  <c r="O13" i="6"/>
  <c r="P11" i="6"/>
  <c r="P10" i="6"/>
  <c r="P18" i="5"/>
  <c r="P16" i="5"/>
  <c r="P17" i="5"/>
  <c r="P15" i="5"/>
  <c r="P19" i="4"/>
  <c r="P23" i="5" s="1"/>
  <c r="Q17" i="4"/>
  <c r="P18" i="6"/>
  <c r="Q20" i="4"/>
  <c r="R10" i="4"/>
  <c r="AN10" i="7"/>
  <c r="X66" i="7"/>
  <c r="H33" i="10" l="1"/>
  <c r="H34" i="10" s="1"/>
  <c r="I30" i="10"/>
  <c r="I31" i="10" s="1"/>
  <c r="O12" i="8"/>
  <c r="O14" i="6"/>
  <c r="O15" i="6" s="1"/>
  <c r="P11" i="8"/>
  <c r="P13" i="6"/>
  <c r="Q11" i="6"/>
  <c r="Q10" i="6"/>
  <c r="Q18" i="6"/>
  <c r="Q18" i="5"/>
  <c r="Q17" i="5"/>
  <c r="R17" i="4"/>
  <c r="Q19" i="4"/>
  <c r="Q23" i="5" s="1"/>
  <c r="Q16" i="5"/>
  <c r="Q15" i="5"/>
  <c r="R20" i="4"/>
  <c r="S10" i="4"/>
  <c r="AO10" i="7"/>
  <c r="Y66" i="7"/>
  <c r="I33" i="10" l="1"/>
  <c r="I34" i="10" s="1"/>
  <c r="J30" i="10"/>
  <c r="J31" i="10" s="1"/>
  <c r="P12" i="8"/>
  <c r="P14" i="6"/>
  <c r="P15" i="6" s="1"/>
  <c r="Q11" i="8"/>
  <c r="Q13" i="6"/>
  <c r="R11" i="6"/>
  <c r="R10" i="6"/>
  <c r="R18" i="5"/>
  <c r="R17" i="5"/>
  <c r="R15" i="5"/>
  <c r="R16" i="5"/>
  <c r="R18" i="6"/>
  <c r="S20" i="4"/>
  <c r="T10" i="4"/>
  <c r="S17" i="4"/>
  <c r="R19" i="4"/>
  <c r="R23" i="5" s="1"/>
  <c r="AP10" i="7"/>
  <c r="Z66" i="7"/>
  <c r="K30" i="10" l="1"/>
  <c r="K31" i="10" s="1"/>
  <c r="J33" i="10"/>
  <c r="J34" i="10" s="1"/>
  <c r="Q12" i="8"/>
  <c r="Q14" i="6"/>
  <c r="Q15" i="6" s="1"/>
  <c r="R11" i="8"/>
  <c r="R13" i="6"/>
  <c r="S11" i="6"/>
  <c r="S10" i="6"/>
  <c r="S18" i="6"/>
  <c r="S17" i="5"/>
  <c r="S18" i="5"/>
  <c r="S16" i="5"/>
  <c r="S15" i="5"/>
  <c r="T20" i="4"/>
  <c r="U10" i="4"/>
  <c r="T17" i="4"/>
  <c r="S19" i="4"/>
  <c r="S23" i="5" s="1"/>
  <c r="AQ10" i="7"/>
  <c r="AA66" i="7"/>
  <c r="L30" i="10" l="1"/>
  <c r="L31" i="10" s="1"/>
  <c r="K33" i="10"/>
  <c r="K34" i="10" s="1"/>
  <c r="R12" i="8"/>
  <c r="R14" i="6"/>
  <c r="R15" i="6" s="1"/>
  <c r="S11" i="8"/>
  <c r="S13" i="6"/>
  <c r="T18" i="6"/>
  <c r="T11" i="6"/>
  <c r="T10" i="6"/>
  <c r="T17" i="5"/>
  <c r="T18" i="5"/>
  <c r="T16" i="5"/>
  <c r="T15" i="5"/>
  <c r="U20" i="4"/>
  <c r="V10" i="4"/>
  <c r="U17" i="4"/>
  <c r="T19" i="4"/>
  <c r="T23" i="5" s="1"/>
  <c r="AR10" i="7"/>
  <c r="AB66" i="7"/>
  <c r="L33" i="10" l="1"/>
  <c r="L34" i="10" s="1"/>
  <c r="M30" i="10"/>
  <c r="M31" i="10" s="1"/>
  <c r="T11" i="8"/>
  <c r="T13" i="6"/>
  <c r="S12" i="8"/>
  <c r="S14" i="6"/>
  <c r="S15" i="6" s="1"/>
  <c r="U11" i="6"/>
  <c r="U10" i="6"/>
  <c r="U18" i="5"/>
  <c r="U15" i="5"/>
  <c r="U18" i="6"/>
  <c r="U16" i="5"/>
  <c r="U17" i="5"/>
  <c r="W10" i="4"/>
  <c r="V20" i="4"/>
  <c r="V17" i="4"/>
  <c r="U19" i="4"/>
  <c r="U23" i="5" s="1"/>
  <c r="AS10" i="7"/>
  <c r="AC66" i="7"/>
  <c r="N30" i="10" l="1"/>
  <c r="N31" i="10" s="1"/>
  <c r="M33" i="10"/>
  <c r="M34" i="10" s="1"/>
  <c r="U11" i="8"/>
  <c r="U13" i="6"/>
  <c r="T12" i="8"/>
  <c r="T14" i="6"/>
  <c r="T15" i="6" s="1"/>
  <c r="V11" i="6"/>
  <c r="V10" i="6"/>
  <c r="V16" i="5"/>
  <c r="V15" i="5"/>
  <c r="V18" i="5"/>
  <c r="V18" i="6"/>
  <c r="V17" i="5"/>
  <c r="W20" i="4"/>
  <c r="X10" i="4"/>
  <c r="V19" i="4"/>
  <c r="V23" i="5" s="1"/>
  <c r="W17" i="4"/>
  <c r="AT10" i="7"/>
  <c r="AD66" i="7"/>
  <c r="O30" i="10" l="1"/>
  <c r="O31" i="10" s="1"/>
  <c r="N33" i="10"/>
  <c r="N34" i="10" s="1"/>
  <c r="V11" i="8"/>
  <c r="V13" i="6"/>
  <c r="U12" i="8"/>
  <c r="U14" i="6"/>
  <c r="U15" i="6" s="1"/>
  <c r="W11" i="6"/>
  <c r="W10" i="6"/>
  <c r="W17" i="5"/>
  <c r="W18" i="6"/>
  <c r="W18" i="5"/>
  <c r="W16" i="5"/>
  <c r="W15" i="5"/>
  <c r="X20" i="4"/>
  <c r="Y10" i="4"/>
  <c r="W19" i="4"/>
  <c r="W23" i="5" s="1"/>
  <c r="X17" i="4"/>
  <c r="AU10" i="7"/>
  <c r="AE66" i="7"/>
  <c r="P30" i="10" l="1"/>
  <c r="O33" i="10"/>
  <c r="O34" i="10" s="1"/>
  <c r="W11" i="8"/>
  <c r="W13" i="6"/>
  <c r="V12" i="8"/>
  <c r="V14" i="6"/>
  <c r="V15" i="6" s="1"/>
  <c r="X11" i="6"/>
  <c r="X10" i="6"/>
  <c r="X18" i="5"/>
  <c r="X17" i="5"/>
  <c r="X18" i="6"/>
  <c r="X16" i="5"/>
  <c r="X15" i="5"/>
  <c r="Y20" i="4"/>
  <c r="Z10" i="4"/>
  <c r="Y17" i="4"/>
  <c r="X19" i="4"/>
  <c r="X23" i="5" s="1"/>
  <c r="AV10" i="7"/>
  <c r="AF66" i="7"/>
  <c r="X11" i="8" l="1"/>
  <c r="X13" i="6"/>
  <c r="W12" i="8"/>
  <c r="W14" i="6"/>
  <c r="W15" i="6" s="1"/>
  <c r="Y11" i="6"/>
  <c r="Y10" i="6"/>
  <c r="Y18" i="6"/>
  <c r="Y17" i="5"/>
  <c r="Y15" i="5"/>
  <c r="Y18" i="5"/>
  <c r="Y16" i="5"/>
  <c r="Z20" i="4"/>
  <c r="AA10" i="4"/>
  <c r="Z17" i="4"/>
  <c r="Y19" i="4"/>
  <c r="Y23" i="5" s="1"/>
  <c r="AW10" i="7"/>
  <c r="AG66" i="7"/>
  <c r="Y11" i="8" l="1"/>
  <c r="Y13" i="6"/>
  <c r="X12" i="8"/>
  <c r="X14" i="6"/>
  <c r="X15" i="6" s="1"/>
  <c r="Z11" i="6"/>
  <c r="Z10" i="6"/>
  <c r="Z17" i="5"/>
  <c r="Z18" i="5"/>
  <c r="Z15" i="5"/>
  <c r="Z18" i="6"/>
  <c r="Z16" i="5"/>
  <c r="AA20" i="4"/>
  <c r="AB10" i="4"/>
  <c r="AA17" i="4"/>
  <c r="Z19" i="4"/>
  <c r="Z23" i="5" s="1"/>
  <c r="AX10" i="7"/>
  <c r="AH66" i="7"/>
  <c r="Y12" i="8" l="1"/>
  <c r="Y14" i="6"/>
  <c r="Y15" i="6" s="1"/>
  <c r="Z11" i="8"/>
  <c r="Z13" i="6"/>
  <c r="AA11" i="6"/>
  <c r="AA10" i="6"/>
  <c r="AA15" i="5"/>
  <c r="AA18" i="6"/>
  <c r="AA17" i="5"/>
  <c r="AA18" i="5"/>
  <c r="AA16" i="5"/>
  <c r="AB20" i="4"/>
  <c r="AC10" i="4"/>
  <c r="AB17" i="4"/>
  <c r="AA19" i="4"/>
  <c r="AA23" i="5" s="1"/>
  <c r="AY10" i="7"/>
  <c r="AI66" i="7"/>
  <c r="Z12" i="8" l="1"/>
  <c r="Z14" i="6"/>
  <c r="Z15" i="6" s="1"/>
  <c r="AA11" i="8"/>
  <c r="AA13" i="6"/>
  <c r="AB11" i="6"/>
  <c r="AB10" i="6"/>
  <c r="AB18" i="6"/>
  <c r="AB16" i="5"/>
  <c r="AB18" i="5"/>
  <c r="AB15" i="5"/>
  <c r="AB17" i="5"/>
  <c r="AC20" i="4"/>
  <c r="AD10" i="4"/>
  <c r="AB19" i="4"/>
  <c r="AB23" i="5" s="1"/>
  <c r="AC17" i="4"/>
  <c r="AZ10" i="7"/>
  <c r="AJ66" i="7"/>
  <c r="AB11" i="8" l="1"/>
  <c r="AB13" i="6"/>
  <c r="AA12" i="8"/>
  <c r="AA14" i="6"/>
  <c r="AA15" i="6" s="1"/>
  <c r="AC11" i="6"/>
  <c r="AC10" i="6"/>
  <c r="AC17" i="5"/>
  <c r="AC18" i="6"/>
  <c r="AC16" i="5"/>
  <c r="AC18" i="5"/>
  <c r="AC15" i="5"/>
  <c r="AD20" i="4"/>
  <c r="AE10" i="4"/>
  <c r="AD17" i="4"/>
  <c r="AC19" i="4"/>
  <c r="AC23" i="5" s="1"/>
  <c r="BA10" i="7"/>
  <c r="AK66" i="7"/>
  <c r="AC11" i="8" l="1"/>
  <c r="AC13" i="6"/>
  <c r="AB12" i="8"/>
  <c r="AB14" i="6"/>
  <c r="AB15" i="6" s="1"/>
  <c r="AD11" i="6"/>
  <c r="AD10" i="6"/>
  <c r="AD17" i="5"/>
  <c r="AD16" i="5"/>
  <c r="AD18" i="6"/>
  <c r="AD18" i="5"/>
  <c r="AD15" i="5"/>
  <c r="AE20" i="4"/>
  <c r="AF10" i="4"/>
  <c r="C19" i="9" a="1"/>
  <c r="AE17" i="4"/>
  <c r="AD19" i="4"/>
  <c r="AD23" i="5" s="1"/>
  <c r="AL66" i="7"/>
  <c r="AD11" i="8" l="1"/>
  <c r="AD13" i="6"/>
  <c r="AC12" i="8"/>
  <c r="AC14" i="6"/>
  <c r="AC15" i="6" s="1"/>
  <c r="AE11" i="6"/>
  <c r="AE10" i="6"/>
  <c r="AE17" i="5"/>
  <c r="AE18" i="5"/>
  <c r="AF20" i="4"/>
  <c r="AG10" i="4"/>
  <c r="AE18" i="6"/>
  <c r="AE16" i="5"/>
  <c r="AE15" i="5"/>
  <c r="AF17" i="4"/>
  <c r="AE19" i="4"/>
  <c r="AE23" i="5" s="1"/>
  <c r="AM66" i="7"/>
  <c r="AE11" i="8" l="1"/>
  <c r="AE13" i="6"/>
  <c r="AD12" i="8"/>
  <c r="AD14" i="6"/>
  <c r="AD15" i="6" s="1"/>
  <c r="AF11" i="6"/>
  <c r="AF10" i="6"/>
  <c r="AF18" i="6"/>
  <c r="AF17" i="5"/>
  <c r="AF16" i="5"/>
  <c r="AF18" i="5"/>
  <c r="AF15" i="5"/>
  <c r="AG20" i="4"/>
  <c r="AH10" i="4"/>
  <c r="AG17" i="4"/>
  <c r="AF19" i="4"/>
  <c r="AF23" i="5" s="1"/>
  <c r="AN66" i="7"/>
  <c r="AF11" i="8" l="1"/>
  <c r="AF13" i="6"/>
  <c r="AE12" i="8"/>
  <c r="AE14" i="6"/>
  <c r="AE15" i="6" s="1"/>
  <c r="AG11" i="6"/>
  <c r="AG10" i="6"/>
  <c r="AG18" i="6"/>
  <c r="AG15" i="5"/>
  <c r="AG18" i="5"/>
  <c r="AG17" i="5"/>
  <c r="AG16" i="5"/>
  <c r="AH20" i="4"/>
  <c r="AI10" i="4"/>
  <c r="AH17" i="4"/>
  <c r="AG19" i="4"/>
  <c r="AG23" i="5" s="1"/>
  <c r="AO66" i="7"/>
  <c r="AG11" i="8" l="1"/>
  <c r="AG13" i="6"/>
  <c r="AF12" i="8"/>
  <c r="AF14" i="6"/>
  <c r="AF15" i="6" s="1"/>
  <c r="AH11" i="6"/>
  <c r="AH10" i="6"/>
  <c r="AH15" i="5"/>
  <c r="AH16" i="5"/>
  <c r="AH18" i="6"/>
  <c r="AH18" i="5"/>
  <c r="AH17" i="5"/>
  <c r="AI20" i="4"/>
  <c r="AJ10" i="4"/>
  <c r="AI17" i="4"/>
  <c r="AH19" i="4"/>
  <c r="AH23" i="5" s="1"/>
  <c r="AP66" i="7"/>
  <c r="AH11" i="8" l="1"/>
  <c r="AH13" i="6"/>
  <c r="AG12" i="8"/>
  <c r="AG14" i="6"/>
  <c r="AG15" i="6" s="1"/>
  <c r="AI11" i="6"/>
  <c r="AI10" i="6"/>
  <c r="AI18" i="6"/>
  <c r="AI17" i="5"/>
  <c r="AI16" i="5"/>
  <c r="AI18" i="5"/>
  <c r="AI15" i="5"/>
  <c r="AJ20" i="4"/>
  <c r="AK10" i="4"/>
  <c r="AJ17" i="4"/>
  <c r="AI19" i="4"/>
  <c r="AI23" i="5" s="1"/>
  <c r="AQ66" i="7"/>
  <c r="AI11" i="8" l="1"/>
  <c r="AI13" i="6"/>
  <c r="AH12" i="8"/>
  <c r="AH14" i="6"/>
  <c r="AH15" i="6" s="1"/>
  <c r="AJ18" i="6"/>
  <c r="AJ11" i="6"/>
  <c r="AJ10" i="6"/>
  <c r="AJ17" i="5"/>
  <c r="AJ18" i="5"/>
  <c r="AJ15" i="5"/>
  <c r="AJ16" i="5"/>
  <c r="AK20" i="4"/>
  <c r="AL10" i="4"/>
  <c r="AK17" i="4"/>
  <c r="AJ19" i="4"/>
  <c r="AJ23" i="5" s="1"/>
  <c r="AR66" i="7"/>
  <c r="AJ11" i="8" l="1"/>
  <c r="AJ13" i="6"/>
  <c r="AI12" i="8"/>
  <c r="AI14" i="6"/>
  <c r="AI15" i="6" s="1"/>
  <c r="AK11" i="6"/>
  <c r="AK10" i="6"/>
  <c r="AK18" i="6"/>
  <c r="AK18" i="5"/>
  <c r="AK15" i="5"/>
  <c r="AK16" i="5"/>
  <c r="AK17" i="5"/>
  <c r="AM10" i="4"/>
  <c r="AL20" i="4"/>
  <c r="AL17" i="4"/>
  <c r="AK19" i="4"/>
  <c r="AK23" i="5" s="1"/>
  <c r="AS66" i="7"/>
  <c r="AK11" i="8" l="1"/>
  <c r="AK13" i="6"/>
  <c r="AJ12" i="8"/>
  <c r="AJ14" i="6"/>
  <c r="AJ15" i="6" s="1"/>
  <c r="AL11" i="6"/>
  <c r="AL10" i="6"/>
  <c r="AM20" i="4"/>
  <c r="AN10" i="4"/>
  <c r="AL18" i="6"/>
  <c r="AL16" i="5"/>
  <c r="AL15" i="5"/>
  <c r="AL18" i="5"/>
  <c r="AL17" i="5"/>
  <c r="AM17" i="4"/>
  <c r="AL19" i="4"/>
  <c r="AL23" i="5" s="1"/>
  <c r="AT66" i="7"/>
  <c r="AL11" i="8" l="1"/>
  <c r="AL13" i="6"/>
  <c r="AK12" i="8"/>
  <c r="AK14" i="6"/>
  <c r="AK15" i="6" s="1"/>
  <c r="AM18" i="5"/>
  <c r="AM11" i="6"/>
  <c r="AM10" i="6"/>
  <c r="AM18" i="6"/>
  <c r="AM15" i="5"/>
  <c r="AM17" i="5"/>
  <c r="AM16" i="5"/>
  <c r="AN20" i="4"/>
  <c r="AO10" i="4"/>
  <c r="AN17" i="4"/>
  <c r="AM19" i="4"/>
  <c r="AM23" i="5" s="1"/>
  <c r="AU66" i="7"/>
  <c r="AM11" i="8" l="1"/>
  <c r="AM13" i="6"/>
  <c r="AL12" i="8"/>
  <c r="AL14" i="6"/>
  <c r="AL15" i="6" s="1"/>
  <c r="AN11" i="6"/>
  <c r="AN10" i="6"/>
  <c r="AN15" i="5"/>
  <c r="AN18" i="5"/>
  <c r="AN18" i="6"/>
  <c r="AN16" i="5"/>
  <c r="AN17" i="5"/>
  <c r="AO20" i="4"/>
  <c r="AP10" i="4"/>
  <c r="AO17" i="4"/>
  <c r="AN19" i="4"/>
  <c r="AN23" i="5" s="1"/>
  <c r="AV66" i="7"/>
  <c r="AN11" i="8" l="1"/>
  <c r="AN13" i="6"/>
  <c r="AM12" i="8"/>
  <c r="AM14" i="6"/>
  <c r="AM15" i="6" s="1"/>
  <c r="AO11" i="6"/>
  <c r="AO10" i="6"/>
  <c r="AP20" i="4"/>
  <c r="AQ10" i="4"/>
  <c r="AO18" i="6"/>
  <c r="AO18" i="5"/>
  <c r="AO17" i="5"/>
  <c r="AO16" i="5"/>
  <c r="AO15" i="5"/>
  <c r="AP17" i="4"/>
  <c r="AO19" i="4"/>
  <c r="AO23" i="5" s="1"/>
  <c r="AW66" i="7"/>
  <c r="AO11" i="8" l="1"/>
  <c r="AO13" i="6"/>
  <c r="AN12" i="8"/>
  <c r="AN14" i="6"/>
  <c r="AN15" i="6" s="1"/>
  <c r="AP11" i="6"/>
  <c r="AP10" i="6"/>
  <c r="AP16" i="5"/>
  <c r="AP15" i="5"/>
  <c r="AP18" i="5"/>
  <c r="AP17" i="5"/>
  <c r="AP18" i="6"/>
  <c r="AQ20" i="4"/>
  <c r="AR10" i="4"/>
  <c r="AQ17" i="4"/>
  <c r="AP19" i="4"/>
  <c r="AP23" i="5" s="1"/>
  <c r="AX66" i="7"/>
  <c r="AP11" i="8" l="1"/>
  <c r="AP13" i="6"/>
  <c r="AO12" i="8"/>
  <c r="AO14" i="6"/>
  <c r="AO15" i="6" s="1"/>
  <c r="AQ11" i="6"/>
  <c r="AQ10" i="6"/>
  <c r="AQ18" i="6"/>
  <c r="AQ18" i="5"/>
  <c r="AQ17" i="5"/>
  <c r="AQ16" i="5"/>
  <c r="AQ15" i="5"/>
  <c r="AS10" i="4"/>
  <c r="AR20" i="4"/>
  <c r="AR17" i="4"/>
  <c r="AQ19" i="4"/>
  <c r="AQ23" i="5" s="1"/>
  <c r="AY66" i="7"/>
  <c r="AQ11" i="8" l="1"/>
  <c r="AQ13" i="6"/>
  <c r="AP12" i="8"/>
  <c r="AP14" i="6"/>
  <c r="AP15" i="6" s="1"/>
  <c r="AR11" i="6"/>
  <c r="AR10" i="6"/>
  <c r="AR18" i="6"/>
  <c r="AR18" i="5"/>
  <c r="AR16" i="5"/>
  <c r="AS20" i="4"/>
  <c r="AT10" i="4"/>
  <c r="AR15" i="5"/>
  <c r="AR17" i="5"/>
  <c r="AS17" i="4"/>
  <c r="AR19" i="4"/>
  <c r="AR23" i="5" s="1"/>
  <c r="AZ66" i="7"/>
  <c r="AR11" i="8" l="1"/>
  <c r="AR13" i="6"/>
  <c r="AQ12" i="8"/>
  <c r="AQ14" i="6"/>
  <c r="AQ15" i="6" s="1"/>
  <c r="AS11" i="6"/>
  <c r="AS10" i="6"/>
  <c r="AS18" i="6"/>
  <c r="AS15" i="5"/>
  <c r="AS18" i="5"/>
  <c r="AS17" i="5"/>
  <c r="AS16" i="5"/>
  <c r="AT20" i="4"/>
  <c r="AU10" i="4"/>
  <c r="AT17" i="4"/>
  <c r="AS19" i="4"/>
  <c r="AS23" i="5" s="1"/>
  <c r="BA66" i="7"/>
  <c r="AS11" i="8" l="1"/>
  <c r="AS13" i="6"/>
  <c r="AR12" i="8"/>
  <c r="AR14" i="6"/>
  <c r="AR15" i="6" s="1"/>
  <c r="AT11" i="6"/>
  <c r="AT10" i="6"/>
  <c r="AV10" i="4"/>
  <c r="AU20" i="4"/>
  <c r="AT17" i="5"/>
  <c r="AT18" i="6"/>
  <c r="AT16" i="5"/>
  <c r="AT18" i="5"/>
  <c r="AT15" i="5"/>
  <c r="AT19" i="4"/>
  <c r="AT23" i="5" s="1"/>
  <c r="AU17" i="4"/>
  <c r="AT11" i="8" l="1"/>
  <c r="AT13" i="6"/>
  <c r="AS12" i="8"/>
  <c r="AS14" i="6"/>
  <c r="AS15" i="6" s="1"/>
  <c r="AU11" i="6"/>
  <c r="AU10" i="6"/>
  <c r="AW10" i="4"/>
  <c r="AV20" i="4"/>
  <c r="AU18" i="6"/>
  <c r="AU17" i="5"/>
  <c r="AU15" i="5"/>
  <c r="AU16" i="5"/>
  <c r="AU18" i="5"/>
  <c r="AV17" i="4"/>
  <c r="AU19" i="4"/>
  <c r="AU23" i="5" s="1"/>
  <c r="AU11" i="8" l="1"/>
  <c r="AU13" i="6"/>
  <c r="AT12" i="8"/>
  <c r="AT14" i="6"/>
  <c r="AT15" i="6" s="1"/>
  <c r="AV11" i="6"/>
  <c r="AV10" i="6"/>
  <c r="AW20" i="4"/>
  <c r="AX10" i="4"/>
  <c r="AV18" i="6"/>
  <c r="AV16" i="5"/>
  <c r="AV17" i="5"/>
  <c r="AV18" i="5"/>
  <c r="AV15" i="5"/>
  <c r="AW17" i="4"/>
  <c r="AV19" i="4"/>
  <c r="AV23" i="5" s="1"/>
  <c r="AV11" i="8" l="1"/>
  <c r="AV13" i="6"/>
  <c r="AU12" i="8"/>
  <c r="AU14" i="6"/>
  <c r="AU15" i="6" s="1"/>
  <c r="AW11" i="6"/>
  <c r="AW10" i="6"/>
  <c r="AW18" i="5"/>
  <c r="AW15" i="5"/>
  <c r="AW18" i="6"/>
  <c r="AW17" i="5"/>
  <c r="AW16" i="5"/>
  <c r="AX20" i="4"/>
  <c r="AY10" i="4"/>
  <c r="AX17" i="4"/>
  <c r="AW19" i="4"/>
  <c r="AW23" i="5" s="1"/>
  <c r="AW11" i="8" l="1"/>
  <c r="AW13" i="6"/>
  <c r="AV12" i="8"/>
  <c r="AV14" i="6"/>
  <c r="AV15" i="6" s="1"/>
  <c r="AX11" i="6"/>
  <c r="AX10" i="6"/>
  <c r="AX18" i="6"/>
  <c r="AX18" i="5"/>
  <c r="AX16" i="5"/>
  <c r="AX17" i="5"/>
  <c r="AX15" i="5"/>
  <c r="AY20" i="4"/>
  <c r="AZ10" i="4"/>
  <c r="AY17" i="4"/>
  <c r="AX19" i="4"/>
  <c r="AX23" i="5" s="1"/>
  <c r="AX11" i="8" l="1"/>
  <c r="AX13" i="6"/>
  <c r="AW12" i="8"/>
  <c r="AW14" i="6"/>
  <c r="AW15" i="6" s="1"/>
  <c r="AY16" i="5"/>
  <c r="AY11" i="6"/>
  <c r="AY10" i="6"/>
  <c r="AY18" i="6"/>
  <c r="AY15" i="5"/>
  <c r="AY17" i="5"/>
  <c r="AY18" i="5"/>
  <c r="AZ20" i="4"/>
  <c r="BA10" i="4"/>
  <c r="BA20" i="4" s="1"/>
  <c r="AZ17" i="4"/>
  <c r="AY19" i="4"/>
  <c r="AY23" i="5" s="1"/>
  <c r="AY11" i="8" l="1"/>
  <c r="AY13" i="6"/>
  <c r="AX12" i="8"/>
  <c r="AX14" i="6"/>
  <c r="AX15" i="6" s="1"/>
  <c r="AZ11" i="6"/>
  <c r="AZ10" i="6"/>
  <c r="BA11" i="6"/>
  <c r="BA10" i="6"/>
  <c r="AZ18" i="6"/>
  <c r="AZ15" i="5"/>
  <c r="BA18" i="6"/>
  <c r="AZ16" i="5"/>
  <c r="AZ17" i="5"/>
  <c r="AZ18" i="5"/>
  <c r="BA18" i="5"/>
  <c r="BA16" i="5"/>
  <c r="BA17" i="5"/>
  <c r="BA15" i="5"/>
  <c r="BA17" i="4"/>
  <c r="BA19" i="4" s="1"/>
  <c r="BA23" i="5" s="1"/>
  <c r="AZ19" i="4"/>
  <c r="AZ23" i="5" s="1"/>
  <c r="AZ11" i="8" l="1"/>
  <c r="AZ13" i="6"/>
  <c r="BA11" i="8"/>
  <c r="BA13" i="6"/>
  <c r="AY12" i="8"/>
  <c r="AY14" i="6"/>
  <c r="AY15" i="6" s="1"/>
  <c r="AZ12" i="8" l="1"/>
  <c r="AZ14" i="6"/>
  <c r="AZ15" i="6" s="1"/>
  <c r="BA12" i="8"/>
  <c r="BA14" i="6"/>
  <c r="BA15" i="6" l="1"/>
  <c r="D60" i="8" l="1"/>
  <c r="D61" i="8" s="1"/>
  <c r="D63" i="8" l="1"/>
  <c r="O36" i="10" a="1"/>
  <c r="D38" i="8"/>
  <c r="D44" i="8" s="1"/>
  <c r="D58" i="6" s="1"/>
  <c r="D59" i="6" s="1"/>
  <c r="E46" i="6"/>
  <c r="B73" i="9"/>
  <c r="E62" i="8" l="1"/>
  <c r="D65" i="8"/>
  <c r="E48" i="6"/>
  <c r="E21" i="8" s="1"/>
  <c r="E49" i="6"/>
  <c r="E19" i="6"/>
  <c r="E20" i="6" s="1"/>
  <c r="E22" i="6" s="1"/>
  <c r="B69" i="9"/>
  <c r="D65" i="6" l="1"/>
  <c r="D71" i="8"/>
  <c r="B74" i="9"/>
  <c r="D32" i="8"/>
  <c r="D33" i="8" s="1"/>
  <c r="D46" i="8" s="1"/>
  <c r="E68" i="8"/>
  <c r="E59" i="8"/>
  <c r="E54" i="6"/>
  <c r="E50" i="6"/>
  <c r="E36" i="8" s="1"/>
  <c r="E26" i="6"/>
  <c r="E25" i="6"/>
  <c r="E24" i="5" s="1"/>
  <c r="E57" i="8"/>
  <c r="U24" i="10" l="1" a="1"/>
  <c r="X24" i="10" a="1"/>
  <c r="AA24" i="10" a="1"/>
  <c r="R24" i="10" a="1"/>
  <c r="T15" i="10" a="1"/>
  <c r="U15" i="10" a="1"/>
  <c r="Z15" i="10" a="1"/>
  <c r="Q15" i="10" a="1"/>
  <c r="Y15" i="10" a="1"/>
  <c r="R15" i="10" a="1"/>
  <c r="W15" i="10" a="1"/>
  <c r="AA15" i="10" a="1"/>
  <c r="S15" i="10" a="1"/>
  <c r="V15" i="10" a="1"/>
  <c r="P15" i="10" a="1"/>
  <c r="X15" i="10" a="1"/>
  <c r="F23" i="6"/>
  <c r="F21" i="6"/>
  <c r="E37" i="8"/>
  <c r="E25" i="5"/>
  <c r="E10" i="5" s="1"/>
  <c r="E17" i="8"/>
  <c r="Q21" i="10" l="1" a="1"/>
  <c r="W21" i="10" a="1"/>
  <c r="S21" i="10" a="1"/>
  <c r="V21" i="10" a="1"/>
  <c r="AA21" i="10" a="1"/>
  <c r="T21" i="10" a="1"/>
  <c r="X21" i="10" a="1"/>
  <c r="P21" i="10" a="1"/>
  <c r="Y21" i="10" a="1"/>
  <c r="R21" i="10" a="1"/>
  <c r="U21" i="10" a="1"/>
  <c r="Z21" i="10" a="1"/>
  <c r="F24" i="6"/>
  <c r="F58" i="8" s="1"/>
  <c r="E67" i="7"/>
  <c r="E11" i="7"/>
  <c r="E125" i="7"/>
  <c r="E124" i="7"/>
  <c r="E11" i="5"/>
  <c r="E126" i="7"/>
  <c r="E62" i="7"/>
  <c r="AB27" i="10" l="1" a="1"/>
  <c r="AH27" i="10" a="1"/>
  <c r="AL27" i="10" a="1"/>
  <c r="AF27" i="10" a="1"/>
  <c r="AJ27" i="10" a="1"/>
  <c r="AC27" i="10" a="1"/>
  <c r="AG27" i="10" a="1"/>
  <c r="AM27" i="10" a="1"/>
  <c r="AD27" i="10" a="1"/>
  <c r="AK27" i="10" a="1"/>
  <c r="AE27" i="10" a="1"/>
  <c r="AI27" i="10" a="1"/>
  <c r="F67" i="7"/>
  <c r="G67" i="7" s="1"/>
  <c r="H67" i="7" s="1"/>
  <c r="E117" i="7"/>
  <c r="E119" i="7" s="1"/>
  <c r="E10" i="8" s="1"/>
  <c r="F11" i="7"/>
  <c r="G11" i="7" s="1"/>
  <c r="H11" i="7" s="1"/>
  <c r="E61" i="7"/>
  <c r="E63" i="7" s="1"/>
  <c r="E41" i="8" s="1"/>
  <c r="E122" i="7"/>
  <c r="F9" i="5"/>
  <c r="E132" i="7"/>
  <c r="E134" i="7"/>
  <c r="E16" i="8" s="1"/>
  <c r="E19" i="5"/>
  <c r="E20" i="5" s="1"/>
  <c r="E14" i="8" s="1"/>
  <c r="P19" i="10" l="1" a="1"/>
  <c r="Q19" i="10" a="1"/>
  <c r="S19" i="10" a="1"/>
  <c r="U19" i="10" a="1"/>
  <c r="Y19" i="10" a="1"/>
  <c r="W19" i="10" a="1"/>
  <c r="R19" i="10" a="1"/>
  <c r="T19" i="10" a="1"/>
  <c r="Z19" i="10" a="1"/>
  <c r="V19" i="10" a="1"/>
  <c r="AA19" i="10" a="1"/>
  <c r="X19" i="10" a="1"/>
  <c r="P18" i="10" a="1"/>
  <c r="T18" i="10" a="1"/>
  <c r="Y18" i="10" a="1"/>
  <c r="R18" i="10" a="1"/>
  <c r="V18" i="10" a="1"/>
  <c r="Z18" i="10" a="1"/>
  <c r="Q18" i="10" a="1"/>
  <c r="U18" i="10" a="1"/>
  <c r="X18" i="10" a="1"/>
  <c r="S18" i="10" a="1"/>
  <c r="W18" i="10" a="1"/>
  <c r="AA18" i="10" a="1"/>
  <c r="R11" i="10" a="1"/>
  <c r="V11" i="10" a="1"/>
  <c r="Y11" i="10" a="1"/>
  <c r="P11" i="10" a="1"/>
  <c r="U11" i="10" a="1"/>
  <c r="AA11" i="10" a="1"/>
  <c r="S11" i="10" a="1"/>
  <c r="W11" i="10" a="1"/>
  <c r="Z11" i="10" a="1"/>
  <c r="Q11" i="10" a="1"/>
  <c r="T11" i="10" a="1"/>
  <c r="X11" i="10" a="1"/>
  <c r="E135" i="7"/>
  <c r="E13" i="8"/>
  <c r="C72" i="9"/>
  <c r="E35" i="6"/>
  <c r="C68" i="9"/>
  <c r="E30" i="8"/>
  <c r="E123" i="7"/>
  <c r="E127" i="7" s="1"/>
  <c r="E54" i="8"/>
  <c r="F46" i="6"/>
  <c r="I11" i="7"/>
  <c r="I67" i="7"/>
  <c r="Y29" i="10" l="1"/>
  <c r="V29" i="10"/>
  <c r="S29" i="10"/>
  <c r="Q32" i="10" a="1"/>
  <c r="T32" i="10" a="1"/>
  <c r="V32" i="10" a="1"/>
  <c r="X32" i="10" a="1"/>
  <c r="Z32" i="10" a="1"/>
  <c r="Y32" i="10" a="1"/>
  <c r="P32" i="10" a="1"/>
  <c r="S32" i="10" a="1"/>
  <c r="U32" i="10" a="1"/>
  <c r="W32" i="10" a="1"/>
  <c r="AA32" i="10" a="1"/>
  <c r="R32" i="10" a="1"/>
  <c r="Q29" i="10"/>
  <c r="T29" i="10"/>
  <c r="P29" i="10"/>
  <c r="W29" i="10"/>
  <c r="Z29" i="10"/>
  <c r="E55" i="8"/>
  <c r="AA22" i="10" a="1"/>
  <c r="E128" i="7"/>
  <c r="E36" i="6" s="1"/>
  <c r="E15" i="8"/>
  <c r="F49" i="6"/>
  <c r="F48" i="6"/>
  <c r="F21" i="8" s="1"/>
  <c r="F131" i="7"/>
  <c r="E64" i="8"/>
  <c r="E31" i="8"/>
  <c r="J11" i="7"/>
  <c r="J67" i="7"/>
  <c r="P31" i="10" l="1"/>
  <c r="E18" i="8"/>
  <c r="E19" i="8" s="1"/>
  <c r="E49" i="8" s="1"/>
  <c r="AA20" i="10" a="1"/>
  <c r="F133" i="7"/>
  <c r="F59" i="8"/>
  <c r="F54" i="6"/>
  <c r="F50" i="6"/>
  <c r="F36" i="8" s="1"/>
  <c r="E37" i="6"/>
  <c r="K11" i="7"/>
  <c r="K67" i="7"/>
  <c r="P33" i="10" l="1"/>
  <c r="P34" i="10" s="1"/>
  <c r="Q30" i="10"/>
  <c r="Q31" i="10" s="1"/>
  <c r="AG24" i="10" a="1"/>
  <c r="AD24" i="10" a="1"/>
  <c r="AJ24" i="10" a="1"/>
  <c r="AM24" i="10" a="1"/>
  <c r="E56" i="8"/>
  <c r="E69" i="8"/>
  <c r="E70" i="8" s="1"/>
  <c r="E38" i="6"/>
  <c r="E40" i="6"/>
  <c r="E43" i="6"/>
  <c r="E62" i="6"/>
  <c r="L11" i="7"/>
  <c r="L67" i="7"/>
  <c r="Q33" i="10" l="1"/>
  <c r="Q34" i="10" s="1"/>
  <c r="R30" i="10"/>
  <c r="E60" i="8"/>
  <c r="AA14" i="10" a="1"/>
  <c r="F33" i="6"/>
  <c r="F34" i="6" s="1"/>
  <c r="F27" i="5"/>
  <c r="E35" i="8"/>
  <c r="E38" i="8" s="1"/>
  <c r="E56" i="6"/>
  <c r="F30" i="6"/>
  <c r="F31" i="6" s="1"/>
  <c r="E53" i="6"/>
  <c r="E55" i="6" s="1"/>
  <c r="C73" i="9" s="1"/>
  <c r="E20" i="8"/>
  <c r="M11" i="7"/>
  <c r="M67" i="7"/>
  <c r="C69" i="9" l="1"/>
  <c r="E57" i="6"/>
  <c r="F32" i="6"/>
  <c r="F22" i="8"/>
  <c r="E64" i="6"/>
  <c r="E61" i="6"/>
  <c r="E60" i="6"/>
  <c r="E50" i="8"/>
  <c r="E23" i="8"/>
  <c r="N11" i="7"/>
  <c r="N67" i="7"/>
  <c r="X23" i="10" l="1" a="1"/>
  <c r="X29" i="10" s="1"/>
  <c r="AA23" i="10" a="1"/>
  <c r="U23" i="10" a="1"/>
  <c r="U29" i="10" s="1"/>
  <c r="R23" i="10" a="1"/>
  <c r="R29" i="10" s="1"/>
  <c r="E28" i="6"/>
  <c r="E24" i="8" s="1"/>
  <c r="O11" i="7"/>
  <c r="O67" i="7"/>
  <c r="R31" i="10" l="1"/>
  <c r="E51" i="8"/>
  <c r="AA25" i="10" s="1" a="1"/>
  <c r="E25" i="8"/>
  <c r="P11" i="7"/>
  <c r="P67" i="7"/>
  <c r="R33" i="10" l="1"/>
  <c r="R34" i="10" s="1"/>
  <c r="S30" i="10"/>
  <c r="S31" i="10" s="1"/>
  <c r="E52" i="8"/>
  <c r="E26" i="8"/>
  <c r="E27" i="8" s="1"/>
  <c r="E40" i="8" s="1"/>
  <c r="E43" i="8" s="1"/>
  <c r="E44" i="8" s="1"/>
  <c r="Q11" i="7"/>
  <c r="Q67" i="7"/>
  <c r="S33" i="10" l="1"/>
  <c r="S34" i="10" s="1"/>
  <c r="T30" i="10"/>
  <c r="T31" i="10" s="1"/>
  <c r="E53" i="8"/>
  <c r="E61" i="8" s="1"/>
  <c r="E63" i="8" s="1"/>
  <c r="AA26" i="10" a="1"/>
  <c r="AA29" i="10" s="1"/>
  <c r="AA36" i="10" s="1" a="1"/>
  <c r="E58" i="6"/>
  <c r="E59" i="6" s="1"/>
  <c r="F19" i="6"/>
  <c r="F20" i="6" s="1"/>
  <c r="F22" i="6" s="1"/>
  <c r="F68" i="8" s="1"/>
  <c r="G23" i="6"/>
  <c r="R11" i="7"/>
  <c r="R67" i="7"/>
  <c r="T33" i="10" l="1"/>
  <c r="T34" i="10" s="1"/>
  <c r="U30" i="10"/>
  <c r="U31" i="10" s="1"/>
  <c r="E65" i="8"/>
  <c r="F62" i="8"/>
  <c r="F57" i="8"/>
  <c r="F26" i="6"/>
  <c r="F25" i="6"/>
  <c r="S11" i="7"/>
  <c r="S67" i="7"/>
  <c r="F24" i="5" l="1"/>
  <c r="F25" i="5" s="1"/>
  <c r="F10" i="5" s="1"/>
  <c r="U33" i="10"/>
  <c r="U34" i="10" s="1"/>
  <c r="V30" i="10"/>
  <c r="V31" i="10" s="1"/>
  <c r="C74" i="9"/>
  <c r="E71" i="8"/>
  <c r="E65" i="6"/>
  <c r="E32" i="8"/>
  <c r="E33" i="8" s="1"/>
  <c r="E46" i="8" s="1"/>
  <c r="AE15" i="10" a="1"/>
  <c r="AJ15" i="10" a="1"/>
  <c r="AB15" i="10" a="1"/>
  <c r="AG15" i="10" a="1"/>
  <c r="AL15" i="10" a="1"/>
  <c r="AF15" i="10" a="1"/>
  <c r="AK15" i="10" a="1"/>
  <c r="AC15" i="10" a="1"/>
  <c r="AH15" i="10" a="1"/>
  <c r="AM15" i="10" a="1"/>
  <c r="AD15" i="10" a="1"/>
  <c r="AI15" i="10" a="1"/>
  <c r="G21" i="6"/>
  <c r="G24" i="6" s="1"/>
  <c r="G58" i="8" s="1"/>
  <c r="F37" i="8"/>
  <c r="F17" i="8"/>
  <c r="T11" i="7"/>
  <c r="T67" i="7"/>
  <c r="V33" i="10" l="1"/>
  <c r="V34" i="10" s="1"/>
  <c r="W30" i="10"/>
  <c r="W31" i="10" s="1"/>
  <c r="AQ27" i="10" a="1"/>
  <c r="AV27" i="10" a="1"/>
  <c r="AN27" i="10" a="1"/>
  <c r="AS27" i="10" a="1"/>
  <c r="AW27" i="10" a="1"/>
  <c r="AR27" i="10" a="1"/>
  <c r="AX27" i="10" a="1"/>
  <c r="AO27" i="10" a="1"/>
  <c r="AU27" i="10" a="1"/>
  <c r="AP27" i="10" a="1"/>
  <c r="AT27" i="10" a="1"/>
  <c r="AY27" i="10" a="1"/>
  <c r="AB21" i="10" a="1"/>
  <c r="AG21" i="10" a="1"/>
  <c r="AM21" i="10" a="1"/>
  <c r="AF21" i="10" a="1"/>
  <c r="AI21" i="10" a="1"/>
  <c r="AE21" i="10" a="1"/>
  <c r="AJ21" i="10" a="1"/>
  <c r="AD21" i="10" a="1"/>
  <c r="AH21" i="10" a="1"/>
  <c r="AL21" i="10" a="1"/>
  <c r="AC21" i="10" a="1"/>
  <c r="AK21" i="10" a="1"/>
  <c r="F11" i="5"/>
  <c r="F68" i="7"/>
  <c r="F12" i="7"/>
  <c r="F62" i="7"/>
  <c r="F122" i="7" s="1"/>
  <c r="F126" i="7"/>
  <c r="F125" i="7"/>
  <c r="F124" i="7"/>
  <c r="G46" i="6"/>
  <c r="U11" i="7"/>
  <c r="U67" i="7"/>
  <c r="X30" i="10" l="1"/>
  <c r="X31" i="10" s="1"/>
  <c r="W33" i="10"/>
  <c r="W34" i="10" s="1"/>
  <c r="G9" i="5"/>
  <c r="G26" i="5" s="1"/>
  <c r="F134" i="7"/>
  <c r="F16" i="8" s="1"/>
  <c r="F19" i="5"/>
  <c r="F20" i="5" s="1"/>
  <c r="F14" i="8" s="1"/>
  <c r="F132" i="7"/>
  <c r="F117" i="7"/>
  <c r="F119" i="7" s="1"/>
  <c r="F10" i="8" s="1"/>
  <c r="G68" i="7"/>
  <c r="H68" i="7" s="1"/>
  <c r="I68" i="7" s="1"/>
  <c r="J68" i="7" s="1"/>
  <c r="K68" i="7" s="1"/>
  <c r="F61" i="7"/>
  <c r="G12" i="7"/>
  <c r="H12" i="7" s="1"/>
  <c r="I12" i="7" s="1"/>
  <c r="J12" i="7" s="1"/>
  <c r="K12" i="7" s="1"/>
  <c r="F54" i="8"/>
  <c r="F123" i="7"/>
  <c r="F127" i="7" s="1"/>
  <c r="G48" i="6"/>
  <c r="G21" i="8" s="1"/>
  <c r="G49" i="6"/>
  <c r="V11" i="7"/>
  <c r="V67" i="7"/>
  <c r="X33" i="10" l="1"/>
  <c r="X34" i="10" s="1"/>
  <c r="Y30" i="10"/>
  <c r="Y31" i="10" s="1"/>
  <c r="Y33" i="10"/>
  <c r="Y34" i="10" s="1"/>
  <c r="Z30" i="10"/>
  <c r="Z31" i="10" s="1"/>
  <c r="F55" i="8"/>
  <c r="AM22" i="10" a="1"/>
  <c r="AB19" i="10" a="1"/>
  <c r="AF19" i="10" a="1"/>
  <c r="AL19" i="10" a="1"/>
  <c r="AG19" i="10" a="1"/>
  <c r="AM19" i="10" a="1"/>
  <c r="AE19" i="10" a="1"/>
  <c r="AK19" i="10" a="1"/>
  <c r="AD19" i="10" a="1"/>
  <c r="AJ19" i="10" a="1"/>
  <c r="AC19" i="10" a="1"/>
  <c r="AI19" i="10" a="1"/>
  <c r="AH19" i="10" a="1"/>
  <c r="AB18" i="10" a="1"/>
  <c r="AH18" i="10" a="1"/>
  <c r="AL18" i="10" a="1"/>
  <c r="AE18" i="10" a="1"/>
  <c r="AG18" i="10" a="1"/>
  <c r="AK18" i="10" a="1"/>
  <c r="AC18" i="10" a="1"/>
  <c r="AF18" i="10" a="1"/>
  <c r="AJ18" i="10" a="1"/>
  <c r="AD18" i="10" a="1"/>
  <c r="AI18" i="10" a="1"/>
  <c r="AM18" i="10" a="1"/>
  <c r="AC11" i="10" a="1"/>
  <c r="AH11" i="10" a="1"/>
  <c r="AL11" i="10" a="1"/>
  <c r="AE11" i="10" a="1"/>
  <c r="AJ11" i="10" a="1"/>
  <c r="AM11" i="10" a="1"/>
  <c r="AF11" i="10" a="1"/>
  <c r="AD11" i="10" a="1"/>
  <c r="AI11" i="10" a="1"/>
  <c r="AB11" i="10" a="1"/>
  <c r="AG11" i="10" a="1"/>
  <c r="AK11" i="10" a="1"/>
  <c r="F135" i="7"/>
  <c r="F13" i="8"/>
  <c r="D72" i="9"/>
  <c r="F30" i="8"/>
  <c r="F35" i="6"/>
  <c r="D68" i="9"/>
  <c r="F63" i="7"/>
  <c r="F41" i="8" s="1"/>
  <c r="F15" i="8"/>
  <c r="F128" i="7"/>
  <c r="F36" i="6" s="1"/>
  <c r="G59" i="8"/>
  <c r="G54" i="6"/>
  <c r="G50" i="6"/>
  <c r="G36" i="8" s="1"/>
  <c r="W11" i="7"/>
  <c r="W67" i="7"/>
  <c r="L68" i="7"/>
  <c r="L12" i="7"/>
  <c r="AV24" i="10" l="1" a="1"/>
  <c r="AY24" i="10" a="1"/>
  <c r="AP24" i="10" a="1"/>
  <c r="AS24" i="10" a="1"/>
  <c r="Z33" i="10"/>
  <c r="Z34" i="10" s="1"/>
  <c r="AA30" i="10"/>
  <c r="AA31" i="10" s="1"/>
  <c r="AL29" i="10"/>
  <c r="AB32" i="10" a="1"/>
  <c r="AF32" i="10" a="1"/>
  <c r="AK32" i="10" a="1"/>
  <c r="AD32" i="10" a="1"/>
  <c r="AH32" i="10" a="1"/>
  <c r="AL32" i="10" a="1"/>
  <c r="AC32" i="10" a="1"/>
  <c r="AI32" i="10" a="1"/>
  <c r="AM32" i="10" a="1"/>
  <c r="AE32" i="10" a="1"/>
  <c r="AJ32" i="10" a="1"/>
  <c r="AG32" i="10" a="1"/>
  <c r="AF29" i="10"/>
  <c r="AI29" i="10"/>
  <c r="AK29" i="10"/>
  <c r="AC29" i="10"/>
  <c r="AH29" i="10"/>
  <c r="AE29" i="10"/>
  <c r="AB29" i="10"/>
  <c r="F18" i="8"/>
  <c r="F19" i="8" s="1"/>
  <c r="F49" i="8" s="1"/>
  <c r="AM20" i="10" a="1"/>
  <c r="F31" i="8"/>
  <c r="F64" i="8"/>
  <c r="G131" i="7"/>
  <c r="F37" i="6"/>
  <c r="X11" i="7"/>
  <c r="X67" i="7"/>
  <c r="M68" i="7"/>
  <c r="M12" i="7"/>
  <c r="AB30" i="10" l="1"/>
  <c r="AB31" i="10" s="1"/>
  <c r="AA33" i="10"/>
  <c r="AA34" i="10" s="1"/>
  <c r="F43" i="6"/>
  <c r="G30" i="6" s="1"/>
  <c r="G31" i="6" s="1"/>
  <c r="F69" i="8"/>
  <c r="F70" i="8" s="1"/>
  <c r="G133" i="7"/>
  <c r="F56" i="8"/>
  <c r="F38" i="6"/>
  <c r="F62" i="6"/>
  <c r="F40" i="6"/>
  <c r="Y11" i="7"/>
  <c r="Y67" i="7"/>
  <c r="N68" i="7"/>
  <c r="N12" i="7"/>
  <c r="AC30" i="10" l="1"/>
  <c r="AC31" i="10" s="1"/>
  <c r="AB33" i="10"/>
  <c r="AB34" i="10" s="1"/>
  <c r="F60" i="8"/>
  <c r="AM14" i="10" a="1"/>
  <c r="F35" i="8"/>
  <c r="F38" i="8" s="1"/>
  <c r="F56" i="6"/>
  <c r="G33" i="6"/>
  <c r="G34" i="6" s="1"/>
  <c r="G27" i="5"/>
  <c r="F20" i="8"/>
  <c r="F53" i="6"/>
  <c r="F55" i="6" s="1"/>
  <c r="G32" i="6"/>
  <c r="G22" i="8"/>
  <c r="Z11" i="7"/>
  <c r="Z67" i="7"/>
  <c r="O68" i="7"/>
  <c r="O12" i="7"/>
  <c r="AD30" i="10" l="1"/>
  <c r="AC33" i="10"/>
  <c r="AC34" i="10" s="1"/>
  <c r="D69" i="9"/>
  <c r="F57" i="6"/>
  <c r="F23" i="8"/>
  <c r="F28" i="6" s="1"/>
  <c r="F24" i="8" s="1"/>
  <c r="F50" i="8"/>
  <c r="D73" i="9"/>
  <c r="F60" i="6"/>
  <c r="F64" i="6"/>
  <c r="F61" i="6"/>
  <c r="AA11" i="7"/>
  <c r="AA67" i="7"/>
  <c r="P68" i="7"/>
  <c r="P12" i="7"/>
  <c r="AJ23" i="10" l="1" a="1"/>
  <c r="AJ29" i="10" s="1"/>
  <c r="AM23" i="10" a="1"/>
  <c r="AG23" i="10" a="1"/>
  <c r="AG29" i="10" s="1"/>
  <c r="AD23" i="10" a="1"/>
  <c r="AD29" i="10" s="1"/>
  <c r="F51" i="8"/>
  <c r="AM25" i="10" s="1" a="1"/>
  <c r="F25" i="8"/>
  <c r="AB11" i="7"/>
  <c r="AB67" i="7"/>
  <c r="Q68" i="7"/>
  <c r="Q12" i="7"/>
  <c r="AD31" i="10" l="1"/>
  <c r="F52" i="8"/>
  <c r="F26" i="8"/>
  <c r="F27" i="8" s="1"/>
  <c r="F40" i="8" s="1"/>
  <c r="F43" i="8" s="1"/>
  <c r="F44" i="8" s="1"/>
  <c r="AC11" i="7"/>
  <c r="AC67" i="7"/>
  <c r="R68" i="7"/>
  <c r="R12" i="7"/>
  <c r="AD33" i="10" l="1"/>
  <c r="AD34" i="10" s="1"/>
  <c r="AE30" i="10"/>
  <c r="AE31" i="10" s="1"/>
  <c r="F53" i="8"/>
  <c r="F61" i="8" s="1"/>
  <c r="F63" i="8" s="1"/>
  <c r="AM26" i="10" a="1"/>
  <c r="AM29" i="10" s="1"/>
  <c r="AM36" i="10" s="1" a="1"/>
  <c r="G19" i="6"/>
  <c r="G20" i="6" s="1"/>
  <c r="G22" i="6" s="1"/>
  <c r="G68" i="8" s="1"/>
  <c r="F58" i="6"/>
  <c r="F59" i="6" s="1"/>
  <c r="H23" i="6"/>
  <c r="AD11" i="7"/>
  <c r="AD67" i="7"/>
  <c r="S68" i="7"/>
  <c r="S12" i="7"/>
  <c r="AE33" i="10" l="1"/>
  <c r="AE34" i="10" s="1"/>
  <c r="AF30" i="10"/>
  <c r="AF31" i="10" s="1"/>
  <c r="G62" i="8"/>
  <c r="F65" i="8"/>
  <c r="G57" i="8"/>
  <c r="G26" i="6"/>
  <c r="G25" i="6"/>
  <c r="AE11" i="7"/>
  <c r="AE67" i="7"/>
  <c r="T68" i="7"/>
  <c r="T12" i="7"/>
  <c r="G24" i="5" l="1"/>
  <c r="G25" i="5" s="1"/>
  <c r="G10" i="5" s="1"/>
  <c r="F65" i="6"/>
  <c r="F71" i="8"/>
  <c r="D74" i="9"/>
  <c r="F32" i="8"/>
  <c r="F33" i="8" s="1"/>
  <c r="F46" i="8" s="1"/>
  <c r="AF33" i="10"/>
  <c r="AF34" i="10" s="1"/>
  <c r="AG30" i="10"/>
  <c r="AG31" i="10" s="1"/>
  <c r="AO15" i="10" a="1"/>
  <c r="AT15" i="10" a="1"/>
  <c r="AY15" i="10" a="1"/>
  <c r="AR15" i="10" a="1"/>
  <c r="AX15" i="10" a="1"/>
  <c r="AP15" i="10" a="1"/>
  <c r="AU15" i="10" a="1"/>
  <c r="AQ15" i="10" a="1"/>
  <c r="AV15" i="10" a="1"/>
  <c r="AN15" i="10" a="1"/>
  <c r="AS15" i="10" a="1"/>
  <c r="AW15" i="10" a="1"/>
  <c r="H21" i="6"/>
  <c r="H24" i="6" s="1"/>
  <c r="H58" i="8" s="1"/>
  <c r="G37" i="8"/>
  <c r="G17" i="8"/>
  <c r="AF11" i="7"/>
  <c r="AF67" i="7"/>
  <c r="U68" i="7"/>
  <c r="U12" i="7"/>
  <c r="AG33" i="10" l="1"/>
  <c r="AG34" i="10" s="1"/>
  <c r="AH30" i="10"/>
  <c r="AH31" i="10" s="1"/>
  <c r="BA27" i="10" a="1"/>
  <c r="BE27" i="10" a="1"/>
  <c r="BJ27" i="10" a="1"/>
  <c r="BB27" i="10" a="1"/>
  <c r="BG27" i="10" a="1"/>
  <c r="BK27" i="10" a="1"/>
  <c r="BC27" i="10" a="1"/>
  <c r="BH27" i="10" a="1"/>
  <c r="AZ27" i="10" a="1"/>
  <c r="BF27" i="10" a="1"/>
  <c r="BD27" i="10" a="1"/>
  <c r="BI27" i="10" a="1"/>
  <c r="AR21" i="10" a="1"/>
  <c r="AX21" i="10" a="1"/>
  <c r="AN21" i="10" a="1"/>
  <c r="AS21" i="10" a="1"/>
  <c r="AW21" i="10" a="1"/>
  <c r="AP21" i="10" a="1"/>
  <c r="AU21" i="10" a="1"/>
  <c r="AQ21" i="10" a="1"/>
  <c r="AV21" i="10" a="1"/>
  <c r="AO21" i="10" a="1"/>
  <c r="AT21" i="10" a="1"/>
  <c r="AY21" i="10" a="1"/>
  <c r="G126" i="7"/>
  <c r="G69" i="7"/>
  <c r="G125" i="7"/>
  <c r="G124" i="7"/>
  <c r="G62" i="7"/>
  <c r="G122" i="7" s="1"/>
  <c r="G11" i="5"/>
  <c r="G13" i="7"/>
  <c r="H46" i="6"/>
  <c r="AG11" i="7"/>
  <c r="AG67" i="7"/>
  <c r="V68" i="7"/>
  <c r="V12" i="7"/>
  <c r="AI30" i="10" l="1"/>
  <c r="AI31" i="10" s="1"/>
  <c r="AH33" i="10"/>
  <c r="AH34" i="10" s="1"/>
  <c r="G54" i="8"/>
  <c r="G123" i="7"/>
  <c r="G127" i="7" s="1"/>
  <c r="G117" i="7"/>
  <c r="G119" i="7" s="1"/>
  <c r="G10" i="8" s="1"/>
  <c r="H69" i="7"/>
  <c r="I69" i="7" s="1"/>
  <c r="J69" i="7" s="1"/>
  <c r="K69" i="7" s="1"/>
  <c r="L69" i="7" s="1"/>
  <c r="M69" i="7" s="1"/>
  <c r="H9" i="5"/>
  <c r="H26" i="5" s="1"/>
  <c r="G134" i="7"/>
  <c r="G16" i="8" s="1"/>
  <c r="G19" i="5"/>
  <c r="G20" i="5" s="1"/>
  <c r="G14" i="8" s="1"/>
  <c r="G132" i="7"/>
  <c r="G61" i="7"/>
  <c r="H13" i="7"/>
  <c r="I13" i="7" s="1"/>
  <c r="J13" i="7" s="1"/>
  <c r="K13" i="7" s="1"/>
  <c r="L13" i="7" s="1"/>
  <c r="M13" i="7" s="1"/>
  <c r="H49" i="6"/>
  <c r="H48" i="6"/>
  <c r="H21" i="8" s="1"/>
  <c r="AH11" i="7"/>
  <c r="AH67" i="7"/>
  <c r="W68" i="7"/>
  <c r="W12" i="7"/>
  <c r="AJ30" i="10" l="1"/>
  <c r="AJ31" i="10" s="1"/>
  <c r="AI33" i="10"/>
  <c r="AI34" i="10" s="1"/>
  <c r="AJ33" i="10"/>
  <c r="AJ34" i="10" s="1"/>
  <c r="AK30" i="10"/>
  <c r="AK31" i="10" s="1"/>
  <c r="G55" i="8"/>
  <c r="AY22" i="10" a="1"/>
  <c r="AP19" i="10" a="1"/>
  <c r="AV19" i="10" a="1"/>
  <c r="AR19" i="10" a="1"/>
  <c r="AQ19" i="10" a="1"/>
  <c r="AW19" i="10" a="1"/>
  <c r="AS19" i="10" a="1"/>
  <c r="AO19" i="10" a="1"/>
  <c r="AU19" i="10" a="1"/>
  <c r="AN19" i="10" a="1"/>
  <c r="AT19" i="10" a="1"/>
  <c r="AY19" i="10" a="1"/>
  <c r="AX19" i="10" a="1"/>
  <c r="AQ18" i="10" a="1"/>
  <c r="AV18" i="10" a="1"/>
  <c r="AS18" i="10" a="1"/>
  <c r="AO18" i="10" a="1"/>
  <c r="AT18" i="10" a="1"/>
  <c r="AY18" i="10" a="1"/>
  <c r="AN18" i="10" a="1"/>
  <c r="AR18" i="10" a="1"/>
  <c r="AW18" i="10" a="1"/>
  <c r="AP18" i="10" a="1"/>
  <c r="AU18" i="10" a="1"/>
  <c r="AX18" i="10" a="1"/>
  <c r="AQ11" i="10" a="1"/>
  <c r="AV11" i="10" a="1"/>
  <c r="AU11" i="10" a="1"/>
  <c r="AP11" i="10" a="1"/>
  <c r="AT11" i="10" a="1"/>
  <c r="AY11" i="10" a="1"/>
  <c r="AN11" i="10" a="1"/>
  <c r="AR11" i="10" a="1"/>
  <c r="AW11" i="10" a="1"/>
  <c r="AO11" i="10" a="1"/>
  <c r="AS11" i="10" a="1"/>
  <c r="AX11" i="10" a="1"/>
  <c r="G135" i="7"/>
  <c r="G15" i="8"/>
  <c r="G128" i="7"/>
  <c r="G36" i="6" s="1"/>
  <c r="E72" i="9"/>
  <c r="G13" i="8"/>
  <c r="G35" i="6"/>
  <c r="G30" i="8"/>
  <c r="E68" i="9"/>
  <c r="G63" i="7"/>
  <c r="G41" i="8" s="1"/>
  <c r="H59" i="8"/>
  <c r="H54" i="6"/>
  <c r="H50" i="6"/>
  <c r="H36" i="8" s="1"/>
  <c r="AI11" i="7"/>
  <c r="AI67" i="7"/>
  <c r="X68" i="7"/>
  <c r="X12" i="7"/>
  <c r="N13" i="7"/>
  <c r="N69" i="7"/>
  <c r="AO29" i="10" l="1"/>
  <c r="BB24" i="10" a="1"/>
  <c r="BE24" i="10" a="1"/>
  <c r="BH24" i="10" a="1"/>
  <c r="BK24" i="10" a="1"/>
  <c r="AW29" i="10"/>
  <c r="AK33" i="10"/>
  <c r="AK34" i="10" s="1"/>
  <c r="AL30" i="10"/>
  <c r="AL31" i="10" s="1"/>
  <c r="AO32" i="10" a="1"/>
  <c r="AU32" i="10" a="1"/>
  <c r="AR32" i="10" a="1"/>
  <c r="AX32" i="10" a="1"/>
  <c r="AQ32" i="10" a="1"/>
  <c r="AW32" i="10" a="1"/>
  <c r="AP32" i="10" a="1"/>
  <c r="AT32" i="10" a="1"/>
  <c r="AN32" i="10" a="1"/>
  <c r="AS32" i="10" a="1"/>
  <c r="AV32" i="10" a="1"/>
  <c r="AY32" i="10" a="1"/>
  <c r="AT29" i="10"/>
  <c r="AX29" i="10"/>
  <c r="AQ29" i="10"/>
  <c r="AU29" i="10"/>
  <c r="AN29" i="10"/>
  <c r="AR29" i="10"/>
  <c r="G18" i="8"/>
  <c r="G19" i="8" s="1"/>
  <c r="G49" i="8" s="1"/>
  <c r="AY20" i="10" a="1"/>
  <c r="G37" i="6"/>
  <c r="G69" i="8" s="1"/>
  <c r="G70" i="8" s="1"/>
  <c r="H131" i="7"/>
  <c r="G64" i="8"/>
  <c r="G31" i="8"/>
  <c r="AJ11" i="7"/>
  <c r="AJ67" i="7"/>
  <c r="Y68" i="7"/>
  <c r="Y12" i="7"/>
  <c r="O13" i="7"/>
  <c r="O69" i="7"/>
  <c r="AL33" i="10" l="1"/>
  <c r="AL34" i="10" s="1"/>
  <c r="AM30" i="10"/>
  <c r="AM31" i="10" s="1"/>
  <c r="H133" i="7"/>
  <c r="G62" i="6"/>
  <c r="G56" i="8"/>
  <c r="G40" i="6"/>
  <c r="G38" i="6"/>
  <c r="G43" i="6"/>
  <c r="G35" i="8" s="1"/>
  <c r="G38" i="8" s="1"/>
  <c r="AK11" i="7"/>
  <c r="AK67" i="7"/>
  <c r="Z68" i="7"/>
  <c r="Z12" i="7"/>
  <c r="P13" i="7"/>
  <c r="P69" i="7"/>
  <c r="AN30" i="10" l="1"/>
  <c r="AN31" i="10" s="1"/>
  <c r="AM33" i="10"/>
  <c r="AM34" i="10" s="1"/>
  <c r="G60" i="8"/>
  <c r="AY14" i="10" a="1"/>
  <c r="H33" i="6"/>
  <c r="H34" i="6" s="1"/>
  <c r="H27" i="5"/>
  <c r="H30" i="6"/>
  <c r="G56" i="6"/>
  <c r="G20" i="8"/>
  <c r="G53" i="6"/>
  <c r="G55" i="6" s="1"/>
  <c r="AL11" i="7"/>
  <c r="AL67" i="7"/>
  <c r="AA68" i="7"/>
  <c r="AA12" i="7"/>
  <c r="Q13" i="7"/>
  <c r="Q69" i="7"/>
  <c r="AN33" i="10" l="1"/>
  <c r="AN34" i="10" s="1"/>
  <c r="AO30" i="10"/>
  <c r="AO31" i="10" s="1"/>
  <c r="H31" i="6"/>
  <c r="E69" i="9"/>
  <c r="G57" i="6"/>
  <c r="G23" i="8"/>
  <c r="G28" i="6" s="1"/>
  <c r="G24" i="8" s="1"/>
  <c r="G50" i="8"/>
  <c r="G60" i="6"/>
  <c r="E73" i="9"/>
  <c r="G64" i="6"/>
  <c r="G61" i="6"/>
  <c r="AM11" i="7"/>
  <c r="AM67" i="7"/>
  <c r="AB68" i="7"/>
  <c r="AB12" i="7"/>
  <c r="R13" i="7"/>
  <c r="R69" i="7"/>
  <c r="AO33" i="10" l="1"/>
  <c r="AO34" i="10" s="1"/>
  <c r="AP30" i="10"/>
  <c r="AP23" i="10" a="1"/>
  <c r="AP29" i="10" s="1"/>
  <c r="AV23" i="10" a="1"/>
  <c r="AV29" i="10" s="1"/>
  <c r="AS23" i="10" a="1"/>
  <c r="AS29" i="10" s="1"/>
  <c r="AY23" i="10" a="1"/>
  <c r="H22" i="8"/>
  <c r="H32" i="6"/>
  <c r="G51" i="8"/>
  <c r="AY25" i="10" s="1" a="1"/>
  <c r="G25" i="8"/>
  <c r="AN11" i="7"/>
  <c r="AN67" i="7"/>
  <c r="AC68" i="7"/>
  <c r="AC12" i="7"/>
  <c r="S13" i="7"/>
  <c r="S69" i="7"/>
  <c r="AP31" i="10" l="1"/>
  <c r="G52" i="8"/>
  <c r="G26" i="8"/>
  <c r="G27" i="8" s="1"/>
  <c r="G40" i="8" s="1"/>
  <c r="G43" i="8" s="1"/>
  <c r="G44" i="8" s="1"/>
  <c r="AO11" i="7"/>
  <c r="AO67" i="7"/>
  <c r="AD68" i="7"/>
  <c r="AD12" i="7"/>
  <c r="T13" i="7"/>
  <c r="T69" i="7"/>
  <c r="AQ30" i="10" l="1"/>
  <c r="AQ31" i="10" s="1"/>
  <c r="AP33" i="10"/>
  <c r="AP34" i="10" s="1"/>
  <c r="G53" i="8"/>
  <c r="G61" i="8" s="1"/>
  <c r="G63" i="8" s="1"/>
  <c r="AY26" i="10" a="1"/>
  <c r="AY29" i="10" s="1"/>
  <c r="AY36" i="10" s="1" a="1"/>
  <c r="H19" i="6"/>
  <c r="H20" i="6" s="1"/>
  <c r="H22" i="6" s="1"/>
  <c r="H68" i="8" s="1"/>
  <c r="G58" i="6"/>
  <c r="G59" i="6" s="1"/>
  <c r="I23" i="6"/>
  <c r="AP11" i="7"/>
  <c r="AP67" i="7"/>
  <c r="AE68" i="7"/>
  <c r="AE12" i="7"/>
  <c r="U13" i="7"/>
  <c r="U69" i="7"/>
  <c r="G65" i="8" l="1"/>
  <c r="H62" i="8"/>
  <c r="AQ33" i="10"/>
  <c r="AQ34" i="10" s="1"/>
  <c r="AR30" i="10"/>
  <c r="AR31" i="10" s="1"/>
  <c r="H25" i="6"/>
  <c r="H26" i="6"/>
  <c r="H57" i="8"/>
  <c r="AQ11" i="7"/>
  <c r="AQ67" i="7"/>
  <c r="AF68" i="7"/>
  <c r="AF12" i="7"/>
  <c r="V13" i="7"/>
  <c r="V69" i="7"/>
  <c r="H24" i="5" l="1"/>
  <c r="H25" i="5" s="1"/>
  <c r="H10" i="5" s="1"/>
  <c r="G71" i="8"/>
  <c r="G65" i="6"/>
  <c r="G32" i="8"/>
  <c r="G33" i="8" s="1"/>
  <c r="G46" i="8" s="1"/>
  <c r="E74" i="9"/>
  <c r="AR33" i="10"/>
  <c r="AR34" i="10" s="1"/>
  <c r="AS30" i="10"/>
  <c r="AS31" i="10" s="1"/>
  <c r="BC15" i="10" a="1"/>
  <c r="BI15" i="10" a="1"/>
  <c r="BB15" i="10" a="1"/>
  <c r="BG15" i="10" a="1"/>
  <c r="AZ15" i="10" a="1"/>
  <c r="BF15" i="10" a="1"/>
  <c r="BK15" i="10" a="1"/>
  <c r="BA15" i="10" a="1"/>
  <c r="BE15" i="10" a="1"/>
  <c r="BH15" i="10" a="1"/>
  <c r="BD15" i="10" a="1"/>
  <c r="BJ15" i="10" a="1"/>
  <c r="H17" i="8"/>
  <c r="H37" i="8"/>
  <c r="I21" i="6"/>
  <c r="I24" i="6" s="1"/>
  <c r="I58" i="8" s="1"/>
  <c r="AR11" i="7"/>
  <c r="AR67" i="7"/>
  <c r="AG68" i="7"/>
  <c r="AG12" i="7"/>
  <c r="W13" i="7"/>
  <c r="W69" i="7"/>
  <c r="AS33" i="10" l="1"/>
  <c r="AS34" i="10" s="1"/>
  <c r="AT30" i="10"/>
  <c r="AT31" i="10" s="1"/>
  <c r="BC21" i="10" a="1"/>
  <c r="BG21" i="10" a="1"/>
  <c r="BA21" i="10" a="1"/>
  <c r="BF21" i="10" a="1"/>
  <c r="BK21" i="10" a="1"/>
  <c r="AZ21" i="10" a="1"/>
  <c r="BH21" i="10" a="1"/>
  <c r="BB21" i="10" a="1"/>
  <c r="BE21" i="10" a="1"/>
  <c r="BJ21" i="10" a="1"/>
  <c r="BD21" i="10" a="1"/>
  <c r="BI21" i="10" a="1"/>
  <c r="H62" i="7"/>
  <c r="H122" i="7" s="1"/>
  <c r="H70" i="7"/>
  <c r="H14" i="7"/>
  <c r="H11" i="5"/>
  <c r="H126" i="7"/>
  <c r="H125" i="7"/>
  <c r="H124" i="7"/>
  <c r="I46" i="6"/>
  <c r="AS11" i="7"/>
  <c r="AS67" i="7"/>
  <c r="AH68" i="7"/>
  <c r="AH12" i="7"/>
  <c r="X13" i="7"/>
  <c r="X69" i="7"/>
  <c r="AT33" i="10" l="1"/>
  <c r="AT34" i="10" s="1"/>
  <c r="AU30" i="10"/>
  <c r="AU31" i="10" s="1"/>
  <c r="H117" i="7"/>
  <c r="H119" i="7" s="1"/>
  <c r="H10" i="8" s="1"/>
  <c r="I70" i="7"/>
  <c r="J70" i="7" s="1"/>
  <c r="K70" i="7" s="1"/>
  <c r="L70" i="7" s="1"/>
  <c r="M70" i="7" s="1"/>
  <c r="N70" i="7" s="1"/>
  <c r="O70" i="7" s="1"/>
  <c r="I14" i="7"/>
  <c r="J14" i="7" s="1"/>
  <c r="K14" i="7" s="1"/>
  <c r="L14" i="7" s="1"/>
  <c r="M14" i="7" s="1"/>
  <c r="N14" i="7" s="1"/>
  <c r="O14" i="7" s="1"/>
  <c r="H61" i="7"/>
  <c r="I9" i="5"/>
  <c r="I26" i="5" s="1"/>
  <c r="H19" i="5"/>
  <c r="H20" i="5" s="1"/>
  <c r="H14" i="8" s="1"/>
  <c r="H132" i="7"/>
  <c r="H134" i="7"/>
  <c r="H16" i="8" s="1"/>
  <c r="H123" i="7"/>
  <c r="H127" i="7" s="1"/>
  <c r="H54" i="8"/>
  <c r="I49" i="6"/>
  <c r="I48" i="6"/>
  <c r="I21" i="8" s="1"/>
  <c r="AT11" i="7"/>
  <c r="AT67" i="7"/>
  <c r="AI68" i="7"/>
  <c r="AI12" i="7"/>
  <c r="Y13" i="7"/>
  <c r="Y69" i="7"/>
  <c r="AV30" i="10" l="1"/>
  <c r="AV31" i="10" s="1"/>
  <c r="AU33" i="10"/>
  <c r="AU34" i="10" s="1"/>
  <c r="AV33" i="10"/>
  <c r="AV34" i="10" s="1"/>
  <c r="AW30" i="10"/>
  <c r="AW31" i="10" s="1"/>
  <c r="H55" i="8"/>
  <c r="BK22" i="10" a="1"/>
  <c r="BD19" i="10" a="1"/>
  <c r="BJ19" i="10" a="1"/>
  <c r="BA19" i="10" a="1"/>
  <c r="BC19" i="10" a="1"/>
  <c r="BH19" i="10" a="1"/>
  <c r="BB19" i="10" a="1"/>
  <c r="BF19" i="10" a="1"/>
  <c r="AZ19" i="10" a="1"/>
  <c r="BG19" i="10" a="1"/>
  <c r="BI19" i="10" a="1"/>
  <c r="BE19" i="10" a="1"/>
  <c r="BK19" i="10" a="1"/>
  <c r="AZ18" i="10" a="1"/>
  <c r="BC18" i="10" a="1"/>
  <c r="BH18" i="10" a="1"/>
  <c r="BI18" i="10" a="1"/>
  <c r="BD18" i="10" a="1"/>
  <c r="BG18" i="10" a="1"/>
  <c r="BA18" i="10" a="1"/>
  <c r="BE18" i="10" a="1"/>
  <c r="BJ18" i="10" a="1"/>
  <c r="BB18" i="10" a="1"/>
  <c r="BF18" i="10" a="1"/>
  <c r="BK18" i="10" a="1"/>
  <c r="AZ11" i="10" a="1"/>
  <c r="BE11" i="10" a="1"/>
  <c r="BI11" i="10" a="1"/>
  <c r="BA11" i="10" a="1"/>
  <c r="BD11" i="10" a="1"/>
  <c r="BH11" i="10" a="1"/>
  <c r="BC11" i="10" a="1"/>
  <c r="BG11" i="10" a="1"/>
  <c r="BJ11" i="10" a="1"/>
  <c r="BB11" i="10" a="1"/>
  <c r="BF11" i="10" a="1"/>
  <c r="BK11" i="10" a="1"/>
  <c r="H135" i="7"/>
  <c r="H128" i="7"/>
  <c r="H36" i="6" s="1"/>
  <c r="H15" i="8"/>
  <c r="F72" i="9"/>
  <c r="H13" i="8"/>
  <c r="H35" i="6"/>
  <c r="F68" i="9"/>
  <c r="H30" i="8"/>
  <c r="H63" i="7"/>
  <c r="H41" i="8" s="1"/>
  <c r="I59" i="8"/>
  <c r="I54" i="6"/>
  <c r="I50" i="6"/>
  <c r="I36" i="8" s="1"/>
  <c r="AU11" i="7"/>
  <c r="AU67" i="7"/>
  <c r="AJ68" i="7"/>
  <c r="AJ12" i="7"/>
  <c r="Z13" i="7"/>
  <c r="Z69" i="7"/>
  <c r="P14" i="7"/>
  <c r="P70" i="7"/>
  <c r="AX30" i="10" l="1"/>
  <c r="AX31" i="10" s="1"/>
  <c r="AW33" i="10"/>
  <c r="AW34" i="10" s="1"/>
  <c r="BA29" i="10"/>
  <c r="BI29" i="10"/>
  <c r="BD29" i="10"/>
  <c r="BG29" i="10"/>
  <c r="BJ29" i="10"/>
  <c r="BA32" i="10" a="1"/>
  <c r="BE32" i="10" a="1"/>
  <c r="BK32" i="10" a="1"/>
  <c r="BD32" i="10" a="1"/>
  <c r="BI32" i="10" a="1"/>
  <c r="BC32" i="10" a="1"/>
  <c r="BJ32" i="10" a="1"/>
  <c r="AZ32" i="10" a="1"/>
  <c r="BF32" i="10" a="1"/>
  <c r="BB32" i="10" a="1"/>
  <c r="BG32" i="10" a="1"/>
  <c r="BH32" i="10" a="1"/>
  <c r="AZ29" i="10"/>
  <c r="BC29" i="10"/>
  <c r="BF29" i="10"/>
  <c r="H18" i="8"/>
  <c r="H19" i="8" s="1"/>
  <c r="H49" i="8" s="1"/>
  <c r="BK20" i="10" a="1"/>
  <c r="H37" i="6"/>
  <c r="H69" i="8" s="1"/>
  <c r="H70" i="8" s="1"/>
  <c r="H31" i="8"/>
  <c r="I131" i="7"/>
  <c r="H64" i="8"/>
  <c r="AV11" i="7"/>
  <c r="AV67" i="7"/>
  <c r="AK68" i="7"/>
  <c r="AK12" i="7"/>
  <c r="AA13" i="7"/>
  <c r="AA69" i="7"/>
  <c r="Q14" i="7"/>
  <c r="Q70" i="7"/>
  <c r="AX33" i="10" l="1"/>
  <c r="AX34" i="10" s="1"/>
  <c r="AY30" i="10"/>
  <c r="AY31" i="10" s="1"/>
  <c r="I133" i="7"/>
  <c r="H62" i="6"/>
  <c r="H40" i="6"/>
  <c r="H43" i="6"/>
  <c r="H38" i="6"/>
  <c r="H56" i="8"/>
  <c r="AW11" i="7"/>
  <c r="AW67" i="7"/>
  <c r="AL68" i="7"/>
  <c r="AL12" i="7"/>
  <c r="AB13" i="7"/>
  <c r="AB69" i="7"/>
  <c r="R14" i="7"/>
  <c r="R70" i="7"/>
  <c r="AZ30" i="10" l="1"/>
  <c r="AZ31" i="10" s="1"/>
  <c r="AY33" i="10"/>
  <c r="AY34" i="10" s="1"/>
  <c r="H60" i="8"/>
  <c r="BK14" i="10" a="1"/>
  <c r="I33" i="6"/>
  <c r="I34" i="6" s="1"/>
  <c r="I27" i="5"/>
  <c r="H53" i="6"/>
  <c r="H55" i="6" s="1"/>
  <c r="H20" i="8"/>
  <c r="H56" i="6"/>
  <c r="I30" i="6"/>
  <c r="I31" i="6" s="1"/>
  <c r="H35" i="8"/>
  <c r="H38" i="8" s="1"/>
  <c r="AX11" i="7"/>
  <c r="AX67" i="7"/>
  <c r="AM68" i="7"/>
  <c r="AM12" i="7"/>
  <c r="AC13" i="7"/>
  <c r="AC69" i="7"/>
  <c r="S14" i="7"/>
  <c r="S70" i="7"/>
  <c r="AZ33" i="10" l="1"/>
  <c r="AZ34" i="10" s="1"/>
  <c r="BA30" i="10"/>
  <c r="BA31" i="10" s="1"/>
  <c r="H23" i="8"/>
  <c r="H28" i="6" s="1"/>
  <c r="H24" i="8" s="1"/>
  <c r="H50" i="8"/>
  <c r="H60" i="6"/>
  <c r="H61" i="6"/>
  <c r="F73" i="9"/>
  <c r="H64" i="6"/>
  <c r="F69" i="9"/>
  <c r="H57" i="6"/>
  <c r="I22" i="8"/>
  <c r="I32" i="6"/>
  <c r="AY11" i="7"/>
  <c r="AY67" i="7"/>
  <c r="AN68" i="7"/>
  <c r="AN12" i="7"/>
  <c r="AD13" i="7"/>
  <c r="AD69" i="7"/>
  <c r="T14" i="7"/>
  <c r="T70" i="7"/>
  <c r="BB30" i="10" l="1"/>
  <c r="BA33" i="10"/>
  <c r="BA34" i="10" s="1"/>
  <c r="BE23" i="10" a="1"/>
  <c r="BE29" i="10" s="1"/>
  <c r="BB23" i="10" a="1"/>
  <c r="BB29" i="10" s="1"/>
  <c r="BH23" i="10" a="1"/>
  <c r="BH29" i="10" s="1"/>
  <c r="BK23" i="10" a="1"/>
  <c r="H51" i="8"/>
  <c r="BK25" i="10" s="1" a="1"/>
  <c r="H25" i="8"/>
  <c r="AZ11" i="7"/>
  <c r="AZ67" i="7"/>
  <c r="AO68" i="7"/>
  <c r="AO12" i="7"/>
  <c r="AE13" i="7"/>
  <c r="AE69" i="7"/>
  <c r="U14" i="7"/>
  <c r="U70" i="7"/>
  <c r="BB31" i="10" l="1"/>
  <c r="H52" i="8"/>
  <c r="H26" i="8"/>
  <c r="H27" i="8" s="1"/>
  <c r="H40" i="8" s="1"/>
  <c r="H43" i="8" s="1"/>
  <c r="H44" i="8" s="1"/>
  <c r="BA11" i="7"/>
  <c r="BA67" i="7"/>
  <c r="AP68" i="7"/>
  <c r="AP12" i="7"/>
  <c r="AF13" i="7"/>
  <c r="AF69" i="7"/>
  <c r="V14" i="7"/>
  <c r="V70" i="7"/>
  <c r="BB33" i="10" l="1"/>
  <c r="BB34" i="10" s="1"/>
  <c r="BC30" i="10"/>
  <c r="BC31" i="10" s="1"/>
  <c r="H53" i="8"/>
  <c r="H61" i="8" s="1"/>
  <c r="H63" i="8" s="1"/>
  <c r="BK26" i="10" a="1"/>
  <c r="BK29" i="10" s="1"/>
  <c r="BK36" i="10" s="1" a="1"/>
  <c r="H58" i="6"/>
  <c r="H59" i="6" s="1"/>
  <c r="I19" i="6"/>
  <c r="I20" i="6" s="1"/>
  <c r="I22" i="6" s="1"/>
  <c r="I68" i="8" s="1"/>
  <c r="J23" i="6"/>
  <c r="AQ68" i="7"/>
  <c r="AQ12" i="7"/>
  <c r="AG13" i="7"/>
  <c r="AG69" i="7"/>
  <c r="W14" i="7"/>
  <c r="W70" i="7"/>
  <c r="H65" i="8" l="1"/>
  <c r="I62" i="8"/>
  <c r="BC33" i="10"/>
  <c r="BC34" i="10" s="1"/>
  <c r="BD30" i="10"/>
  <c r="BD31" i="10" s="1"/>
  <c r="I26" i="6"/>
  <c r="I25" i="6"/>
  <c r="I57" i="8"/>
  <c r="AR68" i="7"/>
  <c r="AR12" i="7"/>
  <c r="AH13" i="7"/>
  <c r="AH69" i="7"/>
  <c r="X14" i="7"/>
  <c r="X70" i="7"/>
  <c r="I24" i="5" l="1"/>
  <c r="I25" i="5" s="1"/>
  <c r="I10" i="5" s="1"/>
  <c r="H71" i="8"/>
  <c r="H65" i="6"/>
  <c r="H32" i="8"/>
  <c r="H33" i="8" s="1"/>
  <c r="H46" i="8" s="1"/>
  <c r="F74" i="9"/>
  <c r="BE30" i="10"/>
  <c r="BE31" i="10" s="1"/>
  <c r="BD33" i="10"/>
  <c r="BD34" i="10" s="1"/>
  <c r="I37" i="8"/>
  <c r="J21" i="6"/>
  <c r="J24" i="6" s="1"/>
  <c r="J58" i="8" s="1"/>
  <c r="I17" i="8"/>
  <c r="AS68" i="7"/>
  <c r="AS12" i="7"/>
  <c r="AI13" i="7"/>
  <c r="AI69" i="7"/>
  <c r="Y14" i="7"/>
  <c r="Y70" i="7"/>
  <c r="BF30" i="10" l="1"/>
  <c r="BF31" i="10" s="1"/>
  <c r="BE33" i="10"/>
  <c r="BE34" i="10" s="1"/>
  <c r="I15" i="7"/>
  <c r="I124" i="7"/>
  <c r="I11" i="5"/>
  <c r="I126" i="7"/>
  <c r="I125" i="7"/>
  <c r="I71" i="7"/>
  <c r="I62" i="7"/>
  <c r="I122" i="7" s="1"/>
  <c r="J46" i="6"/>
  <c r="AT68" i="7"/>
  <c r="AT12" i="7"/>
  <c r="AJ13" i="7"/>
  <c r="AJ69" i="7"/>
  <c r="Z14" i="7"/>
  <c r="Z70" i="7"/>
  <c r="BF33" i="10" l="1"/>
  <c r="BF34" i="10" s="1"/>
  <c r="BG30" i="10"/>
  <c r="BG31" i="10" s="1"/>
  <c r="I61" i="7"/>
  <c r="J15" i="7"/>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AN15" i="7" s="1"/>
  <c r="AO15" i="7" s="1"/>
  <c r="AP15" i="7" s="1"/>
  <c r="AQ15" i="7" s="1"/>
  <c r="AR15" i="7" s="1"/>
  <c r="AS15" i="7" s="1"/>
  <c r="AT15" i="7" s="1"/>
  <c r="AU15" i="7" s="1"/>
  <c r="AV15" i="7" s="1"/>
  <c r="AW15" i="7" s="1"/>
  <c r="AX15" i="7" s="1"/>
  <c r="AY15" i="7" s="1"/>
  <c r="AZ15" i="7" s="1"/>
  <c r="BA15" i="7" s="1"/>
  <c r="I134" i="7"/>
  <c r="I16" i="8" s="1"/>
  <c r="I19" i="5"/>
  <c r="I20" i="5" s="1"/>
  <c r="I14" i="8" s="1"/>
  <c r="I132" i="7"/>
  <c r="I135" i="7" s="1"/>
  <c r="J9" i="5"/>
  <c r="J26" i="5" s="1"/>
  <c r="J71" i="7"/>
  <c r="K71" i="7" s="1"/>
  <c r="L71" i="7" s="1"/>
  <c r="M71" i="7" s="1"/>
  <c r="N71" i="7" s="1"/>
  <c r="O71" i="7" s="1"/>
  <c r="P71" i="7" s="1"/>
  <c r="Q71" i="7" s="1"/>
  <c r="R71" i="7" s="1"/>
  <c r="S71" i="7" s="1"/>
  <c r="T71" i="7" s="1"/>
  <c r="U71" i="7" s="1"/>
  <c r="V71" i="7" s="1"/>
  <c r="W71" i="7" s="1"/>
  <c r="X71" i="7" s="1"/>
  <c r="Y71" i="7" s="1"/>
  <c r="Z71" i="7" s="1"/>
  <c r="AA71" i="7" s="1"/>
  <c r="AB71" i="7" s="1"/>
  <c r="AC71" i="7" s="1"/>
  <c r="AD71" i="7" s="1"/>
  <c r="AE71" i="7" s="1"/>
  <c r="AF71" i="7" s="1"/>
  <c r="AG71" i="7" s="1"/>
  <c r="AH71" i="7" s="1"/>
  <c r="AI71" i="7" s="1"/>
  <c r="AJ71" i="7" s="1"/>
  <c r="AK71" i="7" s="1"/>
  <c r="AL71" i="7" s="1"/>
  <c r="AM71" i="7" s="1"/>
  <c r="AN71" i="7" s="1"/>
  <c r="AO71" i="7" s="1"/>
  <c r="AP71" i="7" s="1"/>
  <c r="AQ71" i="7" s="1"/>
  <c r="AR71" i="7" s="1"/>
  <c r="AS71" i="7" s="1"/>
  <c r="AT71" i="7" s="1"/>
  <c r="AU71" i="7" s="1"/>
  <c r="AV71" i="7" s="1"/>
  <c r="AW71" i="7" s="1"/>
  <c r="AX71" i="7" s="1"/>
  <c r="AY71" i="7" s="1"/>
  <c r="AZ71" i="7" s="1"/>
  <c r="BA71" i="7" s="1"/>
  <c r="I117" i="7"/>
  <c r="I119" i="7" s="1"/>
  <c r="I10" i="8" s="1"/>
  <c r="I54" i="8"/>
  <c r="I55" i="8" s="1"/>
  <c r="I123" i="7"/>
  <c r="I127" i="7" s="1"/>
  <c r="J48" i="6"/>
  <c r="J21" i="8" s="1"/>
  <c r="J49" i="6"/>
  <c r="AU68" i="7"/>
  <c r="AU12" i="7"/>
  <c r="AK13" i="7"/>
  <c r="AK69" i="7"/>
  <c r="AA14" i="7"/>
  <c r="AA70" i="7"/>
  <c r="BG33" i="10" l="1"/>
  <c r="BG34" i="10" s="1"/>
  <c r="BH30" i="10"/>
  <c r="BH31" i="10" s="1"/>
  <c r="I35" i="6"/>
  <c r="I30" i="8"/>
  <c r="G68" i="9"/>
  <c r="I63" i="7"/>
  <c r="I41" i="8" s="1"/>
  <c r="I13" i="8"/>
  <c r="G72" i="9"/>
  <c r="I15" i="8"/>
  <c r="I18" i="8" s="1"/>
  <c r="I128" i="7"/>
  <c r="I36" i="6" s="1"/>
  <c r="I64" i="8"/>
  <c r="I31" i="8"/>
  <c r="J131" i="7"/>
  <c r="J59" i="8"/>
  <c r="J54" i="6"/>
  <c r="J50" i="6"/>
  <c r="J36" i="8" s="1"/>
  <c r="AV68" i="7"/>
  <c r="AV12" i="7"/>
  <c r="AL13" i="7"/>
  <c r="AL69" i="7"/>
  <c r="AB14" i="7"/>
  <c r="AB70" i="7"/>
  <c r="BH33" i="10" l="1"/>
  <c r="BH34" i="10" s="1"/>
  <c r="BI30" i="10"/>
  <c r="BI31" i="10" s="1"/>
  <c r="J133" i="7"/>
  <c r="I19" i="8"/>
  <c r="I49" i="8" s="1"/>
  <c r="I37" i="6"/>
  <c r="I69" i="8" s="1"/>
  <c r="I70" i="8" s="1"/>
  <c r="AW68" i="7"/>
  <c r="AW12" i="7"/>
  <c r="AM13" i="7"/>
  <c r="AM69" i="7"/>
  <c r="AC14" i="7"/>
  <c r="AC70" i="7"/>
  <c r="BI33" i="10" l="1"/>
  <c r="BI34" i="10" s="1"/>
  <c r="BJ30" i="10"/>
  <c r="BJ31" i="10" s="1"/>
  <c r="I56" i="8"/>
  <c r="I60" i="8" s="1"/>
  <c r="I43" i="6"/>
  <c r="I38" i="6"/>
  <c r="I40" i="6"/>
  <c r="I62" i="6"/>
  <c r="I25" i="8"/>
  <c r="AX68" i="7"/>
  <c r="AX12" i="7"/>
  <c r="AN13" i="7"/>
  <c r="AN69" i="7"/>
  <c r="AD14" i="7"/>
  <c r="AD70" i="7"/>
  <c r="BK30" i="10" l="1"/>
  <c r="BK31" i="10" s="1"/>
  <c r="BK33" i="10" s="1"/>
  <c r="BK34" i="10" s="1"/>
  <c r="BJ33" i="10"/>
  <c r="BJ34" i="10" s="1"/>
  <c r="J30" i="6"/>
  <c r="I56" i="6"/>
  <c r="I35" i="8"/>
  <c r="I38" i="8" s="1"/>
  <c r="J33" i="6"/>
  <c r="J34" i="6" s="1"/>
  <c r="J27" i="5"/>
  <c r="I53" i="6"/>
  <c r="I55" i="6" s="1"/>
  <c r="I20" i="8"/>
  <c r="I52" i="8"/>
  <c r="AY68" i="7"/>
  <c r="AY12" i="7"/>
  <c r="AO13" i="7"/>
  <c r="AO69" i="7"/>
  <c r="AE14" i="7"/>
  <c r="AE70" i="7"/>
  <c r="G69" i="9" l="1"/>
  <c r="I57" i="6"/>
  <c r="I64" i="6"/>
  <c r="I60" i="6"/>
  <c r="I61" i="6"/>
  <c r="G73" i="9"/>
  <c r="I50" i="8"/>
  <c r="I23" i="8"/>
  <c r="J31" i="6"/>
  <c r="AZ68" i="7"/>
  <c r="AZ12" i="7"/>
  <c r="AP13" i="7"/>
  <c r="AP69" i="7"/>
  <c r="AF14" i="7"/>
  <c r="AF70" i="7"/>
  <c r="J22" i="8" l="1"/>
  <c r="J32" i="6"/>
  <c r="I28" i="6"/>
  <c r="I24" i="8" s="1"/>
  <c r="BA68" i="7"/>
  <c r="BA12" i="7"/>
  <c r="AQ13" i="7"/>
  <c r="AQ69" i="7"/>
  <c r="AG14" i="7"/>
  <c r="AG70" i="7"/>
  <c r="I51" i="8" l="1"/>
  <c r="I53" i="8" s="1"/>
  <c r="I61" i="8" s="1"/>
  <c r="I63" i="8" s="1"/>
  <c r="I26" i="8"/>
  <c r="I27" i="8" s="1"/>
  <c r="I40" i="8" s="1"/>
  <c r="I43" i="8" s="1"/>
  <c r="I44" i="8" s="1"/>
  <c r="K23" i="6"/>
  <c r="AR13" i="7"/>
  <c r="AR69" i="7"/>
  <c r="AH14" i="7"/>
  <c r="AH70" i="7"/>
  <c r="I65" i="8" l="1"/>
  <c r="J62" i="8"/>
  <c r="I58" i="6"/>
  <c r="I59" i="6" s="1"/>
  <c r="J19" i="6"/>
  <c r="J20" i="6" s="1"/>
  <c r="J22" i="6" s="1"/>
  <c r="J68" i="8" s="1"/>
  <c r="AS13" i="7"/>
  <c r="AS69" i="7"/>
  <c r="AI14" i="7"/>
  <c r="AI70" i="7"/>
  <c r="I71" i="8" l="1"/>
  <c r="G74" i="9"/>
  <c r="I32" i="8"/>
  <c r="I33" i="8" s="1"/>
  <c r="I46" i="8" s="1"/>
  <c r="I65" i="6"/>
  <c r="J57" i="8"/>
  <c r="J25" i="6"/>
  <c r="J24" i="5" s="1"/>
  <c r="J26" i="6"/>
  <c r="AT13" i="7"/>
  <c r="AT69" i="7"/>
  <c r="AJ14" i="7"/>
  <c r="AJ70" i="7"/>
  <c r="J17" i="8" l="1"/>
  <c r="J25" i="5"/>
  <c r="J10" i="5" s="1"/>
  <c r="J37" i="8"/>
  <c r="K21" i="6"/>
  <c r="K24" i="6" s="1"/>
  <c r="K58" i="8" s="1"/>
  <c r="AU13" i="7"/>
  <c r="AU69" i="7"/>
  <c r="AK14" i="7"/>
  <c r="AK70" i="7"/>
  <c r="J72" i="7" l="1"/>
  <c r="J126" i="7"/>
  <c r="J62" i="7"/>
  <c r="J122" i="7" s="1"/>
  <c r="J125" i="7"/>
  <c r="J16" i="7"/>
  <c r="J124" i="7"/>
  <c r="J11" i="5"/>
  <c r="AV13" i="7"/>
  <c r="AV69" i="7"/>
  <c r="AL14" i="7"/>
  <c r="AL70" i="7"/>
  <c r="K72" i="7" l="1"/>
  <c r="L72" i="7" s="1"/>
  <c r="M72" i="7" s="1"/>
  <c r="N72" i="7" s="1"/>
  <c r="O72" i="7" s="1"/>
  <c r="P72" i="7" s="1"/>
  <c r="Q72" i="7" s="1"/>
  <c r="R72" i="7" s="1"/>
  <c r="S72" i="7" s="1"/>
  <c r="T72" i="7" s="1"/>
  <c r="U72" i="7" s="1"/>
  <c r="V72" i="7" s="1"/>
  <c r="W72" i="7" s="1"/>
  <c r="X72" i="7" s="1"/>
  <c r="Y72" i="7" s="1"/>
  <c r="Z72" i="7" s="1"/>
  <c r="AA72" i="7" s="1"/>
  <c r="AB72" i="7" s="1"/>
  <c r="AC72" i="7" s="1"/>
  <c r="AD72" i="7" s="1"/>
  <c r="AE72" i="7" s="1"/>
  <c r="AF72" i="7" s="1"/>
  <c r="AG72" i="7" s="1"/>
  <c r="AH72" i="7" s="1"/>
  <c r="AI72" i="7" s="1"/>
  <c r="AJ72" i="7" s="1"/>
  <c r="AK72" i="7" s="1"/>
  <c r="AL72" i="7" s="1"/>
  <c r="AM72" i="7" s="1"/>
  <c r="AN72" i="7" s="1"/>
  <c r="AO72" i="7" s="1"/>
  <c r="AP72" i="7" s="1"/>
  <c r="AQ72" i="7" s="1"/>
  <c r="AR72" i="7" s="1"/>
  <c r="AS72" i="7" s="1"/>
  <c r="AT72" i="7" s="1"/>
  <c r="AU72" i="7" s="1"/>
  <c r="AV72" i="7" s="1"/>
  <c r="AW72" i="7" s="1"/>
  <c r="AX72" i="7" s="1"/>
  <c r="AY72" i="7" s="1"/>
  <c r="AZ72" i="7" s="1"/>
  <c r="BA72" i="7" s="1"/>
  <c r="J117" i="7"/>
  <c r="J119" i="7" s="1"/>
  <c r="J10" i="8" s="1"/>
  <c r="J54" i="8"/>
  <c r="J55" i="8" s="1"/>
  <c r="J123" i="7"/>
  <c r="J127" i="7" s="1"/>
  <c r="J61" i="7"/>
  <c r="K16" i="7"/>
  <c r="L16" i="7" s="1"/>
  <c r="M16" i="7" s="1"/>
  <c r="N16" i="7" s="1"/>
  <c r="O16" i="7" s="1"/>
  <c r="P16" i="7" s="1"/>
  <c r="Q16" i="7" s="1"/>
  <c r="R16" i="7" s="1"/>
  <c r="S16" i="7" s="1"/>
  <c r="T16" i="7" s="1"/>
  <c r="U16" i="7" s="1"/>
  <c r="V16" i="7" s="1"/>
  <c r="W16" i="7" s="1"/>
  <c r="X16" i="7" s="1"/>
  <c r="Y16" i="7" s="1"/>
  <c r="Z16" i="7" s="1"/>
  <c r="AA16" i="7" s="1"/>
  <c r="AB16" i="7" s="1"/>
  <c r="AC16" i="7" s="1"/>
  <c r="AD16" i="7" s="1"/>
  <c r="AE16" i="7" s="1"/>
  <c r="AF16" i="7" s="1"/>
  <c r="AG16" i="7" s="1"/>
  <c r="AH16" i="7" s="1"/>
  <c r="AI16" i="7" s="1"/>
  <c r="AJ16" i="7" s="1"/>
  <c r="AK16" i="7" s="1"/>
  <c r="AL16" i="7" s="1"/>
  <c r="AM16" i="7" s="1"/>
  <c r="AN16" i="7" s="1"/>
  <c r="AO16" i="7" s="1"/>
  <c r="AP16" i="7" s="1"/>
  <c r="AQ16" i="7" s="1"/>
  <c r="AR16" i="7" s="1"/>
  <c r="AS16" i="7" s="1"/>
  <c r="AT16" i="7" s="1"/>
  <c r="AU16" i="7" s="1"/>
  <c r="AV16" i="7" s="1"/>
  <c r="AW16" i="7" s="1"/>
  <c r="AX16" i="7" s="1"/>
  <c r="AY16" i="7" s="1"/>
  <c r="AZ16" i="7" s="1"/>
  <c r="BA16" i="7" s="1"/>
  <c r="J19" i="5"/>
  <c r="J20" i="5" s="1"/>
  <c r="J14" i="8" s="1"/>
  <c r="K9" i="5"/>
  <c r="K26" i="5" s="1"/>
  <c r="J134" i="7"/>
  <c r="J16" i="8" s="1"/>
  <c r="J132" i="7"/>
  <c r="AW13" i="7"/>
  <c r="AW69" i="7"/>
  <c r="AM14" i="7"/>
  <c r="AM70" i="7"/>
  <c r="J135" i="7" l="1"/>
  <c r="J13" i="8"/>
  <c r="H72" i="9"/>
  <c r="J128" i="7"/>
  <c r="J36" i="6" s="1"/>
  <c r="J15" i="8"/>
  <c r="J18" i="8" s="1"/>
  <c r="H68" i="9"/>
  <c r="J30" i="8"/>
  <c r="J35" i="6"/>
  <c r="J63" i="7"/>
  <c r="J41" i="8" s="1"/>
  <c r="K46" i="6"/>
  <c r="AX13" i="7"/>
  <c r="AX69" i="7"/>
  <c r="AN14" i="7"/>
  <c r="AN70" i="7"/>
  <c r="K131" i="7" l="1"/>
  <c r="J31" i="8"/>
  <c r="J64" i="8"/>
  <c r="J19" i="8"/>
  <c r="J49" i="8" s="1"/>
  <c r="J37" i="6"/>
  <c r="K49" i="6"/>
  <c r="K48" i="6"/>
  <c r="K21" i="8" s="1"/>
  <c r="AY13" i="7"/>
  <c r="AY69" i="7"/>
  <c r="AO14" i="7"/>
  <c r="AO70" i="7"/>
  <c r="J62" i="6" l="1"/>
  <c r="J69" i="8"/>
  <c r="J70" i="8" s="1"/>
  <c r="K133" i="7"/>
  <c r="J40" i="6"/>
  <c r="J38" i="6"/>
  <c r="J43" i="6"/>
  <c r="J56" i="8"/>
  <c r="J60" i="8" s="1"/>
  <c r="K59" i="8"/>
  <c r="K54" i="6"/>
  <c r="K50" i="6"/>
  <c r="K36" i="8" s="1"/>
  <c r="AZ13" i="7"/>
  <c r="AZ69" i="7"/>
  <c r="AP14" i="7"/>
  <c r="AP70" i="7"/>
  <c r="J20" i="8" l="1"/>
  <c r="J53" i="6"/>
  <c r="J55" i="6" s="1"/>
  <c r="H73" i="9" s="1"/>
  <c r="K27" i="5"/>
  <c r="K33" i="6"/>
  <c r="K34" i="6" s="1"/>
  <c r="K30" i="6"/>
  <c r="J56" i="6"/>
  <c r="J35" i="8"/>
  <c r="J38" i="8" s="1"/>
  <c r="BA13" i="7"/>
  <c r="BA69" i="7"/>
  <c r="AQ14" i="7"/>
  <c r="AQ70" i="7"/>
  <c r="J23" i="8" l="1"/>
  <c r="J28" i="6" s="1"/>
  <c r="J24" i="8" s="1"/>
  <c r="J51" i="8" s="1"/>
  <c r="J50" i="8"/>
  <c r="J60" i="6"/>
  <c r="J64" i="6"/>
  <c r="J61" i="6"/>
  <c r="K31" i="6"/>
  <c r="J57" i="6"/>
  <c r="H69" i="9"/>
  <c r="J25" i="8"/>
  <c r="AR14" i="7"/>
  <c r="AR70" i="7"/>
  <c r="K22" i="8" l="1"/>
  <c r="K32" i="6"/>
  <c r="J26" i="8"/>
  <c r="J27" i="8" s="1"/>
  <c r="J40" i="8" s="1"/>
  <c r="J43" i="8" s="1"/>
  <c r="J44" i="8" s="1"/>
  <c r="J58" i="6" s="1"/>
  <c r="J59" i="6" s="1"/>
  <c r="J52" i="8"/>
  <c r="J53" i="8" s="1"/>
  <c r="J61" i="8" s="1"/>
  <c r="J63" i="8" s="1"/>
  <c r="AS14" i="7"/>
  <c r="AS70" i="7"/>
  <c r="K62" i="8" l="1"/>
  <c r="J65" i="8"/>
  <c r="K19" i="6"/>
  <c r="K20" i="6" s="1"/>
  <c r="K22" i="6" s="1"/>
  <c r="K68" i="8" s="1"/>
  <c r="AT14" i="7"/>
  <c r="AT70" i="7"/>
  <c r="H74" i="9" l="1"/>
  <c r="J71" i="8"/>
  <c r="J65" i="6"/>
  <c r="J32" i="8"/>
  <c r="J33" i="8" s="1"/>
  <c r="J46" i="8" s="1"/>
  <c r="K57" i="8"/>
  <c r="K25" i="6"/>
  <c r="K24" i="5" s="1"/>
  <c r="K26" i="6"/>
  <c r="AU14" i="7"/>
  <c r="AU70" i="7"/>
  <c r="K25" i="5" l="1"/>
  <c r="K10" i="5" s="1"/>
  <c r="K17" i="8"/>
  <c r="L21" i="6"/>
  <c r="K37" i="8"/>
  <c r="L23" i="6"/>
  <c r="AV14" i="7"/>
  <c r="AV70" i="7"/>
  <c r="K73" i="7" l="1"/>
  <c r="K11" i="5"/>
  <c r="K125" i="7"/>
  <c r="K124" i="7"/>
  <c r="K17" i="7"/>
  <c r="K126" i="7"/>
  <c r="K62" i="7"/>
  <c r="L24" i="6"/>
  <c r="L58" i="8" s="1"/>
  <c r="AW14" i="7"/>
  <c r="AW70" i="7"/>
  <c r="L73" i="7" l="1"/>
  <c r="M73" i="7" s="1"/>
  <c r="N73" i="7" s="1"/>
  <c r="O73" i="7" s="1"/>
  <c r="P73" i="7" s="1"/>
  <c r="Q73" i="7" s="1"/>
  <c r="R73" i="7" s="1"/>
  <c r="S73" i="7" s="1"/>
  <c r="T73" i="7" s="1"/>
  <c r="U73" i="7" s="1"/>
  <c r="V73" i="7" s="1"/>
  <c r="W73" i="7" s="1"/>
  <c r="X73" i="7" s="1"/>
  <c r="Y73" i="7" s="1"/>
  <c r="Z73" i="7" s="1"/>
  <c r="AA73" i="7" s="1"/>
  <c r="AB73" i="7" s="1"/>
  <c r="AC73" i="7" s="1"/>
  <c r="AD73" i="7" s="1"/>
  <c r="AE73" i="7" s="1"/>
  <c r="AF73" i="7" s="1"/>
  <c r="AG73" i="7" s="1"/>
  <c r="AH73" i="7" s="1"/>
  <c r="AI73" i="7" s="1"/>
  <c r="AJ73" i="7" s="1"/>
  <c r="AK73" i="7" s="1"/>
  <c r="AL73" i="7" s="1"/>
  <c r="AM73" i="7" s="1"/>
  <c r="AN73" i="7" s="1"/>
  <c r="AO73" i="7" s="1"/>
  <c r="AP73" i="7" s="1"/>
  <c r="AQ73" i="7" s="1"/>
  <c r="AR73" i="7" s="1"/>
  <c r="AS73" i="7" s="1"/>
  <c r="AT73" i="7" s="1"/>
  <c r="AU73" i="7" s="1"/>
  <c r="AV73" i="7" s="1"/>
  <c r="AW73" i="7" s="1"/>
  <c r="AX73" i="7" s="1"/>
  <c r="AY73" i="7" s="1"/>
  <c r="AZ73" i="7" s="1"/>
  <c r="BA73" i="7" s="1"/>
  <c r="K117" i="7"/>
  <c r="K119" i="7" s="1"/>
  <c r="K10" i="8" s="1"/>
  <c r="L17" i="7"/>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AI17" i="7" s="1"/>
  <c r="AJ17" i="7" s="1"/>
  <c r="AK17" i="7" s="1"/>
  <c r="AL17" i="7" s="1"/>
  <c r="AM17" i="7" s="1"/>
  <c r="AN17" i="7" s="1"/>
  <c r="AO17" i="7" s="1"/>
  <c r="AP17" i="7" s="1"/>
  <c r="AQ17" i="7" s="1"/>
  <c r="AR17" i="7" s="1"/>
  <c r="AS17" i="7" s="1"/>
  <c r="AT17" i="7" s="1"/>
  <c r="AU17" i="7" s="1"/>
  <c r="AV17" i="7" s="1"/>
  <c r="AW17" i="7" s="1"/>
  <c r="AX17" i="7" s="1"/>
  <c r="AY17" i="7" s="1"/>
  <c r="AZ17" i="7" s="1"/>
  <c r="BA17" i="7" s="1"/>
  <c r="K61" i="7"/>
  <c r="K63" i="7" s="1"/>
  <c r="K41" i="8" s="1"/>
  <c r="L9" i="5"/>
  <c r="L26" i="5" s="1"/>
  <c r="K19" i="5"/>
  <c r="K20" i="5" s="1"/>
  <c r="K14" i="8" s="1"/>
  <c r="K134" i="7"/>
  <c r="K16" i="8" s="1"/>
  <c r="K132" i="7"/>
  <c r="K135" i="7" s="1"/>
  <c r="K122" i="7"/>
  <c r="AX14" i="7"/>
  <c r="AX70" i="7"/>
  <c r="I72" i="9" l="1"/>
  <c r="K13" i="8"/>
  <c r="K35" i="6"/>
  <c r="I68" i="9"/>
  <c r="K30" i="8"/>
  <c r="K123" i="7"/>
  <c r="K127" i="7" s="1"/>
  <c r="K54" i="8"/>
  <c r="K55" i="8" s="1"/>
  <c r="AY14" i="7"/>
  <c r="AY70" i="7"/>
  <c r="K64" i="8" l="1"/>
  <c r="L131" i="7"/>
  <c r="K31" i="8"/>
  <c r="K15" i="8"/>
  <c r="K18" i="8" s="1"/>
  <c r="K19" i="8" s="1"/>
  <c r="K128" i="7"/>
  <c r="K36" i="6" s="1"/>
  <c r="AZ14" i="7"/>
  <c r="AZ70" i="7"/>
  <c r="L133" i="7" l="1"/>
  <c r="K37" i="6"/>
  <c r="K49" i="8"/>
  <c r="BA14" i="7"/>
  <c r="BA70" i="7"/>
  <c r="K56" i="8" l="1"/>
  <c r="K60" i="8" s="1"/>
  <c r="K69" i="8"/>
  <c r="K70" i="8" s="1"/>
  <c r="K43" i="6"/>
  <c r="K62" i="6"/>
  <c r="K38" i="6"/>
  <c r="K40" i="6"/>
  <c r="L46" i="6"/>
  <c r="L33" i="6" l="1"/>
  <c r="L34" i="6" s="1"/>
  <c r="L27" i="5"/>
  <c r="K35" i="8"/>
  <c r="K38" i="8" s="1"/>
  <c r="K53" i="6"/>
  <c r="K55" i="6" s="1"/>
  <c r="K20" i="8"/>
  <c r="L30" i="6"/>
  <c r="L31" i="6" s="1"/>
  <c r="K56" i="6"/>
  <c r="L48" i="6"/>
  <c r="L21" i="8" s="1"/>
  <c r="L49" i="6"/>
  <c r="L59" i="8" l="1"/>
  <c r="L54" i="6"/>
  <c r="L50" i="6"/>
  <c r="L36" i="8" s="1"/>
  <c r="I69" i="9"/>
  <c r="K57" i="6"/>
  <c r="K64" i="6"/>
  <c r="K60" i="6"/>
  <c r="K61" i="6"/>
  <c r="L32" i="6"/>
  <c r="L22" i="8"/>
  <c r="K50" i="8"/>
  <c r="K23" i="8"/>
  <c r="K28" i="6" s="1"/>
  <c r="I73" i="9" l="1"/>
  <c r="K24" i="8"/>
  <c r="K51" i="8" l="1"/>
  <c r="K25" i="8"/>
  <c r="K52" i="8" l="1"/>
  <c r="K53" i="8" s="1"/>
  <c r="K61" i="8" s="1"/>
  <c r="K63" i="8" s="1"/>
  <c r="K26" i="8"/>
  <c r="K27" i="8" s="1"/>
  <c r="K40" i="8" s="1"/>
  <c r="K43" i="8" s="1"/>
  <c r="K44" i="8" s="1"/>
  <c r="K58" i="6" s="1"/>
  <c r="K59" i="6" s="1"/>
  <c r="K65" i="8" l="1"/>
  <c r="L62" i="8"/>
  <c r="L19" i="6"/>
  <c r="L20" i="6" s="1"/>
  <c r="L22" i="6" s="1"/>
  <c r="L68" i="8" s="1"/>
  <c r="K65" i="6" l="1"/>
  <c r="K71" i="8"/>
  <c r="K32" i="8"/>
  <c r="K33" i="8" s="1"/>
  <c r="K46" i="8" s="1"/>
  <c r="I74" i="9"/>
  <c r="L26" i="6"/>
  <c r="L57" i="8"/>
  <c r="L25" i="6"/>
  <c r="L24" i="5" s="1"/>
  <c r="M21" i="6" l="1"/>
  <c r="M23" i="6"/>
  <c r="L37" i="8"/>
  <c r="L25" i="5"/>
  <c r="L10" i="5" s="1"/>
  <c r="L17" i="8"/>
  <c r="M24" i="6" l="1"/>
  <c r="M58" i="8" s="1"/>
  <c r="L74" i="7"/>
  <c r="L11" i="5"/>
  <c r="L125" i="7"/>
  <c r="L18" i="7"/>
  <c r="L124" i="7"/>
  <c r="L126" i="7"/>
  <c r="L62" i="7"/>
  <c r="M74" i="7" l="1"/>
  <c r="N74" i="7" s="1"/>
  <c r="O74" i="7" s="1"/>
  <c r="P74" i="7" s="1"/>
  <c r="Q74" i="7" s="1"/>
  <c r="R74" i="7" s="1"/>
  <c r="S74" i="7" s="1"/>
  <c r="T74" i="7" s="1"/>
  <c r="U74" i="7" s="1"/>
  <c r="V74" i="7" s="1"/>
  <c r="W74" i="7" s="1"/>
  <c r="X74" i="7" s="1"/>
  <c r="Y74" i="7" s="1"/>
  <c r="Z74" i="7" s="1"/>
  <c r="AA74" i="7" s="1"/>
  <c r="AB74" i="7" s="1"/>
  <c r="AC74" i="7" s="1"/>
  <c r="AD74" i="7" s="1"/>
  <c r="AE74" i="7" s="1"/>
  <c r="AF74" i="7" s="1"/>
  <c r="AG74" i="7" s="1"/>
  <c r="AH74" i="7" s="1"/>
  <c r="AI74" i="7" s="1"/>
  <c r="AJ74" i="7" s="1"/>
  <c r="AK74" i="7" s="1"/>
  <c r="AL74" i="7" s="1"/>
  <c r="AM74" i="7" s="1"/>
  <c r="AN74" i="7" s="1"/>
  <c r="AO74" i="7" s="1"/>
  <c r="AP74" i="7" s="1"/>
  <c r="AQ74" i="7" s="1"/>
  <c r="AR74" i="7" s="1"/>
  <c r="AS74" i="7" s="1"/>
  <c r="AT74" i="7" s="1"/>
  <c r="AU74" i="7" s="1"/>
  <c r="AV74" i="7" s="1"/>
  <c r="AW74" i="7" s="1"/>
  <c r="AX74" i="7" s="1"/>
  <c r="AY74" i="7" s="1"/>
  <c r="AZ74" i="7" s="1"/>
  <c r="BA74" i="7" s="1"/>
  <c r="L117" i="7"/>
  <c r="L119" i="7" s="1"/>
  <c r="L10" i="8" s="1"/>
  <c r="M18" i="7"/>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AN18" i="7" s="1"/>
  <c r="AO18" i="7" s="1"/>
  <c r="AP18" i="7" s="1"/>
  <c r="AQ18" i="7" s="1"/>
  <c r="AR18" i="7" s="1"/>
  <c r="AS18" i="7" s="1"/>
  <c r="AT18" i="7" s="1"/>
  <c r="AU18" i="7" s="1"/>
  <c r="AV18" i="7" s="1"/>
  <c r="AW18" i="7" s="1"/>
  <c r="AX18" i="7" s="1"/>
  <c r="AY18" i="7" s="1"/>
  <c r="AZ18" i="7" s="1"/>
  <c r="BA18" i="7" s="1"/>
  <c r="L61" i="7"/>
  <c r="L63" i="7" s="1"/>
  <c r="L41" i="8" s="1"/>
  <c r="M9" i="5"/>
  <c r="M26" i="5" s="1"/>
  <c r="L19" i="5"/>
  <c r="L20" i="5" s="1"/>
  <c r="L14" i="8" s="1"/>
  <c r="L134" i="7"/>
  <c r="L16" i="8" s="1"/>
  <c r="L132" i="7"/>
  <c r="L122" i="7"/>
  <c r="L135" i="7" l="1"/>
  <c r="L13" i="8"/>
  <c r="J72" i="9"/>
  <c r="L35" i="6"/>
  <c r="L30" i="8"/>
  <c r="J68" i="9"/>
  <c r="L54" i="8"/>
  <c r="L55" i="8" s="1"/>
  <c r="L123" i="7"/>
  <c r="L127" i="7" s="1"/>
  <c r="L128" i="7" l="1"/>
  <c r="L36" i="6" s="1"/>
  <c r="L15" i="8"/>
  <c r="L18" i="8" s="1"/>
  <c r="L19" i="8" s="1"/>
  <c r="L49" i="8" s="1"/>
  <c r="M131" i="7"/>
  <c r="L64" i="8"/>
  <c r="L31" i="8"/>
  <c r="M133" i="7" l="1"/>
  <c r="L37" i="6"/>
  <c r="L56" i="8" l="1"/>
  <c r="L60" i="8" s="1"/>
  <c r="L69" i="8"/>
  <c r="L70" i="8" s="1"/>
  <c r="L43" i="6"/>
  <c r="L40" i="6"/>
  <c r="L62" i="6"/>
  <c r="L38" i="6"/>
  <c r="M46" i="6"/>
  <c r="M33" i="6" l="1"/>
  <c r="M34" i="6" s="1"/>
  <c r="M27" i="5"/>
  <c r="L35" i="8"/>
  <c r="L38" i="8" s="1"/>
  <c r="L53" i="6"/>
  <c r="L55" i="6" s="1"/>
  <c r="L20" i="8"/>
  <c r="L56" i="6"/>
  <c r="M30" i="6"/>
  <c r="M31" i="6" s="1"/>
  <c r="M49" i="6"/>
  <c r="M48" i="6"/>
  <c r="M21" i="8" s="1"/>
  <c r="M59" i="8" l="1"/>
  <c r="M54" i="6"/>
  <c r="M50" i="6"/>
  <c r="M36" i="8" s="1"/>
  <c r="J69" i="9"/>
  <c r="L57" i="6"/>
  <c r="M32" i="6"/>
  <c r="M22" i="8"/>
  <c r="L60" i="6"/>
  <c r="L64" i="6"/>
  <c r="L61" i="6"/>
  <c r="L50" i="8"/>
  <c r="L23" i="8"/>
  <c r="L28" i="6" s="1"/>
  <c r="J73" i="9" l="1"/>
  <c r="L24" i="8"/>
  <c r="L51" i="8" l="1"/>
  <c r="L25" i="8"/>
  <c r="L26" i="8" l="1"/>
  <c r="L27" i="8" s="1"/>
  <c r="L40" i="8" s="1"/>
  <c r="L43" i="8" s="1"/>
  <c r="L44" i="8" s="1"/>
  <c r="L58" i="6" s="1"/>
  <c r="L59" i="6" s="1"/>
  <c r="L52" i="8"/>
  <c r="L53" i="8" s="1"/>
  <c r="L61" i="8" s="1"/>
  <c r="L63" i="8" s="1"/>
  <c r="M19" i="6" l="1"/>
  <c r="M20" i="6" s="1"/>
  <c r="M22" i="6" s="1"/>
  <c r="M68" i="8" s="1"/>
  <c r="L65" i="8"/>
  <c r="M62" i="8"/>
  <c r="L65" i="6" l="1"/>
  <c r="L71" i="8"/>
  <c r="M26" i="6"/>
  <c r="M25" i="6"/>
  <c r="M24" i="5" s="1"/>
  <c r="M57" i="8"/>
  <c r="L32" i="8"/>
  <c r="L33" i="8" s="1"/>
  <c r="L46" i="8" s="1"/>
  <c r="J74" i="9"/>
  <c r="M17" i="8" l="1"/>
  <c r="M25" i="5"/>
  <c r="M10" i="5" s="1"/>
  <c r="N21" i="6"/>
  <c r="N23" i="6"/>
  <c r="M37" i="8"/>
  <c r="N24" i="6" l="1"/>
  <c r="N58" i="8" s="1"/>
  <c r="M19" i="7"/>
  <c r="M11" i="5"/>
  <c r="M124" i="7"/>
  <c r="M75" i="7"/>
  <c r="M126" i="7"/>
  <c r="M125" i="7"/>
  <c r="M62" i="7"/>
  <c r="N19" i="7" l="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AN19" i="7" s="1"/>
  <c r="AO19" i="7" s="1"/>
  <c r="AP19" i="7" s="1"/>
  <c r="AQ19" i="7" s="1"/>
  <c r="AR19" i="7" s="1"/>
  <c r="AS19" i="7" s="1"/>
  <c r="AT19" i="7" s="1"/>
  <c r="AU19" i="7" s="1"/>
  <c r="AV19" i="7" s="1"/>
  <c r="AW19" i="7" s="1"/>
  <c r="AX19" i="7" s="1"/>
  <c r="AY19" i="7" s="1"/>
  <c r="AZ19" i="7" s="1"/>
  <c r="BA19" i="7" s="1"/>
  <c r="M61" i="7"/>
  <c r="M63" i="7" s="1"/>
  <c r="M41" i="8" s="1"/>
  <c r="N75" i="7"/>
  <c r="O75" i="7" s="1"/>
  <c r="P75" i="7" s="1"/>
  <c r="Q75" i="7" s="1"/>
  <c r="R75" i="7" s="1"/>
  <c r="S75" i="7" s="1"/>
  <c r="T75" i="7" s="1"/>
  <c r="U75" i="7" s="1"/>
  <c r="V75" i="7" s="1"/>
  <c r="W75" i="7" s="1"/>
  <c r="X75" i="7" s="1"/>
  <c r="Y75" i="7" s="1"/>
  <c r="Z75" i="7" s="1"/>
  <c r="AA75" i="7" s="1"/>
  <c r="AB75" i="7" s="1"/>
  <c r="AC75" i="7" s="1"/>
  <c r="AD75" i="7" s="1"/>
  <c r="AE75" i="7" s="1"/>
  <c r="AF75" i="7" s="1"/>
  <c r="AG75" i="7" s="1"/>
  <c r="AH75" i="7" s="1"/>
  <c r="AI75" i="7" s="1"/>
  <c r="AJ75" i="7" s="1"/>
  <c r="AK75" i="7" s="1"/>
  <c r="AL75" i="7" s="1"/>
  <c r="AM75" i="7" s="1"/>
  <c r="AN75" i="7" s="1"/>
  <c r="AO75" i="7" s="1"/>
  <c r="AP75" i="7" s="1"/>
  <c r="AQ75" i="7" s="1"/>
  <c r="AR75" i="7" s="1"/>
  <c r="AS75" i="7" s="1"/>
  <c r="AT75" i="7" s="1"/>
  <c r="AU75" i="7" s="1"/>
  <c r="AV75" i="7" s="1"/>
  <c r="AW75" i="7" s="1"/>
  <c r="AX75" i="7" s="1"/>
  <c r="AY75" i="7" s="1"/>
  <c r="AZ75" i="7" s="1"/>
  <c r="BA75" i="7" s="1"/>
  <c r="M117" i="7"/>
  <c r="M119" i="7" s="1"/>
  <c r="M10" i="8" s="1"/>
  <c r="M122" i="7"/>
  <c r="M19" i="5"/>
  <c r="M20" i="5" s="1"/>
  <c r="M14" i="8" s="1"/>
  <c r="N9" i="5"/>
  <c r="N26" i="5" s="1"/>
  <c r="M132" i="7"/>
  <c r="M134" i="7"/>
  <c r="M16" i="8" s="1"/>
  <c r="M135" i="7" l="1"/>
  <c r="M64" i="8" s="1"/>
  <c r="M35" i="6"/>
  <c r="K68" i="9"/>
  <c r="M30" i="8"/>
  <c r="M13" i="8"/>
  <c r="K72" i="9"/>
  <c r="M54" i="8"/>
  <c r="M55" i="8" s="1"/>
  <c r="M123" i="7"/>
  <c r="M127" i="7" s="1"/>
  <c r="M128" i="7" l="1"/>
  <c r="M36" i="6" s="1"/>
  <c r="M15" i="8"/>
  <c r="M18" i="8" s="1"/>
  <c r="M19" i="8" s="1"/>
  <c r="N131" i="7"/>
  <c r="M31" i="8"/>
  <c r="N133" i="7" l="1"/>
  <c r="M49" i="8"/>
  <c r="M37" i="6" l="1"/>
  <c r="M25" i="8"/>
  <c r="M56" i="8" l="1"/>
  <c r="M60" i="8" s="1"/>
  <c r="M69" i="8"/>
  <c r="M70" i="8" s="1"/>
  <c r="M43" i="6"/>
  <c r="M62" i="6"/>
  <c r="M38" i="6"/>
  <c r="M40" i="6"/>
  <c r="N46" i="6"/>
  <c r="M52" i="8"/>
  <c r="N33" i="6" l="1"/>
  <c r="N27" i="5"/>
  <c r="M35" i="8"/>
  <c r="M38" i="8" s="1"/>
  <c r="M53" i="6"/>
  <c r="M55" i="6" s="1"/>
  <c r="M20" i="8"/>
  <c r="M56" i="6"/>
  <c r="N30" i="6"/>
  <c r="N48" i="6"/>
  <c r="N21" i="8" s="1"/>
  <c r="N49" i="6"/>
  <c r="N38" i="6" l="1"/>
  <c r="N34" i="6"/>
  <c r="N59" i="8"/>
  <c r="N54" i="6"/>
  <c r="N50" i="6"/>
  <c r="K69" i="9"/>
  <c r="M57" i="6"/>
  <c r="M61" i="6"/>
  <c r="M64" i="6"/>
  <c r="M60" i="6"/>
  <c r="N31" i="6"/>
  <c r="N22" i="8" s="1"/>
  <c r="M23" i="8"/>
  <c r="M50" i="8"/>
  <c r="O33" i="6" l="1"/>
  <c r="O27" i="5"/>
  <c r="N36" i="8"/>
  <c r="O46" i="6"/>
  <c r="N32" i="6"/>
  <c r="K73" i="9"/>
  <c r="M28" i="6"/>
  <c r="M24" i="8" s="1"/>
  <c r="O23" i="6"/>
  <c r="O48" i="6" l="1"/>
  <c r="O21" i="8" s="1"/>
  <c r="O49" i="6"/>
  <c r="O38" i="6"/>
  <c r="O34" i="6"/>
  <c r="N43" i="6"/>
  <c r="N40" i="6"/>
  <c r="M51" i="8"/>
  <c r="M53" i="8" s="1"/>
  <c r="M61" i="8" s="1"/>
  <c r="M63" i="8" s="1"/>
  <c r="M26" i="8"/>
  <c r="M27" i="8" s="1"/>
  <c r="M40" i="8" s="1"/>
  <c r="M43" i="8" s="1"/>
  <c r="M44" i="8" s="1"/>
  <c r="M58" i="6" s="1"/>
  <c r="M59" i="6" s="1"/>
  <c r="O50" i="6" l="1"/>
  <c r="O59" i="8"/>
  <c r="O54" i="6"/>
  <c r="P33" i="6"/>
  <c r="P27" i="5"/>
  <c r="N62" i="8"/>
  <c r="M65" i="8"/>
  <c r="N35" i="8"/>
  <c r="O30" i="6"/>
  <c r="O31" i="6" s="1"/>
  <c r="N56" i="6"/>
  <c r="L69" i="9" s="1"/>
  <c r="N20" i="8"/>
  <c r="N50" i="8" s="1"/>
  <c r="N53" i="6"/>
  <c r="N55" i="6" s="1"/>
  <c r="L73" i="9" s="1"/>
  <c r="N19" i="6"/>
  <c r="N20" i="6" s="1"/>
  <c r="N22" i="6" s="1"/>
  <c r="N68" i="8" s="1"/>
  <c r="N70" i="8" s="1"/>
  <c r="M71" i="8" l="1"/>
  <c r="O36" i="8"/>
  <c r="P46" i="6"/>
  <c r="P38" i="6"/>
  <c r="P34" i="6"/>
  <c r="K74" i="9"/>
  <c r="M65" i="6"/>
  <c r="M32" i="8"/>
  <c r="M33" i="8" s="1"/>
  <c r="M46" i="8" s="1"/>
  <c r="N25" i="6"/>
  <c r="N24" i="5" s="1"/>
  <c r="O32" i="6"/>
  <c r="O22" i="8"/>
  <c r="N61" i="6"/>
  <c r="N60" i="6"/>
  <c r="N57" i="8"/>
  <c r="N60" i="8" s="1"/>
  <c r="N26" i="6"/>
  <c r="Q33" i="6" l="1"/>
  <c r="Q27" i="5"/>
  <c r="P48" i="6"/>
  <c r="P21" i="8" s="1"/>
  <c r="P49" i="6"/>
  <c r="O43" i="6"/>
  <c r="O35" i="8" s="1"/>
  <c r="O40" i="6"/>
  <c r="N25" i="5"/>
  <c r="N10" i="5" s="1"/>
  <c r="N17" i="8"/>
  <c r="O21" i="6"/>
  <c r="O24" i="6" s="1"/>
  <c r="O58" i="8" s="1"/>
  <c r="N37" i="8"/>
  <c r="N38" i="8" s="1"/>
  <c r="Q34" i="6" l="1"/>
  <c r="Q38" i="6"/>
  <c r="P50" i="6"/>
  <c r="P54" i="6"/>
  <c r="P59" i="8"/>
  <c r="P30" i="6"/>
  <c r="O56" i="6"/>
  <c r="O20" i="8"/>
  <c r="O53" i="6"/>
  <c r="O55" i="6" s="1"/>
  <c r="N126" i="7"/>
  <c r="N124" i="7"/>
  <c r="N20" i="7"/>
  <c r="N125" i="7"/>
  <c r="N76" i="7"/>
  <c r="N11" i="5"/>
  <c r="N62" i="7"/>
  <c r="N122" i="7" s="1"/>
  <c r="R33" i="6" l="1"/>
  <c r="R27" i="5"/>
  <c r="Q46" i="6"/>
  <c r="P36" i="8"/>
  <c r="P31" i="6"/>
  <c r="O61" i="6"/>
  <c r="O60" i="6"/>
  <c r="N132" i="7"/>
  <c r="N19" i="5"/>
  <c r="N20" i="5" s="1"/>
  <c r="N14" i="8" s="1"/>
  <c r="N134" i="7"/>
  <c r="O9" i="5"/>
  <c r="O26" i="5" s="1"/>
  <c r="N61" i="7"/>
  <c r="O20" i="7"/>
  <c r="N117" i="7"/>
  <c r="N119" i="7" s="1"/>
  <c r="N10" i="8" s="1"/>
  <c r="O76" i="7"/>
  <c r="N54" i="8"/>
  <c r="N55" i="8" s="1"/>
  <c r="N123" i="7"/>
  <c r="N127" i="7" s="1"/>
  <c r="N25" i="8"/>
  <c r="O50" i="8"/>
  <c r="N135" i="7" l="1"/>
  <c r="R38" i="6"/>
  <c r="R34" i="6"/>
  <c r="Q49" i="6"/>
  <c r="Q48" i="6"/>
  <c r="Q21" i="8" s="1"/>
  <c r="P22" i="8"/>
  <c r="P32" i="6"/>
  <c r="S27" i="5"/>
  <c r="S33" i="6"/>
  <c r="N16" i="8"/>
  <c r="N63" i="7"/>
  <c r="N41" i="8" s="1"/>
  <c r="N35" i="6"/>
  <c r="N57" i="6"/>
  <c r="L68" i="9"/>
  <c r="N30" i="8"/>
  <c r="P20" i="7"/>
  <c r="Q20" i="7" s="1"/>
  <c r="R20" i="7" s="1"/>
  <c r="S20" i="7" s="1"/>
  <c r="T20" i="7" s="1"/>
  <c r="U20" i="7" s="1"/>
  <c r="V20" i="7" s="1"/>
  <c r="W20" i="7" s="1"/>
  <c r="X20" i="7" s="1"/>
  <c r="Y20" i="7" s="1"/>
  <c r="Z20" i="7" s="1"/>
  <c r="AA20" i="7" s="1"/>
  <c r="AB20" i="7" s="1"/>
  <c r="AC20" i="7" s="1"/>
  <c r="AD20" i="7" s="1"/>
  <c r="AE20" i="7" s="1"/>
  <c r="AF20" i="7" s="1"/>
  <c r="AG20" i="7" s="1"/>
  <c r="AH20" i="7" s="1"/>
  <c r="AI20" i="7" s="1"/>
  <c r="AJ20" i="7" s="1"/>
  <c r="AK20" i="7" s="1"/>
  <c r="AL20" i="7" s="1"/>
  <c r="AM20" i="7" s="1"/>
  <c r="AN20" i="7" s="1"/>
  <c r="AO20" i="7" s="1"/>
  <c r="AP20" i="7" s="1"/>
  <c r="AQ20" i="7" s="1"/>
  <c r="AR20" i="7" s="1"/>
  <c r="AS20" i="7" s="1"/>
  <c r="AT20" i="7" s="1"/>
  <c r="AU20" i="7" s="1"/>
  <c r="AV20" i="7" s="1"/>
  <c r="AW20" i="7" s="1"/>
  <c r="AX20" i="7" s="1"/>
  <c r="AY20" i="7" s="1"/>
  <c r="AZ20" i="7" s="1"/>
  <c r="BA20" i="7" s="1"/>
  <c r="L72" i="9"/>
  <c r="N13" i="8"/>
  <c r="P76" i="7"/>
  <c r="Q76" i="7" s="1"/>
  <c r="R76" i="7" s="1"/>
  <c r="S76" i="7" s="1"/>
  <c r="T76" i="7" s="1"/>
  <c r="U76" i="7" s="1"/>
  <c r="V76" i="7" s="1"/>
  <c r="W76" i="7" s="1"/>
  <c r="X76" i="7" s="1"/>
  <c r="Y76" i="7" s="1"/>
  <c r="Z76" i="7" s="1"/>
  <c r="AA76" i="7" s="1"/>
  <c r="AB76" i="7" s="1"/>
  <c r="AC76" i="7" s="1"/>
  <c r="AD76" i="7" s="1"/>
  <c r="AE76" i="7" s="1"/>
  <c r="AF76" i="7" s="1"/>
  <c r="AG76" i="7" s="1"/>
  <c r="AH76" i="7" s="1"/>
  <c r="AI76" i="7" s="1"/>
  <c r="AJ76" i="7" s="1"/>
  <c r="AK76" i="7" s="1"/>
  <c r="AL76" i="7" s="1"/>
  <c r="AM76" i="7" s="1"/>
  <c r="AN76" i="7" s="1"/>
  <c r="AO76" i="7" s="1"/>
  <c r="AP76" i="7" s="1"/>
  <c r="AQ76" i="7" s="1"/>
  <c r="AR76" i="7" s="1"/>
  <c r="AS76" i="7" s="1"/>
  <c r="AT76" i="7" s="1"/>
  <c r="AU76" i="7" s="1"/>
  <c r="AV76" i="7" s="1"/>
  <c r="AW76" i="7" s="1"/>
  <c r="AX76" i="7" s="1"/>
  <c r="AY76" i="7" s="1"/>
  <c r="AZ76" i="7" s="1"/>
  <c r="BA76" i="7" s="1"/>
  <c r="N128" i="7"/>
  <c r="N36" i="6" s="1"/>
  <c r="N62" i="6" s="1"/>
  <c r="N15" i="8"/>
  <c r="N52" i="8"/>
  <c r="M69" i="9"/>
  <c r="M73" i="9"/>
  <c r="Q50" i="6" l="1"/>
  <c r="Q54" i="6"/>
  <c r="Q59" i="8"/>
  <c r="P43" i="6"/>
  <c r="P40" i="6"/>
  <c r="S34" i="6"/>
  <c r="S38" i="6"/>
  <c r="N18" i="8"/>
  <c r="N19" i="8" s="1"/>
  <c r="O131" i="7"/>
  <c r="N31" i="8"/>
  <c r="N64" i="8"/>
  <c r="O133" i="7" l="1"/>
  <c r="R46" i="6"/>
  <c r="Q36" i="8"/>
  <c r="Q30" i="6"/>
  <c r="Q31" i="6" s="1"/>
  <c r="P35" i="8"/>
  <c r="P56" i="6"/>
  <c r="P53" i="6"/>
  <c r="P55" i="6" s="1"/>
  <c r="P20" i="8"/>
  <c r="T27" i="5"/>
  <c r="T33" i="6"/>
  <c r="N64" i="6"/>
  <c r="N23" i="8"/>
  <c r="N28" i="6" s="1"/>
  <c r="N24" i="8" s="1"/>
  <c r="N49" i="8"/>
  <c r="R49" i="6" l="1"/>
  <c r="R48" i="6"/>
  <c r="R21" i="8" s="1"/>
  <c r="Q22" i="8"/>
  <c r="Q32" i="6"/>
  <c r="P61" i="6"/>
  <c r="P60" i="6"/>
  <c r="T38" i="6"/>
  <c r="T34" i="6"/>
  <c r="N26" i="8"/>
  <c r="N27" i="8" s="1"/>
  <c r="N40" i="8" s="1"/>
  <c r="N43" i="8" s="1"/>
  <c r="N44" i="8" s="1"/>
  <c r="N51" i="8"/>
  <c r="N53" i="8" s="1"/>
  <c r="N61" i="8" s="1"/>
  <c r="N63" i="8" s="1"/>
  <c r="P23" i="6"/>
  <c r="R54" i="6" l="1"/>
  <c r="R59" i="8"/>
  <c r="R50" i="6"/>
  <c r="Q43" i="6"/>
  <c r="Q56" i="6" s="1"/>
  <c r="Q40" i="6"/>
  <c r="U27" i="5"/>
  <c r="U33" i="6"/>
  <c r="O62" i="8"/>
  <c r="N65" i="8"/>
  <c r="N58" i="6"/>
  <c r="N59" i="6" s="1"/>
  <c r="O19" i="6"/>
  <c r="O20" i="6" s="1"/>
  <c r="O22" i="6" s="1"/>
  <c r="N71" i="8" l="1"/>
  <c r="O57" i="8"/>
  <c r="O60" i="8" s="1"/>
  <c r="O68" i="8"/>
  <c r="O70" i="8" s="1"/>
  <c r="R36" i="8"/>
  <c r="S46" i="6"/>
  <c r="R30" i="6"/>
  <c r="R31" i="6" s="1"/>
  <c r="Q35" i="8"/>
  <c r="Q20" i="8"/>
  <c r="Q53" i="6"/>
  <c r="Q55" i="6" s="1"/>
  <c r="U38" i="6"/>
  <c r="U34" i="6"/>
  <c r="N65" i="6"/>
  <c r="L74" i="9"/>
  <c r="N32" i="8"/>
  <c r="N33" i="8" s="1"/>
  <c r="N46" i="8" s="1"/>
  <c r="O26" i="6"/>
  <c r="O25" i="6"/>
  <c r="O24" i="5" s="1"/>
  <c r="S49" i="6" l="1"/>
  <c r="S48" i="6"/>
  <c r="S21" i="8" s="1"/>
  <c r="Q61" i="6"/>
  <c r="Q60" i="6"/>
  <c r="V33" i="6"/>
  <c r="V27" i="5"/>
  <c r="R22" i="8"/>
  <c r="R32" i="6"/>
  <c r="P21" i="6"/>
  <c r="P24" i="6" s="1"/>
  <c r="P58" i="8" s="1"/>
  <c r="O37" i="8"/>
  <c r="O38" i="8" s="1"/>
  <c r="O25" i="5"/>
  <c r="O10" i="5" s="1"/>
  <c r="O17" i="8"/>
  <c r="S59" i="8" l="1"/>
  <c r="S54" i="6"/>
  <c r="S50" i="6"/>
  <c r="V34" i="6"/>
  <c r="V38" i="6"/>
  <c r="R40" i="6"/>
  <c r="R43" i="6"/>
  <c r="O77" i="7"/>
  <c r="O124" i="7"/>
  <c r="O62" i="7"/>
  <c r="O122" i="7" s="1"/>
  <c r="O11" i="5"/>
  <c r="O125" i="7"/>
  <c r="O126" i="7"/>
  <c r="O21" i="7"/>
  <c r="S36" i="8" l="1"/>
  <c r="T46" i="6"/>
  <c r="W33" i="6"/>
  <c r="W27" i="5"/>
  <c r="R53" i="6"/>
  <c r="R55" i="6" s="1"/>
  <c r="R20" i="8"/>
  <c r="R56" i="6"/>
  <c r="R35" i="8"/>
  <c r="S30" i="6"/>
  <c r="S31" i="6" s="1"/>
  <c r="O117" i="7"/>
  <c r="O119" i="7" s="1"/>
  <c r="O10" i="8" s="1"/>
  <c r="P77" i="7"/>
  <c r="Q77" i="7" s="1"/>
  <c r="R77" i="7" s="1"/>
  <c r="S77" i="7" s="1"/>
  <c r="T77" i="7" s="1"/>
  <c r="U77" i="7" s="1"/>
  <c r="V77" i="7" s="1"/>
  <c r="W77" i="7" s="1"/>
  <c r="X77" i="7" s="1"/>
  <c r="Y77" i="7" s="1"/>
  <c r="Z77" i="7" s="1"/>
  <c r="AA77" i="7" s="1"/>
  <c r="AB77" i="7" s="1"/>
  <c r="AC77" i="7" s="1"/>
  <c r="AD77" i="7" s="1"/>
  <c r="AE77" i="7" s="1"/>
  <c r="AF77" i="7" s="1"/>
  <c r="AG77" i="7" s="1"/>
  <c r="AH77" i="7" s="1"/>
  <c r="AI77" i="7" s="1"/>
  <c r="AJ77" i="7" s="1"/>
  <c r="AK77" i="7" s="1"/>
  <c r="AL77" i="7" s="1"/>
  <c r="AM77" i="7" s="1"/>
  <c r="AN77" i="7" s="1"/>
  <c r="AO77" i="7" s="1"/>
  <c r="AP77" i="7" s="1"/>
  <c r="AQ77" i="7" s="1"/>
  <c r="AR77" i="7" s="1"/>
  <c r="AS77" i="7" s="1"/>
  <c r="AT77" i="7" s="1"/>
  <c r="AU77" i="7" s="1"/>
  <c r="AV77" i="7" s="1"/>
  <c r="AW77" i="7" s="1"/>
  <c r="AX77" i="7" s="1"/>
  <c r="AY77" i="7" s="1"/>
  <c r="AZ77" i="7" s="1"/>
  <c r="BA77" i="7" s="1"/>
  <c r="P9" i="5"/>
  <c r="P26" i="5" s="1"/>
  <c r="O132" i="7"/>
  <c r="O19" i="5"/>
  <c r="O20" i="5" s="1"/>
  <c r="O14" i="8" s="1"/>
  <c r="O134" i="7"/>
  <c r="O16" i="8" s="1"/>
  <c r="P21" i="7"/>
  <c r="Q21" i="7" s="1"/>
  <c r="R21" i="7" s="1"/>
  <c r="S21" i="7" s="1"/>
  <c r="T21" i="7" s="1"/>
  <c r="U21" i="7" s="1"/>
  <c r="V21" i="7" s="1"/>
  <c r="W21" i="7" s="1"/>
  <c r="X21" i="7" s="1"/>
  <c r="Y21" i="7" s="1"/>
  <c r="Z21" i="7" s="1"/>
  <c r="AA21" i="7" s="1"/>
  <c r="AB21" i="7" s="1"/>
  <c r="AC21" i="7" s="1"/>
  <c r="AD21" i="7" s="1"/>
  <c r="AE21" i="7" s="1"/>
  <c r="AF21" i="7" s="1"/>
  <c r="AG21" i="7" s="1"/>
  <c r="AH21" i="7" s="1"/>
  <c r="AI21" i="7" s="1"/>
  <c r="AJ21" i="7" s="1"/>
  <c r="AK21" i="7" s="1"/>
  <c r="AL21" i="7" s="1"/>
  <c r="AM21" i="7" s="1"/>
  <c r="AN21" i="7" s="1"/>
  <c r="AO21" i="7" s="1"/>
  <c r="AP21" i="7" s="1"/>
  <c r="AQ21" i="7" s="1"/>
  <c r="AR21" i="7" s="1"/>
  <c r="AS21" i="7" s="1"/>
  <c r="AT21" i="7" s="1"/>
  <c r="AU21" i="7" s="1"/>
  <c r="AV21" i="7" s="1"/>
  <c r="AW21" i="7" s="1"/>
  <c r="AX21" i="7" s="1"/>
  <c r="AY21" i="7" s="1"/>
  <c r="AZ21" i="7" s="1"/>
  <c r="BA21" i="7" s="1"/>
  <c r="O61" i="7"/>
  <c r="O123" i="7"/>
  <c r="O127" i="7" s="1"/>
  <c r="O54" i="8"/>
  <c r="O55" i="8" s="1"/>
  <c r="O135" i="7" l="1"/>
  <c r="T48" i="6"/>
  <c r="T21" i="8" s="1"/>
  <c r="T49" i="6"/>
  <c r="R60" i="6"/>
  <c r="R61" i="6"/>
  <c r="W34" i="6"/>
  <c r="W38" i="6"/>
  <c r="S22" i="8"/>
  <c r="S32" i="6"/>
  <c r="O13" i="8"/>
  <c r="M72" i="9"/>
  <c r="O63" i="7"/>
  <c r="O41" i="8" s="1"/>
  <c r="O35" i="6"/>
  <c r="O57" i="6"/>
  <c r="O30" i="8"/>
  <c r="M68" i="9"/>
  <c r="O128" i="7"/>
  <c r="O36" i="6" s="1"/>
  <c r="O62" i="6" s="1"/>
  <c r="O15" i="8"/>
  <c r="O18" i="8" s="1"/>
  <c r="T59" i="8" l="1"/>
  <c r="T54" i="6"/>
  <c r="T50" i="6"/>
  <c r="C24" i="9" a="1"/>
  <c r="X33" i="6"/>
  <c r="X27" i="5"/>
  <c r="S43" i="6"/>
  <c r="S40" i="6"/>
  <c r="O19" i="8"/>
  <c r="O31" i="8"/>
  <c r="P131" i="7"/>
  <c r="O64" i="8"/>
  <c r="O25" i="8"/>
  <c r="P50" i="8"/>
  <c r="P133" i="7" l="1"/>
  <c r="T36" i="8"/>
  <c r="U46" i="6"/>
  <c r="X34" i="6"/>
  <c r="X38" i="6"/>
  <c r="S53" i="6"/>
  <c r="S55" i="6" s="1"/>
  <c r="S20" i="8"/>
  <c r="S56" i="6"/>
  <c r="T30" i="6"/>
  <c r="S35" i="8"/>
  <c r="O64" i="6"/>
  <c r="O49" i="8"/>
  <c r="O23" i="8"/>
  <c r="O52" i="8"/>
  <c r="N69" i="9"/>
  <c r="N73" i="9"/>
  <c r="U49" i="6" l="1"/>
  <c r="U48" i="6"/>
  <c r="U21" i="8" s="1"/>
  <c r="Y27" i="5"/>
  <c r="Y33" i="6"/>
  <c r="S61" i="6"/>
  <c r="S60" i="6"/>
  <c r="T31" i="6"/>
  <c r="O28" i="6"/>
  <c r="O24" i="8" s="1"/>
  <c r="U59" i="8" l="1"/>
  <c r="U54" i="6"/>
  <c r="U50" i="6"/>
  <c r="Y38" i="6"/>
  <c r="Y34" i="6"/>
  <c r="T22" i="8"/>
  <c r="T32" i="6"/>
  <c r="O51" i="8"/>
  <c r="O53" i="8" s="1"/>
  <c r="O61" i="8" s="1"/>
  <c r="O63" i="8" s="1"/>
  <c r="O26" i="8"/>
  <c r="O27" i="8" s="1"/>
  <c r="O40" i="8" s="1"/>
  <c r="O43" i="8" s="1"/>
  <c r="O44" i="8" s="1"/>
  <c r="U36" i="8" l="1"/>
  <c r="V46" i="6"/>
  <c r="Z27" i="5"/>
  <c r="Z33" i="6"/>
  <c r="T40" i="6"/>
  <c r="T43" i="6"/>
  <c r="P19" i="6"/>
  <c r="P20" i="6" s="1"/>
  <c r="P22" i="6" s="1"/>
  <c r="P68" i="8" s="1"/>
  <c r="P70" i="8" s="1"/>
  <c r="O58" i="6"/>
  <c r="O59" i="6" s="1"/>
  <c r="O65" i="8"/>
  <c r="P62" i="8"/>
  <c r="Q23" i="6"/>
  <c r="O71" i="8" l="1"/>
  <c r="V49" i="6"/>
  <c r="V48" i="6"/>
  <c r="V21" i="8" s="1"/>
  <c r="Z34" i="6"/>
  <c r="Z38" i="6"/>
  <c r="T53" i="6"/>
  <c r="T55" i="6" s="1"/>
  <c r="T20" i="8"/>
  <c r="T56" i="6"/>
  <c r="T35" i="8"/>
  <c r="U30" i="6"/>
  <c r="P57" i="8"/>
  <c r="P60" i="8" s="1"/>
  <c r="P26" i="6"/>
  <c r="P25" i="6"/>
  <c r="P24" i="5" s="1"/>
  <c r="O32" i="8"/>
  <c r="O33" i="8" s="1"/>
  <c r="O46" i="8" s="1"/>
  <c r="O65" i="6"/>
  <c r="M74" i="9"/>
  <c r="V59" i="8" l="1"/>
  <c r="V54" i="6"/>
  <c r="V50" i="6"/>
  <c r="AA33" i="6"/>
  <c r="AA27" i="5"/>
  <c r="U31" i="6"/>
  <c r="T61" i="6"/>
  <c r="T60" i="6"/>
  <c r="P37" i="8"/>
  <c r="P38" i="8" s="1"/>
  <c r="Q21" i="6"/>
  <c r="Q24" i="6" s="1"/>
  <c r="Q58" i="8" s="1"/>
  <c r="P17" i="8"/>
  <c r="P25" i="5"/>
  <c r="P10" i="5" s="1"/>
  <c r="V36" i="8" l="1"/>
  <c r="W46" i="6"/>
  <c r="AA38" i="6"/>
  <c r="AA34" i="6"/>
  <c r="U22" i="8"/>
  <c r="U32" i="6"/>
  <c r="P126" i="7"/>
  <c r="P125" i="7"/>
  <c r="P78" i="7"/>
  <c r="P22" i="7"/>
  <c r="P11" i="5"/>
  <c r="P62" i="7"/>
  <c r="P122" i="7" s="1"/>
  <c r="P124" i="7"/>
  <c r="W48" i="6" l="1"/>
  <c r="W21" i="8" s="1"/>
  <c r="W49" i="6"/>
  <c r="AB27" i="5"/>
  <c r="AB33" i="6"/>
  <c r="U43" i="6"/>
  <c r="V30" i="6" s="1"/>
  <c r="V31" i="6" s="1"/>
  <c r="U40" i="6"/>
  <c r="P117" i="7"/>
  <c r="P119" i="7" s="1"/>
  <c r="P10" i="8" s="1"/>
  <c r="Q78" i="7"/>
  <c r="R78" i="7" s="1"/>
  <c r="S78" i="7" s="1"/>
  <c r="T78" i="7" s="1"/>
  <c r="U78" i="7" s="1"/>
  <c r="V78" i="7" s="1"/>
  <c r="W78" i="7" s="1"/>
  <c r="X78" i="7" s="1"/>
  <c r="Y78" i="7" s="1"/>
  <c r="Z78" i="7" s="1"/>
  <c r="AA78" i="7" s="1"/>
  <c r="AB78" i="7" s="1"/>
  <c r="AC78" i="7" s="1"/>
  <c r="AD78" i="7" s="1"/>
  <c r="AE78" i="7" s="1"/>
  <c r="AF78" i="7" s="1"/>
  <c r="AG78" i="7" s="1"/>
  <c r="AH78" i="7" s="1"/>
  <c r="AI78" i="7" s="1"/>
  <c r="AJ78" i="7" s="1"/>
  <c r="AK78" i="7" s="1"/>
  <c r="AL78" i="7" s="1"/>
  <c r="AM78" i="7" s="1"/>
  <c r="AN78" i="7" s="1"/>
  <c r="AO78" i="7" s="1"/>
  <c r="AP78" i="7" s="1"/>
  <c r="AQ78" i="7" s="1"/>
  <c r="AR78" i="7" s="1"/>
  <c r="AS78" i="7" s="1"/>
  <c r="AT78" i="7" s="1"/>
  <c r="AU78" i="7" s="1"/>
  <c r="AV78" i="7" s="1"/>
  <c r="AW78" i="7" s="1"/>
  <c r="AX78" i="7" s="1"/>
  <c r="AY78" i="7" s="1"/>
  <c r="AZ78" i="7" s="1"/>
  <c r="BA78" i="7" s="1"/>
  <c r="P61" i="7"/>
  <c r="Q22" i="7"/>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AN22" i="7" s="1"/>
  <c r="AO22" i="7" s="1"/>
  <c r="AP22" i="7" s="1"/>
  <c r="AQ22" i="7" s="1"/>
  <c r="AR22" i="7" s="1"/>
  <c r="AS22" i="7" s="1"/>
  <c r="AT22" i="7" s="1"/>
  <c r="AU22" i="7" s="1"/>
  <c r="AV22" i="7" s="1"/>
  <c r="AW22" i="7" s="1"/>
  <c r="AX22" i="7" s="1"/>
  <c r="AY22" i="7" s="1"/>
  <c r="AZ22" i="7" s="1"/>
  <c r="BA22" i="7" s="1"/>
  <c r="P19" i="5"/>
  <c r="P20" i="5" s="1"/>
  <c r="P14" i="8" s="1"/>
  <c r="P134" i="7"/>
  <c r="P16" i="8" s="1"/>
  <c r="P132" i="7"/>
  <c r="Q9" i="5"/>
  <c r="Q26" i="5" s="1"/>
  <c r="P123" i="7"/>
  <c r="P127" i="7" s="1"/>
  <c r="P54" i="8"/>
  <c r="P55" i="8" s="1"/>
  <c r="P135" i="7" l="1"/>
  <c r="W59" i="8"/>
  <c r="W54" i="6"/>
  <c r="W50" i="6"/>
  <c r="U35" i="8"/>
  <c r="U56" i="6"/>
  <c r="AB38" i="6"/>
  <c r="AB34" i="6"/>
  <c r="U20" i="8"/>
  <c r="U53" i="6"/>
  <c r="U55" i="6" s="1"/>
  <c r="P15" i="8"/>
  <c r="P18" i="8" s="1"/>
  <c r="P128" i="7"/>
  <c r="P36" i="6" s="1"/>
  <c r="P62" i="6" s="1"/>
  <c r="P13" i="8"/>
  <c r="N72" i="9"/>
  <c r="P35" i="6"/>
  <c r="N68" i="9"/>
  <c r="P30" i="8"/>
  <c r="P57" i="6"/>
  <c r="P63" i="7"/>
  <c r="P41" i="8" s="1"/>
  <c r="V22" i="8"/>
  <c r="V32" i="6"/>
  <c r="W36" i="8" l="1"/>
  <c r="X46" i="6"/>
  <c r="Q131" i="7"/>
  <c r="P31" i="8"/>
  <c r="P64" i="8"/>
  <c r="AC27" i="5"/>
  <c r="AC33" i="6"/>
  <c r="U61" i="6"/>
  <c r="U60" i="6"/>
  <c r="P19" i="8"/>
  <c r="P64" i="6" s="1"/>
  <c r="V43" i="6"/>
  <c r="V40" i="6"/>
  <c r="P25" i="8"/>
  <c r="Q133" i="7" l="1"/>
  <c r="X48" i="6"/>
  <c r="X21" i="8" s="1"/>
  <c r="X49" i="6"/>
  <c r="AC38" i="6"/>
  <c r="AC34" i="6"/>
  <c r="P23" i="8"/>
  <c r="P28" i="6" s="1"/>
  <c r="P24" i="8" s="1"/>
  <c r="P49" i="8"/>
  <c r="W30" i="6"/>
  <c r="V56" i="6"/>
  <c r="V35" i="8"/>
  <c r="V53" i="6"/>
  <c r="V55" i="6" s="1"/>
  <c r="V20" i="8"/>
  <c r="P52" i="8"/>
  <c r="X54" i="6" l="1"/>
  <c r="X59" i="8"/>
  <c r="X50" i="6"/>
  <c r="AD33" i="6"/>
  <c r="AD27" i="5"/>
  <c r="P51" i="8"/>
  <c r="P53" i="8" s="1"/>
  <c r="P61" i="8" s="1"/>
  <c r="P63" i="8" s="1"/>
  <c r="P26" i="8"/>
  <c r="P27" i="8" s="1"/>
  <c r="P40" i="8" s="1"/>
  <c r="P43" i="8" s="1"/>
  <c r="P44" i="8" s="1"/>
  <c r="W31" i="6"/>
  <c r="V60" i="6"/>
  <c r="V61" i="6"/>
  <c r="X36" i="8" l="1"/>
  <c r="Y46" i="6"/>
  <c r="AD34" i="6"/>
  <c r="AD38" i="6"/>
  <c r="Q62" i="8"/>
  <c r="P65" i="8"/>
  <c r="P58" i="6"/>
  <c r="P59" i="6" s="1"/>
  <c r="Q19" i="6"/>
  <c r="Q20" i="6" s="1"/>
  <c r="Q22" i="6" s="1"/>
  <c r="Q68" i="8" s="1"/>
  <c r="Q70" i="8" s="1"/>
  <c r="W22" i="8"/>
  <c r="W32" i="6"/>
  <c r="P32" i="8" l="1"/>
  <c r="P33" i="8" s="1"/>
  <c r="P46" i="8" s="1"/>
  <c r="P71" i="8"/>
  <c r="Y49" i="6"/>
  <c r="Y48" i="6"/>
  <c r="Y21" i="8" s="1"/>
  <c r="AE33" i="6"/>
  <c r="AE27" i="5"/>
  <c r="P65" i="6"/>
  <c r="N74" i="9"/>
  <c r="Q25" i="6"/>
  <c r="Q24" i="5" s="1"/>
  <c r="Q26" i="6"/>
  <c r="Q57" i="8"/>
  <c r="W43" i="6"/>
  <c r="C16" i="9" s="1" a="1"/>
  <c r="W40" i="6"/>
  <c r="R23" i="6"/>
  <c r="Y59" i="8" l="1"/>
  <c r="Y54" i="6"/>
  <c r="Y50" i="6"/>
  <c r="AE38" i="6"/>
  <c r="AE34" i="6"/>
  <c r="Q25" i="5"/>
  <c r="Q10" i="5" s="1"/>
  <c r="Q17" i="8"/>
  <c r="R21" i="6"/>
  <c r="R24" i="6" s="1"/>
  <c r="R58" i="8" s="1"/>
  <c r="Q37" i="8"/>
  <c r="X30" i="6"/>
  <c r="W56" i="6"/>
  <c r="W35" i="8"/>
  <c r="W53" i="6"/>
  <c r="W55" i="6" s="1"/>
  <c r="W20" i="8"/>
  <c r="Y36" i="8" l="1"/>
  <c r="Z46" i="6"/>
  <c r="AF33" i="6"/>
  <c r="AF27" i="5"/>
  <c r="Q23" i="7"/>
  <c r="Q79" i="7"/>
  <c r="Q125" i="7"/>
  <c r="Q62" i="7"/>
  <c r="Q122" i="7" s="1"/>
  <c r="Q126" i="7"/>
  <c r="Q124" i="7"/>
  <c r="Q11" i="5"/>
  <c r="X31" i="6"/>
  <c r="W60" i="6"/>
  <c r="W61" i="6"/>
  <c r="Z49" i="6" l="1"/>
  <c r="Z48" i="6"/>
  <c r="Z21" i="8" s="1"/>
  <c r="AF38" i="6"/>
  <c r="AF34" i="6"/>
  <c r="Q61" i="7"/>
  <c r="R23" i="7"/>
  <c r="S23" i="7" s="1"/>
  <c r="T23" i="7" s="1"/>
  <c r="U23" i="7" s="1"/>
  <c r="V23" i="7" s="1"/>
  <c r="W23" i="7" s="1"/>
  <c r="X23" i="7" s="1"/>
  <c r="Y23" i="7" s="1"/>
  <c r="Z23" i="7" s="1"/>
  <c r="AA23" i="7" s="1"/>
  <c r="AB23" i="7" s="1"/>
  <c r="AC23" i="7" s="1"/>
  <c r="AD23" i="7" s="1"/>
  <c r="AE23" i="7" s="1"/>
  <c r="AF23" i="7" s="1"/>
  <c r="AG23" i="7" s="1"/>
  <c r="AH23" i="7" s="1"/>
  <c r="AI23" i="7" s="1"/>
  <c r="AJ23" i="7" s="1"/>
  <c r="AK23" i="7" s="1"/>
  <c r="AL23" i="7" s="1"/>
  <c r="AM23" i="7" s="1"/>
  <c r="AN23" i="7" s="1"/>
  <c r="AO23" i="7" s="1"/>
  <c r="AP23" i="7" s="1"/>
  <c r="AQ23" i="7" s="1"/>
  <c r="AR23" i="7" s="1"/>
  <c r="AS23" i="7" s="1"/>
  <c r="AT23" i="7" s="1"/>
  <c r="AU23" i="7" s="1"/>
  <c r="AV23" i="7" s="1"/>
  <c r="AW23" i="7" s="1"/>
  <c r="AX23" i="7" s="1"/>
  <c r="AY23" i="7" s="1"/>
  <c r="AZ23" i="7" s="1"/>
  <c r="BA23" i="7" s="1"/>
  <c r="Q117" i="7"/>
  <c r="Q119" i="7" s="1"/>
  <c r="Q10" i="8" s="1"/>
  <c r="R79" i="7"/>
  <c r="S79" i="7" s="1"/>
  <c r="T79" i="7" s="1"/>
  <c r="U79" i="7" s="1"/>
  <c r="V79" i="7" s="1"/>
  <c r="W79" i="7" s="1"/>
  <c r="X79" i="7" s="1"/>
  <c r="Y79" i="7" s="1"/>
  <c r="Z79" i="7" s="1"/>
  <c r="AA79" i="7" s="1"/>
  <c r="AB79" i="7" s="1"/>
  <c r="AC79" i="7" s="1"/>
  <c r="AD79" i="7" s="1"/>
  <c r="AE79" i="7" s="1"/>
  <c r="AF79" i="7" s="1"/>
  <c r="AG79" i="7" s="1"/>
  <c r="AH79" i="7" s="1"/>
  <c r="AI79" i="7" s="1"/>
  <c r="AJ79" i="7" s="1"/>
  <c r="AK79" i="7" s="1"/>
  <c r="AL79" i="7" s="1"/>
  <c r="AM79" i="7" s="1"/>
  <c r="AN79" i="7" s="1"/>
  <c r="AO79" i="7" s="1"/>
  <c r="AP79" i="7" s="1"/>
  <c r="AQ79" i="7" s="1"/>
  <c r="AR79" i="7" s="1"/>
  <c r="AS79" i="7" s="1"/>
  <c r="AT79" i="7" s="1"/>
  <c r="AU79" i="7" s="1"/>
  <c r="AV79" i="7" s="1"/>
  <c r="AW79" i="7" s="1"/>
  <c r="AX79" i="7" s="1"/>
  <c r="AY79" i="7" s="1"/>
  <c r="AZ79" i="7" s="1"/>
  <c r="BA79" i="7" s="1"/>
  <c r="Q19" i="5"/>
  <c r="Q20" i="5" s="1"/>
  <c r="Q14" i="8" s="1"/>
  <c r="Q134" i="7"/>
  <c r="Q16" i="8" s="1"/>
  <c r="Q132" i="7"/>
  <c r="Q135" i="7" s="1"/>
  <c r="R9" i="5"/>
  <c r="R26" i="5" s="1"/>
  <c r="X22" i="8"/>
  <c r="X32" i="6"/>
  <c r="Q123" i="7"/>
  <c r="Q127" i="7" s="1"/>
  <c r="Q54" i="8"/>
  <c r="Q55" i="8" s="1"/>
  <c r="Z54" i="6" l="1"/>
  <c r="Z59" i="8"/>
  <c r="Z50" i="6"/>
  <c r="AG33" i="6"/>
  <c r="AG27" i="5"/>
  <c r="Q35" i="6"/>
  <c r="Q30" i="8"/>
  <c r="Q57" i="6"/>
  <c r="Q63" i="7"/>
  <c r="Q41" i="8" s="1"/>
  <c r="O68" i="9"/>
  <c r="Q13" i="8"/>
  <c r="O72" i="9"/>
  <c r="X40" i="6"/>
  <c r="X43" i="6"/>
  <c r="Q15" i="8"/>
  <c r="Q18" i="8" s="1"/>
  <c r="Q128" i="7"/>
  <c r="Q36" i="6" s="1"/>
  <c r="Q62" i="6" s="1"/>
  <c r="Z36" i="8" l="1"/>
  <c r="AA46" i="6"/>
  <c r="AG34" i="6"/>
  <c r="AG38" i="6"/>
  <c r="Q19" i="8"/>
  <c r="Q31" i="8"/>
  <c r="Q64" i="8"/>
  <c r="R131" i="7"/>
  <c r="X53" i="6"/>
  <c r="X55" i="6" s="1"/>
  <c r="X20" i="8"/>
  <c r="Y30" i="6"/>
  <c r="X56" i="6"/>
  <c r="X35" i="8"/>
  <c r="R133" i="7" l="1"/>
  <c r="AA49" i="6"/>
  <c r="AA48" i="6"/>
  <c r="AA21" i="8" s="1"/>
  <c r="AH33" i="6"/>
  <c r="AH27" i="5"/>
  <c r="Q64" i="6"/>
  <c r="Q49" i="8"/>
  <c r="X60" i="6"/>
  <c r="X61" i="6"/>
  <c r="Y31" i="6"/>
  <c r="Q60" i="8"/>
  <c r="AA59" i="8" l="1"/>
  <c r="AA54" i="6"/>
  <c r="AA50" i="6"/>
  <c r="AH34" i="6"/>
  <c r="AH38" i="6"/>
  <c r="Y22" i="8"/>
  <c r="Y32" i="6"/>
  <c r="O69" i="9"/>
  <c r="Q38" i="8"/>
  <c r="Q25" i="8"/>
  <c r="AB46" i="6" l="1"/>
  <c r="AA36" i="8"/>
  <c r="AI27" i="5"/>
  <c r="AI33" i="6"/>
  <c r="Y43" i="6"/>
  <c r="Y40" i="6"/>
  <c r="Q50" i="8"/>
  <c r="Q23" i="8"/>
  <c r="Q28" i="6" s="1"/>
  <c r="O73" i="9"/>
  <c r="Q52" i="8"/>
  <c r="AB49" i="6" l="1"/>
  <c r="AB48" i="6"/>
  <c r="AB21" i="8" s="1"/>
  <c r="AI34" i="6"/>
  <c r="AI38" i="6"/>
  <c r="Y35" i="8"/>
  <c r="Y56" i="6"/>
  <c r="Z30" i="6"/>
  <c r="Y53" i="6"/>
  <c r="Y55" i="6" s="1"/>
  <c r="Y20" i="8"/>
  <c r="Q24" i="8"/>
  <c r="AB59" i="8" l="1"/>
  <c r="AB54" i="6"/>
  <c r="AB50" i="6"/>
  <c r="AB36" i="8" s="1"/>
  <c r="AJ33" i="6"/>
  <c r="AJ27" i="5"/>
  <c r="Z31" i="6"/>
  <c r="Y61" i="6"/>
  <c r="Y60" i="6"/>
  <c r="Q51" i="8"/>
  <c r="Q53" i="8" s="1"/>
  <c r="Q61" i="8" s="1"/>
  <c r="Q63" i="8" s="1"/>
  <c r="Q26" i="8"/>
  <c r="Q27" i="8" s="1"/>
  <c r="Q40" i="8" s="1"/>
  <c r="Q43" i="8" s="1"/>
  <c r="Q44" i="8" s="1"/>
  <c r="Q58" i="6" s="1"/>
  <c r="Q59" i="6" s="1"/>
  <c r="AJ38" i="6" l="1"/>
  <c r="AJ34" i="6"/>
  <c r="Z22" i="8"/>
  <c r="Z32" i="6"/>
  <c r="Q65" i="8"/>
  <c r="R62" i="8"/>
  <c r="R19" i="6"/>
  <c r="R20" i="6" s="1"/>
  <c r="R22" i="6" s="1"/>
  <c r="R68" i="8" s="1"/>
  <c r="R70" i="8" s="1"/>
  <c r="S23" i="6"/>
  <c r="AK33" i="6" l="1"/>
  <c r="AK27" i="5"/>
  <c r="Q65" i="6"/>
  <c r="Q71" i="8"/>
  <c r="Z40" i="6"/>
  <c r="Z43" i="6"/>
  <c r="O74" i="9"/>
  <c r="Q32" i="8"/>
  <c r="Q33" i="8" s="1"/>
  <c r="Q46" i="8" s="1"/>
  <c r="R57" i="8"/>
  <c r="R25" i="6"/>
  <c r="R24" i="5" s="1"/>
  <c r="R26" i="6"/>
  <c r="AK34" i="6" l="1"/>
  <c r="AK38" i="6"/>
  <c r="Z53" i="6"/>
  <c r="Z55" i="6" s="1"/>
  <c r="Z20" i="8"/>
  <c r="AA30" i="6"/>
  <c r="Z56" i="6"/>
  <c r="Z35" i="8"/>
  <c r="R25" i="5"/>
  <c r="R10" i="5" s="1"/>
  <c r="R17" i="8"/>
  <c r="S21" i="6"/>
  <c r="S24" i="6" s="1"/>
  <c r="S58" i="8" s="1"/>
  <c r="R37" i="8"/>
  <c r="AL27" i="5" l="1"/>
  <c r="AL33" i="6"/>
  <c r="Z60" i="6"/>
  <c r="Z61" i="6"/>
  <c r="AA31" i="6"/>
  <c r="R24" i="7"/>
  <c r="R62" i="7"/>
  <c r="R80" i="7"/>
  <c r="R124" i="7"/>
  <c r="R126" i="7"/>
  <c r="R11" i="5"/>
  <c r="R125" i="7"/>
  <c r="AL38" i="6" l="1"/>
  <c r="AL34" i="6"/>
  <c r="AM27" i="5"/>
  <c r="AM33" i="6"/>
  <c r="S24" i="7"/>
  <c r="T24" i="7" s="1"/>
  <c r="U24" i="7" s="1"/>
  <c r="V24" i="7" s="1"/>
  <c r="W24" i="7" s="1"/>
  <c r="X24" i="7" s="1"/>
  <c r="Y24" i="7" s="1"/>
  <c r="Z24" i="7" s="1"/>
  <c r="AA24" i="7" s="1"/>
  <c r="AB24" i="7" s="1"/>
  <c r="AC24" i="7" s="1"/>
  <c r="AD24" i="7" s="1"/>
  <c r="AE24" i="7" s="1"/>
  <c r="AF24" i="7" s="1"/>
  <c r="AG24" i="7" s="1"/>
  <c r="AH24" i="7" s="1"/>
  <c r="AI24" i="7" s="1"/>
  <c r="AJ24" i="7" s="1"/>
  <c r="AK24" i="7" s="1"/>
  <c r="AL24" i="7" s="1"/>
  <c r="AM24" i="7" s="1"/>
  <c r="AN24" i="7" s="1"/>
  <c r="AO24" i="7" s="1"/>
  <c r="AP24" i="7" s="1"/>
  <c r="AQ24" i="7" s="1"/>
  <c r="AR24" i="7" s="1"/>
  <c r="AS24" i="7" s="1"/>
  <c r="AT24" i="7" s="1"/>
  <c r="AU24" i="7" s="1"/>
  <c r="AV24" i="7" s="1"/>
  <c r="AW24" i="7" s="1"/>
  <c r="AX24" i="7" s="1"/>
  <c r="AY24" i="7" s="1"/>
  <c r="AZ24" i="7" s="1"/>
  <c r="BA24" i="7" s="1"/>
  <c r="R61" i="7"/>
  <c r="S80" i="7"/>
  <c r="T80" i="7" s="1"/>
  <c r="U80" i="7" s="1"/>
  <c r="V80" i="7" s="1"/>
  <c r="W80" i="7" s="1"/>
  <c r="X80" i="7" s="1"/>
  <c r="Y80" i="7" s="1"/>
  <c r="Z80" i="7" s="1"/>
  <c r="AA80" i="7" s="1"/>
  <c r="AB80" i="7" s="1"/>
  <c r="AC80" i="7" s="1"/>
  <c r="AD80" i="7" s="1"/>
  <c r="AE80" i="7" s="1"/>
  <c r="AF80" i="7" s="1"/>
  <c r="AG80" i="7" s="1"/>
  <c r="AH80" i="7" s="1"/>
  <c r="AI80" i="7" s="1"/>
  <c r="AJ80" i="7" s="1"/>
  <c r="AK80" i="7" s="1"/>
  <c r="AL80" i="7" s="1"/>
  <c r="AM80" i="7" s="1"/>
  <c r="AN80" i="7" s="1"/>
  <c r="AO80" i="7" s="1"/>
  <c r="AP80" i="7" s="1"/>
  <c r="AQ80" i="7" s="1"/>
  <c r="AR80" i="7" s="1"/>
  <c r="AS80" i="7" s="1"/>
  <c r="AT80" i="7" s="1"/>
  <c r="AU80" i="7" s="1"/>
  <c r="AV80" i="7" s="1"/>
  <c r="AW80" i="7" s="1"/>
  <c r="AX80" i="7" s="1"/>
  <c r="AY80" i="7" s="1"/>
  <c r="AZ80" i="7" s="1"/>
  <c r="BA80" i="7" s="1"/>
  <c r="R117" i="7"/>
  <c r="R119" i="7" s="1"/>
  <c r="R10" i="8" s="1"/>
  <c r="AA22" i="8"/>
  <c r="AA32" i="6"/>
  <c r="R122" i="7"/>
  <c r="R19" i="5"/>
  <c r="R20" i="5" s="1"/>
  <c r="R14" i="8" s="1"/>
  <c r="R132" i="7"/>
  <c r="S9" i="5"/>
  <c r="S26" i="5" s="1"/>
  <c r="R134" i="7"/>
  <c r="R16" i="8" s="1"/>
  <c r="R63" i="7" l="1"/>
  <c r="R41" i="8" s="1"/>
  <c r="R135" i="7"/>
  <c r="AM34" i="6"/>
  <c r="AM38" i="6"/>
  <c r="P68" i="9"/>
  <c r="R57" i="6"/>
  <c r="R35" i="6"/>
  <c r="R30" i="8"/>
  <c r="R13" i="8"/>
  <c r="P72" i="9"/>
  <c r="AA40" i="6"/>
  <c r="AA43" i="6"/>
  <c r="R54" i="8"/>
  <c r="R55" i="8" s="1"/>
  <c r="R123" i="7"/>
  <c r="R127" i="7" s="1"/>
  <c r="AN33" i="6" l="1"/>
  <c r="AN27" i="5"/>
  <c r="AA53" i="6"/>
  <c r="AA55" i="6" s="1"/>
  <c r="AA20" i="8"/>
  <c r="AA56" i="6"/>
  <c r="AB30" i="6"/>
  <c r="AA35" i="8"/>
  <c r="R31" i="8"/>
  <c r="S131" i="7"/>
  <c r="R64" i="8"/>
  <c r="R128" i="7"/>
  <c r="R36" i="6" s="1"/>
  <c r="R15" i="8"/>
  <c r="R18" i="8" s="1"/>
  <c r="R19" i="8" s="1"/>
  <c r="R60" i="8"/>
  <c r="S133" i="7" l="1"/>
  <c r="AN38" i="6"/>
  <c r="AN34" i="6"/>
  <c r="R49" i="8"/>
  <c r="R64" i="6"/>
  <c r="AA60" i="6"/>
  <c r="AA61" i="6"/>
  <c r="AB31" i="6"/>
  <c r="R62" i="6"/>
  <c r="P69" i="9"/>
  <c r="R38" i="8"/>
  <c r="R25" i="8"/>
  <c r="AO27" i="5" l="1"/>
  <c r="AO33" i="6"/>
  <c r="AB22" i="8"/>
  <c r="AB32" i="6"/>
  <c r="R23" i="8"/>
  <c r="R28" i="6" s="1"/>
  <c r="R50" i="8"/>
  <c r="P73" i="9"/>
  <c r="R52" i="8"/>
  <c r="AO38" i="6" l="1"/>
  <c r="AO34" i="6"/>
  <c r="AB41" i="6"/>
  <c r="AB40" i="6"/>
  <c r="S50" i="8"/>
  <c r="Q69" i="9"/>
  <c r="R24" i="8"/>
  <c r="AP27" i="5" l="1"/>
  <c r="AP33" i="6"/>
  <c r="AB20" i="8"/>
  <c r="AB53" i="6"/>
  <c r="AB55" i="6" s="1"/>
  <c r="AB42" i="8"/>
  <c r="AB43" i="6"/>
  <c r="Q73" i="9"/>
  <c r="R51" i="8"/>
  <c r="R53" i="8" s="1"/>
  <c r="R61" i="8" s="1"/>
  <c r="R63" i="8" s="1"/>
  <c r="R26" i="8"/>
  <c r="R27" i="8" s="1"/>
  <c r="R40" i="8" s="1"/>
  <c r="R43" i="8" s="1"/>
  <c r="R44" i="8" s="1"/>
  <c r="R58" i="6" s="1"/>
  <c r="R59" i="6" s="1"/>
  <c r="T23" i="6"/>
  <c r="AP34" i="6" l="1"/>
  <c r="AP38" i="6"/>
  <c r="S62" i="8"/>
  <c r="R65" i="8"/>
  <c r="AB61" i="6"/>
  <c r="AB60" i="6"/>
  <c r="AB56" i="6"/>
  <c r="AC30" i="6"/>
  <c r="AB35" i="8"/>
  <c r="S19" i="6"/>
  <c r="S20" i="6" s="1"/>
  <c r="S22" i="6" s="1"/>
  <c r="S68" i="8" s="1"/>
  <c r="S70" i="8" s="1"/>
  <c r="R71" i="8" l="1"/>
  <c r="AQ27" i="5"/>
  <c r="AQ33" i="6"/>
  <c r="R32" i="8"/>
  <c r="R33" i="8" s="1"/>
  <c r="R46" i="8" s="1"/>
  <c r="P74" i="9"/>
  <c r="R65" i="6"/>
  <c r="AC31" i="6"/>
  <c r="S57" i="8"/>
  <c r="S60" i="8" s="1"/>
  <c r="S26" i="6"/>
  <c r="S25" i="6"/>
  <c r="S24" i="5" s="1"/>
  <c r="AQ38" i="6" l="1"/>
  <c r="AQ34" i="6"/>
  <c r="AC22" i="8"/>
  <c r="AC32" i="6"/>
  <c r="S37" i="8"/>
  <c r="S38" i="8" s="1"/>
  <c r="T21" i="6"/>
  <c r="T24" i="6" s="1"/>
  <c r="T58" i="8" s="1"/>
  <c r="S25" i="5"/>
  <c r="S10" i="5" s="1"/>
  <c r="S17" i="8"/>
  <c r="AR33" i="6" l="1"/>
  <c r="AR27" i="5"/>
  <c r="AC40" i="6"/>
  <c r="AC41" i="6"/>
  <c r="S125" i="7"/>
  <c r="S126" i="7"/>
  <c r="S11" i="5"/>
  <c r="S62" i="7"/>
  <c r="S81" i="7"/>
  <c r="S124" i="7"/>
  <c r="S25" i="7"/>
  <c r="AR38" i="6" l="1"/>
  <c r="AR34" i="6"/>
  <c r="T81" i="7"/>
  <c r="U81" i="7" s="1"/>
  <c r="V81" i="7" s="1"/>
  <c r="W81" i="7" s="1"/>
  <c r="X81" i="7" s="1"/>
  <c r="Y81" i="7" s="1"/>
  <c r="Z81" i="7" s="1"/>
  <c r="AA81" i="7" s="1"/>
  <c r="AB81" i="7" s="1"/>
  <c r="AC81" i="7" s="1"/>
  <c r="AD81" i="7" s="1"/>
  <c r="AE81" i="7" s="1"/>
  <c r="AF81" i="7" s="1"/>
  <c r="AG81" i="7" s="1"/>
  <c r="AH81" i="7" s="1"/>
  <c r="AI81" i="7" s="1"/>
  <c r="AJ81" i="7" s="1"/>
  <c r="AK81" i="7" s="1"/>
  <c r="AL81" i="7" s="1"/>
  <c r="AM81" i="7" s="1"/>
  <c r="AN81" i="7" s="1"/>
  <c r="AO81" i="7" s="1"/>
  <c r="AP81" i="7" s="1"/>
  <c r="AQ81" i="7" s="1"/>
  <c r="AR81" i="7" s="1"/>
  <c r="AS81" i="7" s="1"/>
  <c r="AT81" i="7" s="1"/>
  <c r="AU81" i="7" s="1"/>
  <c r="AV81" i="7" s="1"/>
  <c r="AW81" i="7" s="1"/>
  <c r="AX81" i="7" s="1"/>
  <c r="AY81" i="7" s="1"/>
  <c r="AZ81" i="7" s="1"/>
  <c r="BA81" i="7" s="1"/>
  <c r="S117" i="7"/>
  <c r="S119" i="7" s="1"/>
  <c r="S10" i="8" s="1"/>
  <c r="T25" i="7"/>
  <c r="U25" i="7" s="1"/>
  <c r="V25" i="7" s="1"/>
  <c r="W25" i="7" s="1"/>
  <c r="X25" i="7" s="1"/>
  <c r="Y25" i="7" s="1"/>
  <c r="Z25" i="7" s="1"/>
  <c r="AA25" i="7" s="1"/>
  <c r="AB25" i="7" s="1"/>
  <c r="AC25" i="7" s="1"/>
  <c r="AD25" i="7" s="1"/>
  <c r="AE25" i="7" s="1"/>
  <c r="AF25" i="7" s="1"/>
  <c r="AG25" i="7" s="1"/>
  <c r="AH25" i="7" s="1"/>
  <c r="AI25" i="7" s="1"/>
  <c r="AJ25" i="7" s="1"/>
  <c r="AK25" i="7" s="1"/>
  <c r="AL25" i="7" s="1"/>
  <c r="AM25" i="7" s="1"/>
  <c r="AN25" i="7" s="1"/>
  <c r="AO25" i="7" s="1"/>
  <c r="AP25" i="7" s="1"/>
  <c r="AQ25" i="7" s="1"/>
  <c r="AR25" i="7" s="1"/>
  <c r="AS25" i="7" s="1"/>
  <c r="AT25" i="7" s="1"/>
  <c r="AU25" i="7" s="1"/>
  <c r="AV25" i="7" s="1"/>
  <c r="AW25" i="7" s="1"/>
  <c r="AX25" i="7" s="1"/>
  <c r="AY25" i="7" s="1"/>
  <c r="AZ25" i="7" s="1"/>
  <c r="BA25" i="7" s="1"/>
  <c r="S61" i="7"/>
  <c r="AC42" i="8"/>
  <c r="AC43" i="6"/>
  <c r="AC20" i="8"/>
  <c r="T9" i="5"/>
  <c r="S19" i="5"/>
  <c r="S20" i="5" s="1"/>
  <c r="S14" i="8" s="1"/>
  <c r="S134" i="7"/>
  <c r="S16" i="8" s="1"/>
  <c r="S132" i="7"/>
  <c r="S122" i="7"/>
  <c r="S63" i="7" l="1"/>
  <c r="S41" i="8" s="1"/>
  <c r="S135" i="7"/>
  <c r="AS27" i="5"/>
  <c r="AS33" i="6"/>
  <c r="S13" i="8"/>
  <c r="Q72" i="9"/>
  <c r="S30" i="8"/>
  <c r="Q68" i="9"/>
  <c r="S57" i="6"/>
  <c r="S35" i="6"/>
  <c r="AC35" i="8"/>
  <c r="AD30" i="6"/>
  <c r="AD31" i="6" s="1"/>
  <c r="AD22" i="8" s="1"/>
  <c r="T26" i="5"/>
  <c r="S54" i="8"/>
  <c r="S55" i="8" s="1"/>
  <c r="S123" i="7"/>
  <c r="S127" i="7" s="1"/>
  <c r="AS38" i="6" l="1"/>
  <c r="AS34" i="6"/>
  <c r="AD32" i="6"/>
  <c r="T131" i="7"/>
  <c r="S64" i="8"/>
  <c r="S31" i="8"/>
  <c r="S15" i="8"/>
  <c r="S18" i="8" s="1"/>
  <c r="S19" i="8" s="1"/>
  <c r="S64" i="6" s="1"/>
  <c r="S128" i="7"/>
  <c r="S36" i="6" s="1"/>
  <c r="S25" i="8"/>
  <c r="T133" i="7" l="1"/>
  <c r="AT33" i="6"/>
  <c r="AT27" i="5"/>
  <c r="AD40" i="6"/>
  <c r="AD41" i="6"/>
  <c r="S62" i="6"/>
  <c r="S23" i="8"/>
  <c r="S28" i="6" s="1"/>
  <c r="S49" i="8"/>
  <c r="S52" i="8"/>
  <c r="AD42" i="8" l="1"/>
  <c r="AD43" i="6"/>
  <c r="AT34" i="6"/>
  <c r="AT38" i="6"/>
  <c r="AD20" i="8"/>
  <c r="S24" i="8"/>
  <c r="T50" i="8"/>
  <c r="AE30" i="6" l="1"/>
  <c r="AE31" i="6" s="1"/>
  <c r="AD35" i="8"/>
  <c r="AU33" i="6"/>
  <c r="AU27" i="5"/>
  <c r="S51" i="8"/>
  <c r="S53" i="8" s="1"/>
  <c r="S61" i="8" s="1"/>
  <c r="S63" i="8" s="1"/>
  <c r="S26" i="8"/>
  <c r="S27" i="8" s="1"/>
  <c r="S40" i="8" s="1"/>
  <c r="S43" i="8" s="1"/>
  <c r="S44" i="8" s="1"/>
  <c r="S58" i="6" s="1"/>
  <c r="S59" i="6" s="1"/>
  <c r="R69" i="9"/>
  <c r="R73" i="9"/>
  <c r="AU38" i="6" l="1"/>
  <c r="AU34" i="6"/>
  <c r="AE22" i="8"/>
  <c r="AE32" i="6"/>
  <c r="T19" i="6"/>
  <c r="T20" i="6" s="1"/>
  <c r="T22" i="6" s="1"/>
  <c r="T68" i="8" s="1"/>
  <c r="T70" i="8" s="1"/>
  <c r="T62" i="8"/>
  <c r="S65" i="8"/>
  <c r="U23" i="6"/>
  <c r="S65" i="6" l="1"/>
  <c r="S71" i="8"/>
  <c r="AV33" i="6"/>
  <c r="AV27" i="5"/>
  <c r="AE41" i="6"/>
  <c r="AE40" i="6"/>
  <c r="T25" i="6"/>
  <c r="T24" i="5" s="1"/>
  <c r="T57" i="8"/>
  <c r="T60" i="8" s="1"/>
  <c r="T26" i="6"/>
  <c r="Q74" i="9"/>
  <c r="S32" i="8"/>
  <c r="S33" i="8" s="1"/>
  <c r="S46" i="8" s="1"/>
  <c r="T25" i="8"/>
  <c r="AV34" i="6" l="1"/>
  <c r="AV38" i="6"/>
  <c r="T25" i="5"/>
  <c r="T10" i="5" s="1"/>
  <c r="AE20" i="8"/>
  <c r="AE42" i="8"/>
  <c r="AE43" i="6"/>
  <c r="T17" i="8"/>
  <c r="U21" i="6"/>
  <c r="U24" i="6" s="1"/>
  <c r="U58" i="8" s="1"/>
  <c r="T37" i="8"/>
  <c r="T38" i="8" s="1"/>
  <c r="T52" i="8"/>
  <c r="AW27" i="5" l="1"/>
  <c r="AW33" i="6"/>
  <c r="T26" i="7"/>
  <c r="T124" i="7"/>
  <c r="T126" i="7"/>
  <c r="T82" i="7"/>
  <c r="T62" i="7"/>
  <c r="T122" i="7" s="1"/>
  <c r="T125" i="7"/>
  <c r="T11" i="5"/>
  <c r="AF30" i="6"/>
  <c r="AE35" i="8"/>
  <c r="AW34" i="6" l="1"/>
  <c r="AW38" i="6"/>
  <c r="T61" i="7"/>
  <c r="U26" i="7"/>
  <c r="V26" i="7" s="1"/>
  <c r="W26" i="7" s="1"/>
  <c r="X26" i="7" s="1"/>
  <c r="Y26" i="7" s="1"/>
  <c r="Z26" i="7" s="1"/>
  <c r="AA26" i="7" s="1"/>
  <c r="AB26" i="7" s="1"/>
  <c r="AC26" i="7" s="1"/>
  <c r="AD26" i="7" s="1"/>
  <c r="AE26" i="7" s="1"/>
  <c r="AF26" i="7" s="1"/>
  <c r="AG26" i="7" s="1"/>
  <c r="AH26" i="7" s="1"/>
  <c r="AI26" i="7" s="1"/>
  <c r="AJ26" i="7" s="1"/>
  <c r="AK26" i="7" s="1"/>
  <c r="AL26" i="7" s="1"/>
  <c r="AM26" i="7" s="1"/>
  <c r="AN26" i="7" s="1"/>
  <c r="AO26" i="7" s="1"/>
  <c r="AP26" i="7" s="1"/>
  <c r="AQ26" i="7" s="1"/>
  <c r="AR26" i="7" s="1"/>
  <c r="AS26" i="7" s="1"/>
  <c r="AT26" i="7" s="1"/>
  <c r="AU26" i="7" s="1"/>
  <c r="AV26" i="7" s="1"/>
  <c r="AW26" i="7" s="1"/>
  <c r="AX26" i="7" s="1"/>
  <c r="AY26" i="7" s="1"/>
  <c r="AZ26" i="7" s="1"/>
  <c r="BA26" i="7" s="1"/>
  <c r="T117" i="7"/>
  <c r="T119" i="7" s="1"/>
  <c r="T10" i="8" s="1"/>
  <c r="U82" i="7"/>
  <c r="V82" i="7" s="1"/>
  <c r="W82" i="7" s="1"/>
  <c r="X82" i="7" s="1"/>
  <c r="Y82" i="7" s="1"/>
  <c r="Z82" i="7" s="1"/>
  <c r="AA82" i="7" s="1"/>
  <c r="AB82" i="7" s="1"/>
  <c r="AC82" i="7" s="1"/>
  <c r="AD82" i="7" s="1"/>
  <c r="AE82" i="7" s="1"/>
  <c r="AF82" i="7" s="1"/>
  <c r="AG82" i="7" s="1"/>
  <c r="AH82" i="7" s="1"/>
  <c r="AI82" i="7" s="1"/>
  <c r="AJ82" i="7" s="1"/>
  <c r="AK82" i="7" s="1"/>
  <c r="AL82" i="7" s="1"/>
  <c r="AM82" i="7" s="1"/>
  <c r="AN82" i="7" s="1"/>
  <c r="AO82" i="7" s="1"/>
  <c r="AP82" i="7" s="1"/>
  <c r="AQ82" i="7" s="1"/>
  <c r="AR82" i="7" s="1"/>
  <c r="AS82" i="7" s="1"/>
  <c r="AT82" i="7" s="1"/>
  <c r="AU82" i="7" s="1"/>
  <c r="AV82" i="7" s="1"/>
  <c r="AW82" i="7" s="1"/>
  <c r="AX82" i="7" s="1"/>
  <c r="AY82" i="7" s="1"/>
  <c r="AZ82" i="7" s="1"/>
  <c r="BA82" i="7" s="1"/>
  <c r="T123" i="7"/>
  <c r="T127" i="7" s="1"/>
  <c r="T54" i="8"/>
  <c r="T55" i="8" s="1"/>
  <c r="T134" i="7"/>
  <c r="T16" i="8" s="1"/>
  <c r="T132" i="7"/>
  <c r="T19" i="5"/>
  <c r="T20" i="5" s="1"/>
  <c r="T14" i="8" s="1"/>
  <c r="U9" i="5"/>
  <c r="U26" i="5" s="1"/>
  <c r="AF31" i="6"/>
  <c r="T135" i="7" l="1"/>
  <c r="AX33" i="6"/>
  <c r="AX27" i="5"/>
  <c r="T63" i="7"/>
  <c r="T41" i="8" s="1"/>
  <c r="T30" i="8"/>
  <c r="R68" i="9"/>
  <c r="T57" i="6"/>
  <c r="T35" i="6"/>
  <c r="R72" i="9"/>
  <c r="T13" i="8"/>
  <c r="T15" i="8"/>
  <c r="T18" i="8" s="1"/>
  <c r="T128" i="7"/>
  <c r="T36" i="6" s="1"/>
  <c r="T62" i="6" s="1"/>
  <c r="AF22" i="8"/>
  <c r="AF32" i="6"/>
  <c r="V23" i="6"/>
  <c r="T64" i="8" l="1"/>
  <c r="U131" i="7"/>
  <c r="T31" i="8"/>
  <c r="AX34" i="6"/>
  <c r="AX38" i="6"/>
  <c r="T19" i="8"/>
  <c r="AF41" i="6"/>
  <c r="AF40" i="6"/>
  <c r="U133" i="7" l="1"/>
  <c r="AY27" i="5"/>
  <c r="AY33" i="6"/>
  <c r="T64" i="6"/>
  <c r="T23" i="8"/>
  <c r="T49" i="8"/>
  <c r="AF20" i="8"/>
  <c r="AF42" i="8"/>
  <c r="AF43" i="6"/>
  <c r="AY38" i="6" l="1"/>
  <c r="AY34" i="6"/>
  <c r="T28" i="6"/>
  <c r="T24" i="8" s="1"/>
  <c r="AG30" i="6"/>
  <c r="AF35" i="8"/>
  <c r="T51" i="8" l="1"/>
  <c r="T53" i="8" s="1"/>
  <c r="T61" i="8" s="1"/>
  <c r="T63" i="8" s="1"/>
  <c r="T26" i="8"/>
  <c r="T27" i="8" s="1"/>
  <c r="T40" i="8" s="1"/>
  <c r="T43" i="8" s="1"/>
  <c r="T44" i="8" s="1"/>
  <c r="AZ33" i="6"/>
  <c r="AZ27" i="5"/>
  <c r="AG31" i="6"/>
  <c r="U50" i="8"/>
  <c r="U62" i="8" l="1"/>
  <c r="T65" i="8"/>
  <c r="T58" i="6"/>
  <c r="T59" i="6" s="1"/>
  <c r="U19" i="6"/>
  <c r="U20" i="6" s="1"/>
  <c r="U22" i="6" s="1"/>
  <c r="U68" i="8" s="1"/>
  <c r="U70" i="8" s="1"/>
  <c r="AZ38" i="6"/>
  <c r="AZ34" i="6"/>
  <c r="AG22" i="8"/>
  <c r="AG32" i="6"/>
  <c r="S69" i="9"/>
  <c r="S73" i="9"/>
  <c r="T71" i="8" l="1"/>
  <c r="T65" i="6"/>
  <c r="T32" i="8"/>
  <c r="T33" i="8" s="1"/>
  <c r="T46" i="8" s="1"/>
  <c r="R74" i="9"/>
  <c r="U57" i="8"/>
  <c r="U60" i="8" s="1"/>
  <c r="U26" i="6"/>
  <c r="U25" i="6"/>
  <c r="BA27" i="5"/>
  <c r="BA33" i="6"/>
  <c r="AG40" i="6"/>
  <c r="AG41" i="6"/>
  <c r="U17" i="8" l="1"/>
  <c r="U24" i="5"/>
  <c r="U25" i="5" s="1"/>
  <c r="U10" i="5" s="1"/>
  <c r="U37" i="8"/>
  <c r="U38" i="8" s="1"/>
  <c r="V21" i="6"/>
  <c r="V24" i="6" s="1"/>
  <c r="V58" i="8" s="1"/>
  <c r="BA34" i="6"/>
  <c r="BA38" i="6"/>
  <c r="AG42" i="8"/>
  <c r="AG43" i="6"/>
  <c r="AG20" i="8"/>
  <c r="U25" i="8"/>
  <c r="U126" i="7" l="1"/>
  <c r="U27" i="7"/>
  <c r="U11" i="5"/>
  <c r="U62" i="7"/>
  <c r="U122" i="7" s="1"/>
  <c r="U125" i="7"/>
  <c r="U124" i="7"/>
  <c r="U83" i="7"/>
  <c r="AG35" i="8"/>
  <c r="AH30" i="6"/>
  <c r="AH31" i="6" s="1"/>
  <c r="U52" i="8"/>
  <c r="V27" i="7" l="1"/>
  <c r="W27" i="7" s="1"/>
  <c r="X27" i="7" s="1"/>
  <c r="Y27" i="7" s="1"/>
  <c r="Z27" i="7" s="1"/>
  <c r="AA27" i="7" s="1"/>
  <c r="AB27" i="7" s="1"/>
  <c r="AC27" i="7" s="1"/>
  <c r="AD27" i="7" s="1"/>
  <c r="AE27" i="7" s="1"/>
  <c r="AF27" i="7" s="1"/>
  <c r="AG27" i="7" s="1"/>
  <c r="AH27" i="7" s="1"/>
  <c r="AI27" i="7" s="1"/>
  <c r="AJ27" i="7" s="1"/>
  <c r="AK27" i="7" s="1"/>
  <c r="AL27" i="7" s="1"/>
  <c r="AM27" i="7" s="1"/>
  <c r="AN27" i="7" s="1"/>
  <c r="AO27" i="7" s="1"/>
  <c r="AP27" i="7" s="1"/>
  <c r="AQ27" i="7" s="1"/>
  <c r="AR27" i="7" s="1"/>
  <c r="AS27" i="7" s="1"/>
  <c r="AT27" i="7" s="1"/>
  <c r="AU27" i="7" s="1"/>
  <c r="AV27" i="7" s="1"/>
  <c r="AW27" i="7" s="1"/>
  <c r="AX27" i="7" s="1"/>
  <c r="AY27" i="7" s="1"/>
  <c r="AZ27" i="7" s="1"/>
  <c r="BA27" i="7" s="1"/>
  <c r="U61" i="7"/>
  <c r="U134" i="7"/>
  <c r="U16" i="8" s="1"/>
  <c r="U132" i="7"/>
  <c r="U123" i="7"/>
  <c r="U127" i="7" s="1"/>
  <c r="U54" i="8"/>
  <c r="U55" i="8" s="1"/>
  <c r="V9" i="5"/>
  <c r="V26" i="5" s="1"/>
  <c r="U19" i="5"/>
  <c r="U20" i="5" s="1"/>
  <c r="U14" i="8" s="1"/>
  <c r="V83" i="7"/>
  <c r="W83" i="7" s="1"/>
  <c r="X83" i="7" s="1"/>
  <c r="Y83" i="7" s="1"/>
  <c r="Z83" i="7" s="1"/>
  <c r="AA83" i="7" s="1"/>
  <c r="AB83" i="7" s="1"/>
  <c r="AC83" i="7" s="1"/>
  <c r="AD83" i="7" s="1"/>
  <c r="AE83" i="7" s="1"/>
  <c r="AF83" i="7" s="1"/>
  <c r="AG83" i="7" s="1"/>
  <c r="AH83" i="7" s="1"/>
  <c r="AI83" i="7" s="1"/>
  <c r="AJ83" i="7" s="1"/>
  <c r="AK83" i="7" s="1"/>
  <c r="AL83" i="7" s="1"/>
  <c r="AM83" i="7" s="1"/>
  <c r="AN83" i="7" s="1"/>
  <c r="AO83" i="7" s="1"/>
  <c r="AP83" i="7" s="1"/>
  <c r="AQ83" i="7" s="1"/>
  <c r="AR83" i="7" s="1"/>
  <c r="AS83" i="7" s="1"/>
  <c r="AT83" i="7" s="1"/>
  <c r="AU83" i="7" s="1"/>
  <c r="AV83" i="7" s="1"/>
  <c r="AW83" i="7" s="1"/>
  <c r="AX83" i="7" s="1"/>
  <c r="AY83" i="7" s="1"/>
  <c r="AZ83" i="7" s="1"/>
  <c r="BA83" i="7" s="1"/>
  <c r="U117" i="7"/>
  <c r="U119" i="7" s="1"/>
  <c r="U10" i="8" s="1"/>
  <c r="AH22" i="8"/>
  <c r="AH32" i="6"/>
  <c r="U135" i="7" l="1"/>
  <c r="U30" i="8"/>
  <c r="U63" i="7"/>
  <c r="U41" i="8" s="1"/>
  <c r="S68" i="9"/>
  <c r="U57" i="6"/>
  <c r="U35" i="6"/>
  <c r="S72" i="9"/>
  <c r="U13" i="8"/>
  <c r="U15" i="8"/>
  <c r="U18" i="8" s="1"/>
  <c r="U19" i="8" s="1"/>
  <c r="U128" i="7"/>
  <c r="U36" i="6" s="1"/>
  <c r="U62" i="6" s="1"/>
  <c r="AH41" i="6"/>
  <c r="AH40" i="6"/>
  <c r="V131" i="7" l="1"/>
  <c r="V133" i="7" s="1"/>
  <c r="U64" i="8"/>
  <c r="U31" i="8"/>
  <c r="U64" i="6"/>
  <c r="U49" i="8"/>
  <c r="U23" i="8"/>
  <c r="U28" i="6" s="1"/>
  <c r="U24" i="8" s="1"/>
  <c r="AH20" i="8"/>
  <c r="AH42" i="8"/>
  <c r="AH43" i="6"/>
  <c r="W23" i="6"/>
  <c r="U51" i="8" l="1"/>
  <c r="U53" i="8" s="1"/>
  <c r="U61" i="8" s="1"/>
  <c r="U63" i="8" s="1"/>
  <c r="U26" i="8"/>
  <c r="U27" i="8" s="1"/>
  <c r="U40" i="8" s="1"/>
  <c r="U43" i="8" s="1"/>
  <c r="U44" i="8" s="1"/>
  <c r="AI30" i="6"/>
  <c r="AH35" i="8"/>
  <c r="U58" i="6" l="1"/>
  <c r="U59" i="6" s="1"/>
  <c r="V19" i="6"/>
  <c r="V20" i="6" s="1"/>
  <c r="V22" i="6" s="1"/>
  <c r="V68" i="8" s="1"/>
  <c r="V70" i="8" s="1"/>
  <c r="U65" i="8"/>
  <c r="V62" i="8"/>
  <c r="AI31" i="6"/>
  <c r="U71" i="8" l="1"/>
  <c r="V25" i="6"/>
  <c r="V24" i="5" s="1"/>
  <c r="V26" i="6"/>
  <c r="V57" i="8"/>
  <c r="V60" i="8" s="1"/>
  <c r="S74" i="9"/>
  <c r="U32" i="8"/>
  <c r="U33" i="8" s="1"/>
  <c r="U46" i="8" s="1"/>
  <c r="U65" i="6"/>
  <c r="AI22" i="8"/>
  <c r="AI32" i="6"/>
  <c r="V37" i="8" l="1"/>
  <c r="V38" i="8" s="1"/>
  <c r="W21" i="6"/>
  <c r="W24" i="6" s="1"/>
  <c r="W58" i="8" s="1"/>
  <c r="V17" i="8"/>
  <c r="V25" i="5"/>
  <c r="V10" i="5" s="1"/>
  <c r="AI40" i="6"/>
  <c r="AI41" i="6"/>
  <c r="V62" i="7" l="1"/>
  <c r="V122" i="7" s="1"/>
  <c r="V28" i="7"/>
  <c r="V126" i="7"/>
  <c r="V84" i="7"/>
  <c r="V125" i="7"/>
  <c r="V124" i="7"/>
  <c r="V11" i="5"/>
  <c r="AI42" i="8"/>
  <c r="AI43" i="6"/>
  <c r="AI20" i="8"/>
  <c r="V50" i="8"/>
  <c r="T69" i="9"/>
  <c r="T73" i="9"/>
  <c r="V117" i="7" l="1"/>
  <c r="V119" i="7" s="1"/>
  <c r="V10" i="8" s="1"/>
  <c r="W84" i="7"/>
  <c r="X84" i="7" s="1"/>
  <c r="Y84" i="7" s="1"/>
  <c r="Z84" i="7" s="1"/>
  <c r="AA84" i="7" s="1"/>
  <c r="AB84" i="7" s="1"/>
  <c r="AC84" i="7" s="1"/>
  <c r="AD84" i="7" s="1"/>
  <c r="AE84" i="7" s="1"/>
  <c r="AF84" i="7" s="1"/>
  <c r="AG84" i="7" s="1"/>
  <c r="AH84" i="7" s="1"/>
  <c r="AI84" i="7" s="1"/>
  <c r="AJ84" i="7" s="1"/>
  <c r="AK84" i="7" s="1"/>
  <c r="AL84" i="7" s="1"/>
  <c r="AM84" i="7" s="1"/>
  <c r="AN84" i="7" s="1"/>
  <c r="AO84" i="7" s="1"/>
  <c r="AP84" i="7" s="1"/>
  <c r="AQ84" i="7" s="1"/>
  <c r="AR84" i="7" s="1"/>
  <c r="AS84" i="7" s="1"/>
  <c r="AT84" i="7" s="1"/>
  <c r="AU84" i="7" s="1"/>
  <c r="AV84" i="7" s="1"/>
  <c r="AW84" i="7" s="1"/>
  <c r="AX84" i="7" s="1"/>
  <c r="AY84" i="7" s="1"/>
  <c r="AZ84" i="7" s="1"/>
  <c r="BA84" i="7" s="1"/>
  <c r="V123" i="7"/>
  <c r="V127" i="7" s="1"/>
  <c r="V54" i="8"/>
  <c r="V55" i="8" s="1"/>
  <c r="W28" i="7"/>
  <c r="X28" i="7" s="1"/>
  <c r="Y28" i="7" s="1"/>
  <c r="Z28" i="7" s="1"/>
  <c r="AA28" i="7" s="1"/>
  <c r="AB28" i="7" s="1"/>
  <c r="AC28" i="7" s="1"/>
  <c r="AD28" i="7" s="1"/>
  <c r="AE28" i="7" s="1"/>
  <c r="AF28" i="7" s="1"/>
  <c r="AG28" i="7" s="1"/>
  <c r="AH28" i="7" s="1"/>
  <c r="AI28" i="7" s="1"/>
  <c r="AJ28" i="7" s="1"/>
  <c r="AK28" i="7" s="1"/>
  <c r="AL28" i="7" s="1"/>
  <c r="AM28" i="7" s="1"/>
  <c r="AN28" i="7" s="1"/>
  <c r="AO28" i="7" s="1"/>
  <c r="AP28" i="7" s="1"/>
  <c r="AQ28" i="7" s="1"/>
  <c r="AR28" i="7" s="1"/>
  <c r="AS28" i="7" s="1"/>
  <c r="AT28" i="7" s="1"/>
  <c r="AU28" i="7" s="1"/>
  <c r="AV28" i="7" s="1"/>
  <c r="AW28" i="7" s="1"/>
  <c r="AX28" i="7" s="1"/>
  <c r="AY28" i="7" s="1"/>
  <c r="AZ28" i="7" s="1"/>
  <c r="BA28" i="7" s="1"/>
  <c r="V61" i="7"/>
  <c r="V132" i="7"/>
  <c r="V134" i="7"/>
  <c r="V16" i="8" s="1"/>
  <c r="W9" i="5"/>
  <c r="W26" i="5" s="1"/>
  <c r="V19" i="5"/>
  <c r="V20" i="5" s="1"/>
  <c r="V14" i="8" s="1"/>
  <c r="AI35" i="8"/>
  <c r="AJ30" i="6"/>
  <c r="AJ31" i="6" s="1"/>
  <c r="V135" i="7" l="1"/>
  <c r="T68" i="9"/>
  <c r="V30" i="8"/>
  <c r="V57" i="6"/>
  <c r="V35" i="6"/>
  <c r="V63" i="7"/>
  <c r="V41" i="8" s="1"/>
  <c r="T72" i="9"/>
  <c r="V13" i="8"/>
  <c r="V15" i="8"/>
  <c r="V18" i="8" s="1"/>
  <c r="V128" i="7"/>
  <c r="V36" i="6" s="1"/>
  <c r="V62" i="6" s="1"/>
  <c r="AJ22" i="8"/>
  <c r="AJ32" i="6"/>
  <c r="V25" i="8"/>
  <c r="V19" i="8" l="1"/>
  <c r="V31" i="8"/>
  <c r="V64" i="8"/>
  <c r="W131" i="7"/>
  <c r="AJ40" i="6"/>
  <c r="AJ41" i="6"/>
  <c r="V52" i="8"/>
  <c r="W133" i="7" l="1"/>
  <c r="V49" i="8"/>
  <c r="V64" i="6"/>
  <c r="V23" i="8"/>
  <c r="V28" i="6" s="1"/>
  <c r="V24" i="8" s="1"/>
  <c r="AJ20" i="8"/>
  <c r="AJ42" i="8"/>
  <c r="AJ43" i="6"/>
  <c r="V51" i="8" l="1"/>
  <c r="V53" i="8" s="1"/>
  <c r="V61" i="8" s="1"/>
  <c r="V63" i="8" s="1"/>
  <c r="V26" i="8"/>
  <c r="V27" i="8" s="1"/>
  <c r="V40" i="8" s="1"/>
  <c r="V43" i="8" s="1"/>
  <c r="V44" i="8" s="1"/>
  <c r="AK30" i="6"/>
  <c r="AJ35" i="8"/>
  <c r="V65" i="8" l="1"/>
  <c r="W62" i="8"/>
  <c r="W19" i="6"/>
  <c r="W20" i="6" s="1"/>
  <c r="W22" i="6" s="1"/>
  <c r="W68" i="8" s="1"/>
  <c r="W70" i="8" s="1"/>
  <c r="V58" i="6"/>
  <c r="V59" i="6" s="1"/>
  <c r="AK31" i="6"/>
  <c r="X23" i="6"/>
  <c r="V32" i="8" l="1"/>
  <c r="V33" i="8" s="1"/>
  <c r="V46" i="8" s="1"/>
  <c r="V71" i="8"/>
  <c r="T74" i="9"/>
  <c r="V65" i="6"/>
  <c r="W25" i="6"/>
  <c r="W24" i="5" s="1"/>
  <c r="W26" i="6"/>
  <c r="W57" i="8"/>
  <c r="AK22" i="8"/>
  <c r="AK32" i="6"/>
  <c r="W17" i="8" l="1"/>
  <c r="W25" i="5"/>
  <c r="W10" i="5" s="1"/>
  <c r="X21" i="6"/>
  <c r="X24" i="6" s="1"/>
  <c r="X58" i="8" s="1"/>
  <c r="W37" i="8"/>
  <c r="AK40" i="6"/>
  <c r="AK41" i="6"/>
  <c r="W125" i="7" l="1"/>
  <c r="W85" i="7"/>
  <c r="W29" i="7"/>
  <c r="W62" i="7"/>
  <c r="W122" i="7" s="1"/>
  <c r="W124" i="7"/>
  <c r="W126" i="7"/>
  <c r="W11" i="5"/>
  <c r="AK20" i="8"/>
  <c r="AK42" i="8"/>
  <c r="AK43" i="6"/>
  <c r="W60" i="8"/>
  <c r="W38" i="8"/>
  <c r="X85" i="7" l="1"/>
  <c r="Y85" i="7" s="1"/>
  <c r="Z85" i="7" s="1"/>
  <c r="AA85" i="7" s="1"/>
  <c r="AB85" i="7" s="1"/>
  <c r="AC85" i="7" s="1"/>
  <c r="AD85" i="7" s="1"/>
  <c r="AE85" i="7" s="1"/>
  <c r="AF85" i="7" s="1"/>
  <c r="AG85" i="7" s="1"/>
  <c r="AH85" i="7" s="1"/>
  <c r="AI85" i="7" s="1"/>
  <c r="AJ85" i="7" s="1"/>
  <c r="AK85" i="7" s="1"/>
  <c r="AL85" i="7" s="1"/>
  <c r="AM85" i="7" s="1"/>
  <c r="AN85" i="7" s="1"/>
  <c r="AO85" i="7" s="1"/>
  <c r="AP85" i="7" s="1"/>
  <c r="AQ85" i="7" s="1"/>
  <c r="AR85" i="7" s="1"/>
  <c r="AS85" i="7" s="1"/>
  <c r="AT85" i="7" s="1"/>
  <c r="AU85" i="7" s="1"/>
  <c r="AV85" i="7" s="1"/>
  <c r="AW85" i="7" s="1"/>
  <c r="AX85" i="7" s="1"/>
  <c r="AY85" i="7" s="1"/>
  <c r="AZ85" i="7" s="1"/>
  <c r="BA85" i="7" s="1"/>
  <c r="W117" i="7"/>
  <c r="W119" i="7" s="1"/>
  <c r="W10" i="8" s="1"/>
  <c r="X29" i="7"/>
  <c r="Y29" i="7" s="1"/>
  <c r="Z29" i="7" s="1"/>
  <c r="AA29" i="7" s="1"/>
  <c r="AB29" i="7" s="1"/>
  <c r="AC29" i="7" s="1"/>
  <c r="AD29" i="7" s="1"/>
  <c r="AE29" i="7" s="1"/>
  <c r="AF29" i="7" s="1"/>
  <c r="AG29" i="7" s="1"/>
  <c r="AH29" i="7" s="1"/>
  <c r="AI29" i="7" s="1"/>
  <c r="AJ29" i="7" s="1"/>
  <c r="AK29" i="7" s="1"/>
  <c r="AL29" i="7" s="1"/>
  <c r="AM29" i="7" s="1"/>
  <c r="AN29" i="7" s="1"/>
  <c r="AO29" i="7" s="1"/>
  <c r="AP29" i="7" s="1"/>
  <c r="AQ29" i="7" s="1"/>
  <c r="AR29" i="7" s="1"/>
  <c r="AS29" i="7" s="1"/>
  <c r="AT29" i="7" s="1"/>
  <c r="AU29" i="7" s="1"/>
  <c r="AV29" i="7" s="1"/>
  <c r="AW29" i="7" s="1"/>
  <c r="AX29" i="7" s="1"/>
  <c r="AY29" i="7" s="1"/>
  <c r="AZ29" i="7" s="1"/>
  <c r="BA29" i="7" s="1"/>
  <c r="W61" i="7"/>
  <c r="W54" i="8"/>
  <c r="W55" i="8" s="1"/>
  <c r="W123" i="7"/>
  <c r="W127" i="7" s="1"/>
  <c r="X9" i="5"/>
  <c r="X26" i="5" s="1"/>
  <c r="W132" i="7"/>
  <c r="W19" i="5"/>
  <c r="W20" i="5" s="1"/>
  <c r="W14" i="8" s="1"/>
  <c r="W134" i="7"/>
  <c r="W16" i="8" s="1"/>
  <c r="AL30" i="6"/>
  <c r="AK35" i="8"/>
  <c r="W135" i="7" l="1"/>
  <c r="W13" i="8"/>
  <c r="U72" i="9"/>
  <c r="W35" i="6"/>
  <c r="U68" i="9"/>
  <c r="W63" i="7"/>
  <c r="W41" i="8" s="1"/>
  <c r="W57" i="6"/>
  <c r="W30" i="8"/>
  <c r="W15" i="8"/>
  <c r="W18" i="8" s="1"/>
  <c r="W128" i="7"/>
  <c r="W36" i="6" s="1"/>
  <c r="W62" i="6" s="1"/>
  <c r="AL31" i="6"/>
  <c r="W50" i="8"/>
  <c r="U73" i="9"/>
  <c r="U69" i="9"/>
  <c r="W19" i="8" l="1"/>
  <c r="W23" i="8" s="1"/>
  <c r="W28" i="6" s="1"/>
  <c r="W24" i="8" s="1"/>
  <c r="W31" i="8"/>
  <c r="W64" i="8"/>
  <c r="X131" i="7"/>
  <c r="AL22" i="8"/>
  <c r="AL32" i="6"/>
  <c r="X133" i="7" l="1"/>
  <c r="W64" i="6"/>
  <c r="W49" i="8"/>
  <c r="AL40" i="6"/>
  <c r="AL41" i="6"/>
  <c r="W25" i="8"/>
  <c r="W51" i="8"/>
  <c r="AL20" i="8" l="1"/>
  <c r="AL42" i="8"/>
  <c r="AL43" i="6"/>
  <c r="W52" i="8"/>
  <c r="W53" i="8" s="1"/>
  <c r="W61" i="8" s="1"/>
  <c r="W63" i="8" s="1"/>
  <c r="W26" i="8"/>
  <c r="W27" i="8" s="1"/>
  <c r="W40" i="8" s="1"/>
  <c r="W43" i="8" s="1"/>
  <c r="W44" i="8" s="1"/>
  <c r="W58" i="6" s="1"/>
  <c r="W59" i="6" s="1"/>
  <c r="W65" i="8" l="1"/>
  <c r="X62" i="8"/>
  <c r="AM30" i="6"/>
  <c r="AL35" i="8"/>
  <c r="X19" i="6"/>
  <c r="X20" i="6" s="1"/>
  <c r="X22" i="6" s="1"/>
  <c r="X68" i="8" s="1"/>
  <c r="X70" i="8" s="1"/>
  <c r="W32" i="8" l="1"/>
  <c r="W33" i="8" s="1"/>
  <c r="W46" i="8" s="1"/>
  <c r="W71" i="8"/>
  <c r="C35" i="9" s="1" a="1"/>
  <c r="F35" i="9" s="1"/>
  <c r="W65" i="6"/>
  <c r="U74" i="9"/>
  <c r="AM31" i="6"/>
  <c r="X57" i="8"/>
  <c r="X26" i="6"/>
  <c r="X25" i="6"/>
  <c r="X24" i="5" s="1"/>
  <c r="AM22" i="8" l="1"/>
  <c r="AM32" i="6"/>
  <c r="Y21" i="6"/>
  <c r="X37" i="8"/>
  <c r="Y23" i="6"/>
  <c r="X17" i="8"/>
  <c r="X25" i="5"/>
  <c r="X10" i="5" s="1"/>
  <c r="X124" i="7" l="1"/>
  <c r="X86" i="7"/>
  <c r="X62" i="7"/>
  <c r="X122" i="7" s="1"/>
  <c r="X30" i="7"/>
  <c r="X126" i="7"/>
  <c r="X11" i="5"/>
  <c r="X125" i="7"/>
  <c r="AM41" i="6"/>
  <c r="AM40" i="6"/>
  <c r="Y24" i="6"/>
  <c r="Y58" i="8" s="1"/>
  <c r="X117" i="7" l="1"/>
  <c r="X119" i="7" s="1"/>
  <c r="X10" i="8" s="1"/>
  <c r="Y86" i="7"/>
  <c r="Z86" i="7" s="1"/>
  <c r="AA86" i="7" s="1"/>
  <c r="AB86" i="7" s="1"/>
  <c r="AC86" i="7" s="1"/>
  <c r="AD86" i="7" s="1"/>
  <c r="AE86" i="7" s="1"/>
  <c r="AF86" i="7" s="1"/>
  <c r="AG86" i="7" s="1"/>
  <c r="AH86" i="7" s="1"/>
  <c r="AI86" i="7" s="1"/>
  <c r="AJ86" i="7" s="1"/>
  <c r="AK86" i="7" s="1"/>
  <c r="AL86" i="7" s="1"/>
  <c r="AM86" i="7" s="1"/>
  <c r="AN86" i="7" s="1"/>
  <c r="AO86" i="7" s="1"/>
  <c r="AP86" i="7" s="1"/>
  <c r="AQ86" i="7" s="1"/>
  <c r="AR86" i="7" s="1"/>
  <c r="AS86" i="7" s="1"/>
  <c r="AT86" i="7" s="1"/>
  <c r="AU86" i="7" s="1"/>
  <c r="AV86" i="7" s="1"/>
  <c r="AW86" i="7" s="1"/>
  <c r="AX86" i="7" s="1"/>
  <c r="AY86" i="7" s="1"/>
  <c r="AZ86" i="7" s="1"/>
  <c r="BA86" i="7" s="1"/>
  <c r="X54" i="8"/>
  <c r="X55" i="8" s="1"/>
  <c r="X123" i="7"/>
  <c r="X127" i="7" s="1"/>
  <c r="X61" i="7"/>
  <c r="Y30" i="7"/>
  <c r="Z30" i="7" s="1"/>
  <c r="AA30" i="7" s="1"/>
  <c r="AB30" i="7" s="1"/>
  <c r="AC30" i="7" s="1"/>
  <c r="AD30" i="7" s="1"/>
  <c r="AE30" i="7" s="1"/>
  <c r="AF30" i="7" s="1"/>
  <c r="AG30" i="7" s="1"/>
  <c r="AH30" i="7" s="1"/>
  <c r="AI30" i="7" s="1"/>
  <c r="AJ30" i="7" s="1"/>
  <c r="AK30" i="7" s="1"/>
  <c r="AL30" i="7" s="1"/>
  <c r="AM30" i="7" s="1"/>
  <c r="AN30" i="7" s="1"/>
  <c r="AO30" i="7" s="1"/>
  <c r="AP30" i="7" s="1"/>
  <c r="AQ30" i="7" s="1"/>
  <c r="AR30" i="7" s="1"/>
  <c r="AS30" i="7" s="1"/>
  <c r="AT30" i="7" s="1"/>
  <c r="AU30" i="7" s="1"/>
  <c r="AV30" i="7" s="1"/>
  <c r="AW30" i="7" s="1"/>
  <c r="AX30" i="7" s="1"/>
  <c r="AY30" i="7" s="1"/>
  <c r="AZ30" i="7" s="1"/>
  <c r="BA30" i="7" s="1"/>
  <c r="X132" i="7"/>
  <c r="X134" i="7"/>
  <c r="X16" i="8" s="1"/>
  <c r="X19" i="5"/>
  <c r="X20" i="5" s="1"/>
  <c r="X14" i="8" s="1"/>
  <c r="Y9" i="5"/>
  <c r="Y26" i="5" s="1"/>
  <c r="AM20" i="8"/>
  <c r="AM42" i="8"/>
  <c r="AM43" i="6"/>
  <c r="X135" i="7" l="1"/>
  <c r="V72" i="9"/>
  <c r="X13" i="8"/>
  <c r="X128" i="7"/>
  <c r="X36" i="6" s="1"/>
  <c r="X62" i="6" s="1"/>
  <c r="X15" i="8"/>
  <c r="X18" i="8" s="1"/>
  <c r="X57" i="6"/>
  <c r="X63" i="7"/>
  <c r="X41" i="8" s="1"/>
  <c r="X30" i="8"/>
  <c r="V68" i="9"/>
  <c r="X35" i="6"/>
  <c r="AN30" i="6"/>
  <c r="AM35" i="8"/>
  <c r="X60" i="8"/>
  <c r="X19" i="8" l="1"/>
  <c r="Y131" i="7"/>
  <c r="X31" i="8"/>
  <c r="X64" i="8"/>
  <c r="AN31" i="6"/>
  <c r="X38" i="8"/>
  <c r="Y133" i="7" l="1"/>
  <c r="X49" i="8"/>
  <c r="X64" i="6"/>
  <c r="AN22" i="8"/>
  <c r="AN32" i="6"/>
  <c r="X50" i="8"/>
  <c r="X23" i="8"/>
  <c r="X28" i="6" s="1"/>
  <c r="V73" i="9"/>
  <c r="V69" i="9"/>
  <c r="AN40" i="6" l="1"/>
  <c r="AN41" i="6"/>
  <c r="X24" i="8"/>
  <c r="AN42" i="8" l="1"/>
  <c r="AN43" i="6"/>
  <c r="AN20" i="8"/>
  <c r="X25" i="8"/>
  <c r="X51" i="8"/>
  <c r="AN35" i="8" l="1"/>
  <c r="AO30" i="6"/>
  <c r="AO31" i="6" s="1"/>
  <c r="X52" i="8"/>
  <c r="X53" i="8" s="1"/>
  <c r="X61" i="8" s="1"/>
  <c r="X63" i="8" s="1"/>
  <c r="X26" i="8"/>
  <c r="X27" i="8" s="1"/>
  <c r="X40" i="8" s="1"/>
  <c r="X43" i="8" s="1"/>
  <c r="X44" i="8" s="1"/>
  <c r="X58" i="6" s="1"/>
  <c r="X59" i="6" s="1"/>
  <c r="X65" i="8" l="1"/>
  <c r="Y62" i="8"/>
  <c r="AO22" i="8"/>
  <c r="AO32" i="6"/>
  <c r="Y19" i="6"/>
  <c r="Y20" i="6" s="1"/>
  <c r="Y22" i="6" s="1"/>
  <c r="Y68" i="8" s="1"/>
  <c r="Y70" i="8" s="1"/>
  <c r="X71" i="8" l="1"/>
  <c r="AO40" i="6"/>
  <c r="AO20" i="8" s="1"/>
  <c r="AO41" i="6"/>
  <c r="X65" i="6"/>
  <c r="V74" i="9"/>
  <c r="X32" i="8"/>
  <c r="X33" i="8" s="1"/>
  <c r="X46" i="8" s="1"/>
  <c r="Y25" i="6"/>
  <c r="Y24" i="5" s="1"/>
  <c r="Y26" i="6"/>
  <c r="Y57" i="8"/>
  <c r="AO42" i="8" l="1"/>
  <c r="AO43" i="6"/>
  <c r="Y17" i="8"/>
  <c r="Y25" i="5"/>
  <c r="Y10" i="5" s="1"/>
  <c r="Y37" i="8"/>
  <c r="Z21" i="6"/>
  <c r="Z23" i="6"/>
  <c r="AP30" i="6" l="1"/>
  <c r="AP31" i="6" s="1"/>
  <c r="AO35" i="8"/>
  <c r="Y126" i="7"/>
  <c r="Y31" i="7"/>
  <c r="Y62" i="7"/>
  <c r="Y122" i="7" s="1"/>
  <c r="Y125" i="7"/>
  <c r="Y124" i="7"/>
  <c r="Y11" i="5"/>
  <c r="Y87" i="7"/>
  <c r="Z24" i="6"/>
  <c r="Z58" i="8" s="1"/>
  <c r="Z31" i="7" l="1"/>
  <c r="AA31" i="7" s="1"/>
  <c r="AB31" i="7" s="1"/>
  <c r="AC31" i="7" s="1"/>
  <c r="AD31" i="7" s="1"/>
  <c r="AE31" i="7" s="1"/>
  <c r="AF31" i="7" s="1"/>
  <c r="AG31" i="7" s="1"/>
  <c r="AH31" i="7" s="1"/>
  <c r="AI31" i="7" s="1"/>
  <c r="AJ31" i="7" s="1"/>
  <c r="AK31" i="7" s="1"/>
  <c r="AL31" i="7" s="1"/>
  <c r="AM31" i="7" s="1"/>
  <c r="AN31" i="7" s="1"/>
  <c r="AO31" i="7" s="1"/>
  <c r="AP31" i="7" s="1"/>
  <c r="AQ31" i="7" s="1"/>
  <c r="AR31" i="7" s="1"/>
  <c r="AS31" i="7" s="1"/>
  <c r="AT31" i="7" s="1"/>
  <c r="AU31" i="7" s="1"/>
  <c r="AV31" i="7" s="1"/>
  <c r="AW31" i="7" s="1"/>
  <c r="AX31" i="7" s="1"/>
  <c r="AY31" i="7" s="1"/>
  <c r="AZ31" i="7" s="1"/>
  <c r="BA31" i="7" s="1"/>
  <c r="Y61" i="7"/>
  <c r="Y54" i="8"/>
  <c r="Y55" i="8" s="1"/>
  <c r="Y123" i="7"/>
  <c r="Y127" i="7" s="1"/>
  <c r="Y134" i="7"/>
  <c r="Y16" i="8" s="1"/>
  <c r="Y132" i="7"/>
  <c r="Z9" i="5"/>
  <c r="Z26" i="5" s="1"/>
  <c r="Y19" i="5"/>
  <c r="Y20" i="5" s="1"/>
  <c r="Y14" i="8" s="1"/>
  <c r="Y117" i="7"/>
  <c r="Y119" i="7" s="1"/>
  <c r="Y10" i="8" s="1"/>
  <c r="Z87" i="7"/>
  <c r="AA87" i="7" s="1"/>
  <c r="AB87" i="7" s="1"/>
  <c r="AC87" i="7" s="1"/>
  <c r="AD87" i="7" s="1"/>
  <c r="AE87" i="7" s="1"/>
  <c r="AF87" i="7" s="1"/>
  <c r="AG87" i="7" s="1"/>
  <c r="AH87" i="7" s="1"/>
  <c r="AI87" i="7" s="1"/>
  <c r="AJ87" i="7" s="1"/>
  <c r="AK87" i="7" s="1"/>
  <c r="AL87" i="7" s="1"/>
  <c r="AM87" i="7" s="1"/>
  <c r="AN87" i="7" s="1"/>
  <c r="AO87" i="7" s="1"/>
  <c r="AP87" i="7" s="1"/>
  <c r="AQ87" i="7" s="1"/>
  <c r="AR87" i="7" s="1"/>
  <c r="AS87" i="7" s="1"/>
  <c r="AT87" i="7" s="1"/>
  <c r="AU87" i="7" s="1"/>
  <c r="AV87" i="7" s="1"/>
  <c r="AW87" i="7" s="1"/>
  <c r="AX87" i="7" s="1"/>
  <c r="AY87" i="7" s="1"/>
  <c r="AZ87" i="7" s="1"/>
  <c r="BA87" i="7" s="1"/>
  <c r="AP22" i="8"/>
  <c r="AP32" i="6"/>
  <c r="Y135" i="7" l="1"/>
  <c r="Y31" i="8" s="1"/>
  <c r="Y63" i="7"/>
  <c r="Y41" i="8" s="1"/>
  <c r="Y30" i="8"/>
  <c r="Y57" i="6"/>
  <c r="Y35" i="6"/>
  <c r="W68" i="9"/>
  <c r="Y128" i="7"/>
  <c r="Y36" i="6" s="1"/>
  <c r="Y62" i="6" s="1"/>
  <c r="Y15" i="8"/>
  <c r="Y18" i="8" s="1"/>
  <c r="W72" i="9"/>
  <c r="Y13" i="8"/>
  <c r="AP41" i="6"/>
  <c r="AP40" i="6"/>
  <c r="Y60" i="8"/>
  <c r="Z131" i="7" l="1"/>
  <c r="Y64" i="8"/>
  <c r="Y19" i="8"/>
  <c r="AP42" i="8"/>
  <c r="AP43" i="6"/>
  <c r="AP20" i="8"/>
  <c r="Y38" i="8"/>
  <c r="Z133" i="7" l="1"/>
  <c r="Y64" i="6"/>
  <c r="Y49" i="8"/>
  <c r="AP35" i="8"/>
  <c r="AQ30" i="6"/>
  <c r="AQ31" i="6" s="1"/>
  <c r="Y50" i="8"/>
  <c r="Y23" i="8"/>
  <c r="Y28" i="6" s="1"/>
  <c r="W69" i="9"/>
  <c r="W73" i="9"/>
  <c r="AQ22" i="8" l="1"/>
  <c r="AQ32" i="6"/>
  <c r="Y24" i="8"/>
  <c r="Y25" i="8" s="1"/>
  <c r="Y52" i="8" s="1"/>
  <c r="AQ41" i="6" l="1"/>
  <c r="AQ40" i="6"/>
  <c r="Y51" i="8"/>
  <c r="Y53" i="8" s="1"/>
  <c r="Y61" i="8" s="1"/>
  <c r="Y63" i="8" s="1"/>
  <c r="Y26" i="8"/>
  <c r="Y27" i="8" s="1"/>
  <c r="Y40" i="8" s="1"/>
  <c r="Y43" i="8" s="1"/>
  <c r="Y44" i="8" s="1"/>
  <c r="Y58" i="6" s="1"/>
  <c r="Y59" i="6" s="1"/>
  <c r="AQ20" i="8" l="1"/>
  <c r="AQ42" i="8"/>
  <c r="AQ43" i="6"/>
  <c r="Z62" i="8"/>
  <c r="Y65" i="8"/>
  <c r="Z19" i="6"/>
  <c r="Z20" i="6" s="1"/>
  <c r="Z22" i="6" s="1"/>
  <c r="Z68" i="8" s="1"/>
  <c r="Z70" i="8" s="1"/>
  <c r="Y65" i="6" l="1"/>
  <c r="Y71" i="8"/>
  <c r="AQ35" i="8"/>
  <c r="AR30" i="6"/>
  <c r="Y32" i="8"/>
  <c r="Y33" i="8" s="1"/>
  <c r="Y46" i="8" s="1"/>
  <c r="W74" i="9"/>
  <c r="Z25" i="6"/>
  <c r="Z24" i="5" s="1"/>
  <c r="Z57" i="8"/>
  <c r="Z26" i="6"/>
  <c r="AA23" i="6" s="1"/>
  <c r="AR31" i="6" l="1"/>
  <c r="Z17" i="8"/>
  <c r="Z25" i="5"/>
  <c r="Z10" i="5" s="1"/>
  <c r="Z37" i="8"/>
  <c r="AA21" i="6"/>
  <c r="AR22" i="8" l="1"/>
  <c r="AR32" i="6"/>
  <c r="AA24" i="6"/>
  <c r="AA58" i="8" s="1"/>
  <c r="Z88" i="7"/>
  <c r="Z32" i="7"/>
  <c r="Z124" i="7"/>
  <c r="Z125" i="7"/>
  <c r="Z126" i="7"/>
  <c r="Z11" i="5"/>
  <c r="Z62" i="7"/>
  <c r="Z122" i="7" s="1"/>
  <c r="AR41" i="6" l="1"/>
  <c r="AR40" i="6"/>
  <c r="AA88" i="7"/>
  <c r="AB88" i="7" s="1"/>
  <c r="AC88" i="7" s="1"/>
  <c r="AD88" i="7" s="1"/>
  <c r="AE88" i="7" s="1"/>
  <c r="AF88" i="7" s="1"/>
  <c r="AG88" i="7" s="1"/>
  <c r="AH88" i="7" s="1"/>
  <c r="AI88" i="7" s="1"/>
  <c r="AJ88" i="7" s="1"/>
  <c r="AK88" i="7" s="1"/>
  <c r="AL88" i="7" s="1"/>
  <c r="AM88" i="7" s="1"/>
  <c r="AN88" i="7" s="1"/>
  <c r="AO88" i="7" s="1"/>
  <c r="AP88" i="7" s="1"/>
  <c r="AQ88" i="7" s="1"/>
  <c r="AR88" i="7" s="1"/>
  <c r="AS88" i="7" s="1"/>
  <c r="AT88" i="7" s="1"/>
  <c r="AU88" i="7" s="1"/>
  <c r="AV88" i="7" s="1"/>
  <c r="AW88" i="7" s="1"/>
  <c r="AX88" i="7" s="1"/>
  <c r="AY88" i="7" s="1"/>
  <c r="AZ88" i="7" s="1"/>
  <c r="BA88" i="7" s="1"/>
  <c r="Z117" i="7"/>
  <c r="Z119" i="7" s="1"/>
  <c r="Z10" i="8" s="1"/>
  <c r="Z61" i="7"/>
  <c r="AA32" i="7"/>
  <c r="AB32" i="7" s="1"/>
  <c r="AC32" i="7" s="1"/>
  <c r="AD32" i="7" s="1"/>
  <c r="AE32" i="7" s="1"/>
  <c r="AF32" i="7" s="1"/>
  <c r="AG32" i="7" s="1"/>
  <c r="AH32" i="7" s="1"/>
  <c r="AI32" i="7" s="1"/>
  <c r="AJ32" i="7" s="1"/>
  <c r="AK32" i="7" s="1"/>
  <c r="AL32" i="7" s="1"/>
  <c r="AM32" i="7" s="1"/>
  <c r="AN32" i="7" s="1"/>
  <c r="AO32" i="7" s="1"/>
  <c r="AP32" i="7" s="1"/>
  <c r="AQ32" i="7" s="1"/>
  <c r="AR32" i="7" s="1"/>
  <c r="AS32" i="7" s="1"/>
  <c r="AT32" i="7" s="1"/>
  <c r="AU32" i="7" s="1"/>
  <c r="AV32" i="7" s="1"/>
  <c r="AW32" i="7" s="1"/>
  <c r="AX32" i="7" s="1"/>
  <c r="AY32" i="7" s="1"/>
  <c r="AZ32" i="7" s="1"/>
  <c r="BA32" i="7" s="1"/>
  <c r="Z132" i="7"/>
  <c r="AA9" i="5"/>
  <c r="AA26" i="5" s="1"/>
  <c r="Z19" i="5"/>
  <c r="Z20" i="5" s="1"/>
  <c r="Z14" i="8" s="1"/>
  <c r="Z134" i="7"/>
  <c r="Z16" i="8" s="1"/>
  <c r="Z123" i="7"/>
  <c r="Z127" i="7" s="1"/>
  <c r="Z54" i="8"/>
  <c r="Z55" i="8" s="1"/>
  <c r="Z135" i="7" l="1"/>
  <c r="Z64" i="8" s="1"/>
  <c r="AR42" i="8"/>
  <c r="AR43" i="6"/>
  <c r="AR20" i="8"/>
  <c r="Z35" i="6"/>
  <c r="Z57" i="6"/>
  <c r="Z128" i="7"/>
  <c r="Z36" i="6" s="1"/>
  <c r="Z62" i="6" s="1"/>
  <c r="Z15" i="8"/>
  <c r="Z18" i="8" s="1"/>
  <c r="Z63" i="7"/>
  <c r="Z41" i="8" s="1"/>
  <c r="Z30" i="8"/>
  <c r="X68" i="9"/>
  <c r="X72" i="9"/>
  <c r="Z13" i="8"/>
  <c r="AR35" i="8" l="1"/>
  <c r="AS30" i="6"/>
  <c r="AS31" i="6" s="1"/>
  <c r="AA131" i="7"/>
  <c r="Z31" i="8"/>
  <c r="Z19" i="8"/>
  <c r="AA133" i="7" l="1"/>
  <c r="Z49" i="8"/>
  <c r="Z64" i="6"/>
  <c r="AS22" i="8"/>
  <c r="AS32" i="6"/>
  <c r="Z60" i="8"/>
  <c r="AS40" i="6" l="1"/>
  <c r="AS41" i="6"/>
  <c r="Z38" i="8"/>
  <c r="X69" i="9"/>
  <c r="AS20" i="8" l="1"/>
  <c r="AS42" i="8"/>
  <c r="AS43" i="6"/>
  <c r="Z50" i="8"/>
  <c r="Z23" i="8"/>
  <c r="Z28" i="6" s="1"/>
  <c r="X73" i="9"/>
  <c r="AT30" i="6" l="1"/>
  <c r="AS35" i="8"/>
  <c r="Z24" i="8"/>
  <c r="Z25" i="8" s="1"/>
  <c r="Z52" i="8" s="1"/>
  <c r="AT31" i="6" l="1"/>
  <c r="Z51" i="8"/>
  <c r="Z53" i="8" s="1"/>
  <c r="Z61" i="8" s="1"/>
  <c r="Z63" i="8" s="1"/>
  <c r="Z26" i="8"/>
  <c r="Z27" i="8" s="1"/>
  <c r="Z40" i="8" s="1"/>
  <c r="Z43" i="8" s="1"/>
  <c r="Z44" i="8" s="1"/>
  <c r="Z58" i="6" s="1"/>
  <c r="Z59" i="6" s="1"/>
  <c r="AT22" i="8" l="1"/>
  <c r="AT32" i="6"/>
  <c r="Z65" i="8"/>
  <c r="AA62" i="8"/>
  <c r="AA19" i="6"/>
  <c r="AA20" i="6" s="1"/>
  <c r="AA22" i="6" s="1"/>
  <c r="AA68" i="8" s="1"/>
  <c r="AA70" i="8" s="1"/>
  <c r="Z65" i="6" l="1"/>
  <c r="Z71" i="8"/>
  <c r="AT40" i="6"/>
  <c r="AT41" i="6"/>
  <c r="Z32" i="8"/>
  <c r="Z33" i="8" s="1"/>
  <c r="Z46" i="8" s="1"/>
  <c r="X74" i="9"/>
  <c r="AA25" i="6"/>
  <c r="AA24" i="5" s="1"/>
  <c r="AA26" i="6"/>
  <c r="AB23" i="6" s="1"/>
  <c r="AA57" i="8"/>
  <c r="AT42" i="8" l="1"/>
  <c r="AT43" i="6"/>
  <c r="AT20" i="8"/>
  <c r="AA17" i="8"/>
  <c r="AA25" i="5"/>
  <c r="AA10" i="5" s="1"/>
  <c r="AA37" i="8"/>
  <c r="AB21" i="6"/>
  <c r="AT35" i="8" l="1"/>
  <c r="AU30" i="6"/>
  <c r="AU31" i="6" s="1"/>
  <c r="AB24" i="6"/>
  <c r="AB58" i="8" s="1"/>
  <c r="AA126" i="7"/>
  <c r="AA89" i="7"/>
  <c r="AA124" i="7"/>
  <c r="AA11" i="5"/>
  <c r="AA33" i="7"/>
  <c r="AA125" i="7"/>
  <c r="AA62" i="7"/>
  <c r="AA122" i="7" s="1"/>
  <c r="AB89" i="7" l="1"/>
  <c r="AC89" i="7" s="1"/>
  <c r="AD89" i="7" s="1"/>
  <c r="AE89" i="7" s="1"/>
  <c r="AF89" i="7" s="1"/>
  <c r="AG89" i="7" s="1"/>
  <c r="AH89" i="7" s="1"/>
  <c r="AI89" i="7" s="1"/>
  <c r="AJ89" i="7" s="1"/>
  <c r="AK89" i="7" s="1"/>
  <c r="AL89" i="7" s="1"/>
  <c r="AM89" i="7" s="1"/>
  <c r="AN89" i="7" s="1"/>
  <c r="AO89" i="7" s="1"/>
  <c r="AP89" i="7" s="1"/>
  <c r="AQ89" i="7" s="1"/>
  <c r="AR89" i="7" s="1"/>
  <c r="AS89" i="7" s="1"/>
  <c r="AT89" i="7" s="1"/>
  <c r="AU89" i="7" s="1"/>
  <c r="AV89" i="7" s="1"/>
  <c r="AW89" i="7" s="1"/>
  <c r="AX89" i="7" s="1"/>
  <c r="AY89" i="7" s="1"/>
  <c r="AZ89" i="7" s="1"/>
  <c r="BA89" i="7" s="1"/>
  <c r="AA117" i="7"/>
  <c r="AA119" i="7" s="1"/>
  <c r="AA10" i="8" s="1"/>
  <c r="AB33" i="7"/>
  <c r="AC33" i="7" s="1"/>
  <c r="AD33" i="7" s="1"/>
  <c r="AE33" i="7" s="1"/>
  <c r="AF33" i="7" s="1"/>
  <c r="AG33" i="7" s="1"/>
  <c r="AH33" i="7" s="1"/>
  <c r="AI33" i="7" s="1"/>
  <c r="AJ33" i="7" s="1"/>
  <c r="AK33" i="7" s="1"/>
  <c r="AL33" i="7" s="1"/>
  <c r="AM33" i="7" s="1"/>
  <c r="AN33" i="7" s="1"/>
  <c r="AO33" i="7" s="1"/>
  <c r="AP33" i="7" s="1"/>
  <c r="AQ33" i="7" s="1"/>
  <c r="AR33" i="7" s="1"/>
  <c r="AS33" i="7" s="1"/>
  <c r="AT33" i="7" s="1"/>
  <c r="AU33" i="7" s="1"/>
  <c r="AV33" i="7" s="1"/>
  <c r="AW33" i="7" s="1"/>
  <c r="AX33" i="7" s="1"/>
  <c r="AY33" i="7" s="1"/>
  <c r="AZ33" i="7" s="1"/>
  <c r="BA33" i="7" s="1"/>
  <c r="AA61" i="7"/>
  <c r="AU22" i="8"/>
  <c r="AU32" i="6"/>
  <c r="AA19" i="5"/>
  <c r="AA20" i="5" s="1"/>
  <c r="AA14" i="8" s="1"/>
  <c r="AB9" i="5"/>
  <c r="AB26" i="5" s="1"/>
  <c r="AA132" i="7"/>
  <c r="AA134" i="7"/>
  <c r="AA16" i="8" s="1"/>
  <c r="AA54" i="8"/>
  <c r="AA55" i="8" s="1"/>
  <c r="AA123" i="7"/>
  <c r="AA127" i="7" s="1"/>
  <c r="AA30" i="8" l="1"/>
  <c r="AA135" i="7"/>
  <c r="Y68" i="9"/>
  <c r="AA63" i="7"/>
  <c r="AA41" i="8" s="1"/>
  <c r="Y72" i="9"/>
  <c r="AA13" i="8"/>
  <c r="AA35" i="6"/>
  <c r="AA57" i="6"/>
  <c r="AU40" i="6"/>
  <c r="AU41" i="6"/>
  <c r="AA128" i="7"/>
  <c r="AA36" i="6" s="1"/>
  <c r="AA62" i="6" s="1"/>
  <c r="AA15" i="8"/>
  <c r="AA18" i="8" s="1"/>
  <c r="AA19" i="8" l="1"/>
  <c r="AU20" i="8"/>
  <c r="AU42" i="8"/>
  <c r="AU43" i="6"/>
  <c r="AA31" i="8"/>
  <c r="AB131" i="7"/>
  <c r="AA64" i="8"/>
  <c r="AA60" i="8"/>
  <c r="AB133" i="7" l="1"/>
  <c r="AA49" i="8"/>
  <c r="AA64" i="6"/>
  <c r="AV30" i="6"/>
  <c r="AU35" i="8"/>
  <c r="AA38" i="8"/>
  <c r="AV31" i="6" l="1"/>
  <c r="AA50" i="8"/>
  <c r="AA23" i="8"/>
  <c r="AA28" i="6" s="1"/>
  <c r="Y69" i="9"/>
  <c r="Y73" i="9"/>
  <c r="AV22" i="8" l="1"/>
  <c r="AV32" i="6"/>
  <c r="AA24" i="8"/>
  <c r="AV40" i="6" l="1"/>
  <c r="AV41" i="6"/>
  <c r="AA25" i="8"/>
  <c r="AA51" i="8"/>
  <c r="AV20" i="8" l="1"/>
  <c r="AV42" i="8"/>
  <c r="AV43" i="6"/>
  <c r="AA26" i="8"/>
  <c r="AA27" i="8" s="1"/>
  <c r="AA40" i="8" s="1"/>
  <c r="AA43" i="8" s="1"/>
  <c r="AA44" i="8" s="1"/>
  <c r="AA58" i="6" s="1"/>
  <c r="AA59" i="6" s="1"/>
  <c r="AA52" i="8"/>
  <c r="AA53" i="8" s="1"/>
  <c r="AA61" i="8" s="1"/>
  <c r="AA63" i="8" s="1"/>
  <c r="C18" i="9" a="1"/>
  <c r="AB62" i="8" l="1"/>
  <c r="AA65" i="8"/>
  <c r="AW30" i="6"/>
  <c r="AV35" i="8"/>
  <c r="AB19" i="6"/>
  <c r="AB20" i="6" s="1"/>
  <c r="AB22" i="6" s="1"/>
  <c r="AB68" i="8" s="1"/>
  <c r="AB70" i="8" s="1"/>
  <c r="AA71" i="8" l="1"/>
  <c r="AB24" i="5"/>
  <c r="AA65" i="6"/>
  <c r="AA32" i="8"/>
  <c r="AA33" i="8" s="1"/>
  <c r="AA46" i="8" s="1"/>
  <c r="Y74" i="9"/>
  <c r="AW31" i="6"/>
  <c r="AB57" i="8"/>
  <c r="AB25" i="6"/>
  <c r="AB26" i="6"/>
  <c r="AW22" i="8" l="1"/>
  <c r="AW32" i="6"/>
  <c r="AB25" i="5"/>
  <c r="AB10" i="5" s="1"/>
  <c r="AB17" i="8"/>
  <c r="AB37" i="8"/>
  <c r="AC21" i="6"/>
  <c r="AC23" i="6"/>
  <c r="C10" i="9" a="1"/>
  <c r="AW40" i="6" l="1"/>
  <c r="AW20" i="8" s="1"/>
  <c r="AW41" i="6"/>
  <c r="AB11" i="5"/>
  <c r="AB62" i="7"/>
  <c r="AB90" i="7"/>
  <c r="AB126" i="7"/>
  <c r="AB124" i="7"/>
  <c r="AB125" i="7"/>
  <c r="AB34" i="7"/>
  <c r="AC24" i="6"/>
  <c r="AC58" i="8" s="1"/>
  <c r="C11" i="9" a="1"/>
  <c r="C12" i="9" a="1"/>
  <c r="AW42" i="8" l="1"/>
  <c r="AW43" i="6"/>
  <c r="AC90" i="7"/>
  <c r="AD90" i="7" s="1"/>
  <c r="AE90" i="7" s="1"/>
  <c r="AF90" i="7" s="1"/>
  <c r="AG90" i="7" s="1"/>
  <c r="AH90" i="7" s="1"/>
  <c r="AI90" i="7" s="1"/>
  <c r="AJ90" i="7" s="1"/>
  <c r="AK90" i="7" s="1"/>
  <c r="AL90" i="7" s="1"/>
  <c r="AM90" i="7" s="1"/>
  <c r="AN90" i="7" s="1"/>
  <c r="AO90" i="7" s="1"/>
  <c r="AP90" i="7" s="1"/>
  <c r="AQ90" i="7" s="1"/>
  <c r="AR90" i="7" s="1"/>
  <c r="AS90" i="7" s="1"/>
  <c r="AT90" i="7" s="1"/>
  <c r="AU90" i="7" s="1"/>
  <c r="AV90" i="7" s="1"/>
  <c r="AW90" i="7" s="1"/>
  <c r="AX90" i="7" s="1"/>
  <c r="AY90" i="7" s="1"/>
  <c r="AZ90" i="7" s="1"/>
  <c r="BA90" i="7" s="1"/>
  <c r="AB117" i="7"/>
  <c r="AB119" i="7" s="1"/>
  <c r="AB10" i="8" s="1"/>
  <c r="Z72" i="9" s="1"/>
  <c r="AC34" i="7"/>
  <c r="AD34" i="7" s="1"/>
  <c r="AE34" i="7" s="1"/>
  <c r="AF34" i="7" s="1"/>
  <c r="AG34" i="7" s="1"/>
  <c r="AH34" i="7" s="1"/>
  <c r="AI34" i="7" s="1"/>
  <c r="AJ34" i="7" s="1"/>
  <c r="AK34" i="7" s="1"/>
  <c r="AL34" i="7" s="1"/>
  <c r="AM34" i="7" s="1"/>
  <c r="AN34" i="7" s="1"/>
  <c r="AO34" i="7" s="1"/>
  <c r="AP34" i="7" s="1"/>
  <c r="AQ34" i="7" s="1"/>
  <c r="AR34" i="7" s="1"/>
  <c r="AS34" i="7" s="1"/>
  <c r="AT34" i="7" s="1"/>
  <c r="AU34" i="7" s="1"/>
  <c r="AV34" i="7" s="1"/>
  <c r="AW34" i="7" s="1"/>
  <c r="AX34" i="7" s="1"/>
  <c r="AY34" i="7" s="1"/>
  <c r="AZ34" i="7" s="1"/>
  <c r="BA34" i="7" s="1"/>
  <c r="AB61" i="7"/>
  <c r="AB134" i="7"/>
  <c r="AB16" i="8" s="1"/>
  <c r="AC9" i="5"/>
  <c r="AC26" i="5" s="1"/>
  <c r="AB132" i="7"/>
  <c r="AB19" i="5"/>
  <c r="AB20" i="5" s="1"/>
  <c r="AB14" i="8" s="1"/>
  <c r="AB122" i="7"/>
  <c r="AC46" i="6"/>
  <c r="AB63" i="7" l="1"/>
  <c r="AB41" i="8" s="1"/>
  <c r="AB135" i="7"/>
  <c r="AX30" i="6"/>
  <c r="AX31" i="6" s="1"/>
  <c r="AW35" i="8"/>
  <c r="AB57" i="6"/>
  <c r="Z68" i="9"/>
  <c r="AB35" i="6"/>
  <c r="AB30" i="8"/>
  <c r="AC49" i="6"/>
  <c r="AC48" i="6"/>
  <c r="AB123" i="7"/>
  <c r="AB127" i="7" s="1"/>
  <c r="AB54" i="8"/>
  <c r="AB55" i="8" s="1"/>
  <c r="AB13" i="8"/>
  <c r="C17" i="9" a="1"/>
  <c r="AC59" i="8" l="1"/>
  <c r="AC54" i="6"/>
  <c r="AC50" i="6"/>
  <c r="AC21" i="8"/>
  <c r="AC53" i="6"/>
  <c r="AX22" i="8"/>
  <c r="AX32" i="6"/>
  <c r="AB31" i="8"/>
  <c r="C22" i="9" s="1" a="1"/>
  <c r="AB64" i="8"/>
  <c r="AC131" i="7"/>
  <c r="AB15" i="8"/>
  <c r="AB18" i="8" s="1"/>
  <c r="AB19" i="8" s="1"/>
  <c r="AB128" i="7"/>
  <c r="AB36" i="6" s="1"/>
  <c r="AB38" i="8"/>
  <c r="AB60" i="8"/>
  <c r="AB50" i="8"/>
  <c r="C20" i="9" a="1"/>
  <c r="C13" i="9" a="1"/>
  <c r="AC133" i="7" l="1"/>
  <c r="AC55" i="6"/>
  <c r="AC36" i="8"/>
  <c r="AC56" i="6"/>
  <c r="AB49" i="8"/>
  <c r="AB64" i="6"/>
  <c r="AX40" i="6"/>
  <c r="AX41" i="6"/>
  <c r="C34" i="9" a="1"/>
  <c r="F34" i="9" s="1"/>
  <c r="AB62" i="6"/>
  <c r="C14" i="9" a="1"/>
  <c r="AB23" i="8"/>
  <c r="AB28" i="6" s="1"/>
  <c r="Z69" i="9"/>
  <c r="C31" i="9" a="1"/>
  <c r="F31" i="9" s="1"/>
  <c r="C30" i="9" a="1"/>
  <c r="F30" i="9" s="1"/>
  <c r="Z73" i="9"/>
  <c r="AD46" i="6"/>
  <c r="AC60" i="6" l="1"/>
  <c r="AC61" i="6"/>
  <c r="AX20" i="8"/>
  <c r="AX42" i="8"/>
  <c r="AX43" i="6"/>
  <c r="AD49" i="6"/>
  <c r="AD48" i="6"/>
  <c r="AB24" i="8"/>
  <c r="AD59" i="8" l="1"/>
  <c r="AD54" i="6"/>
  <c r="AD50" i="6"/>
  <c r="AD21" i="8"/>
  <c r="AD53" i="6"/>
  <c r="AY30" i="6"/>
  <c r="AX35" i="8"/>
  <c r="AB51" i="8"/>
  <c r="AB25" i="8"/>
  <c r="C15" i="9" a="1"/>
  <c r="AD55" i="6" l="1"/>
  <c r="AD36" i="8"/>
  <c r="AD56" i="6"/>
  <c r="AY31" i="6"/>
  <c r="AB52" i="8"/>
  <c r="AB53" i="8" s="1"/>
  <c r="AB61" i="8" s="1"/>
  <c r="AB63" i="8" s="1"/>
  <c r="AB26" i="8"/>
  <c r="AB27" i="8" s="1"/>
  <c r="AB40" i="8" s="1"/>
  <c r="AB43" i="8" s="1"/>
  <c r="AB44" i="8" s="1"/>
  <c r="AB58" i="6" s="1"/>
  <c r="AB59" i="6" s="1"/>
  <c r="C21" i="9" a="1"/>
  <c r="C32" i="9" a="1"/>
  <c r="F32" i="9" s="1"/>
  <c r="C23" i="9" a="1"/>
  <c r="AE46" i="6"/>
  <c r="AD60" i="6" l="1"/>
  <c r="AD61" i="6"/>
  <c r="AB65" i="8"/>
  <c r="AC62" i="8"/>
  <c r="AY22" i="8"/>
  <c r="AY32" i="6"/>
  <c r="AE48" i="6"/>
  <c r="AE49" i="6"/>
  <c r="C33" i="9" a="1"/>
  <c r="F33" i="9" s="1"/>
  <c r="AC19" i="6"/>
  <c r="AC20" i="6" s="1"/>
  <c r="AC22" i="6" s="1"/>
  <c r="AC68" i="8" s="1"/>
  <c r="AC70" i="8" s="1"/>
  <c r="AB71" i="8" l="1"/>
  <c r="AB65" i="6"/>
  <c r="Z74" i="9"/>
  <c r="AB32" i="8"/>
  <c r="AB33" i="8" s="1"/>
  <c r="AB46" i="8" s="1"/>
  <c r="C36" i="9" s="1" a="1"/>
  <c r="F36" i="9" s="1"/>
  <c r="AE21" i="8"/>
  <c r="AE53" i="6"/>
  <c r="AE59" i="8"/>
  <c r="AE54" i="6"/>
  <c r="AE50" i="6"/>
  <c r="AY41" i="6"/>
  <c r="AY40" i="6"/>
  <c r="AC25" i="6"/>
  <c r="AC24" i="5" s="1"/>
  <c r="AC57" i="8"/>
  <c r="AC26" i="6"/>
  <c r="AD23" i="6" s="1"/>
  <c r="AE36" i="8" l="1"/>
  <c r="AE56" i="6"/>
  <c r="AE55" i="6"/>
  <c r="AY20" i="8"/>
  <c r="AY42" i="8"/>
  <c r="AY43" i="6"/>
  <c r="AC17" i="8"/>
  <c r="AC25" i="5"/>
  <c r="AC10" i="5" s="1"/>
  <c r="AC37" i="8"/>
  <c r="AD21" i="6"/>
  <c r="AF46" i="6"/>
  <c r="AE61" i="6" l="1"/>
  <c r="AE60" i="6"/>
  <c r="AY35" i="8"/>
  <c r="AZ30" i="6"/>
  <c r="AF49" i="6"/>
  <c r="AF48" i="6"/>
  <c r="AD24" i="6"/>
  <c r="AD58" i="8" s="1"/>
  <c r="AC35" i="7"/>
  <c r="AC11" i="5"/>
  <c r="AC91" i="7"/>
  <c r="AC126" i="7"/>
  <c r="AC62" i="7"/>
  <c r="AC122" i="7" s="1"/>
  <c r="AC124" i="7"/>
  <c r="AC125" i="7"/>
  <c r="AF59" i="8" l="1"/>
  <c r="AF54" i="6"/>
  <c r="AF50" i="6"/>
  <c r="AF21" i="8"/>
  <c r="AF53" i="6"/>
  <c r="AF55" i="6" s="1"/>
  <c r="AZ31" i="6"/>
  <c r="AC123" i="7"/>
  <c r="AC127" i="7" s="1"/>
  <c r="AC54" i="8"/>
  <c r="AC55" i="8" s="1"/>
  <c r="AD35" i="7"/>
  <c r="AE35" i="7" s="1"/>
  <c r="AF35" i="7" s="1"/>
  <c r="AG35" i="7" s="1"/>
  <c r="AH35" i="7" s="1"/>
  <c r="AI35" i="7" s="1"/>
  <c r="AJ35" i="7" s="1"/>
  <c r="AK35" i="7" s="1"/>
  <c r="AL35" i="7" s="1"/>
  <c r="AM35" i="7" s="1"/>
  <c r="AN35" i="7" s="1"/>
  <c r="AO35" i="7" s="1"/>
  <c r="AP35" i="7" s="1"/>
  <c r="AQ35" i="7" s="1"/>
  <c r="AR35" i="7" s="1"/>
  <c r="AS35" i="7" s="1"/>
  <c r="AT35" i="7" s="1"/>
  <c r="AU35" i="7" s="1"/>
  <c r="AV35" i="7" s="1"/>
  <c r="AW35" i="7" s="1"/>
  <c r="AX35" i="7" s="1"/>
  <c r="AY35" i="7" s="1"/>
  <c r="AZ35" i="7" s="1"/>
  <c r="BA35" i="7" s="1"/>
  <c r="AC61" i="7"/>
  <c r="AC117" i="7"/>
  <c r="AC119" i="7" s="1"/>
  <c r="AC10" i="8" s="1"/>
  <c r="AD91" i="7"/>
  <c r="AE91" i="7" s="1"/>
  <c r="AF91" i="7" s="1"/>
  <c r="AG91" i="7" s="1"/>
  <c r="AH91" i="7" s="1"/>
  <c r="AI91" i="7" s="1"/>
  <c r="AJ91" i="7" s="1"/>
  <c r="AK91" i="7" s="1"/>
  <c r="AL91" i="7" s="1"/>
  <c r="AM91" i="7" s="1"/>
  <c r="AN91" i="7" s="1"/>
  <c r="AO91" i="7" s="1"/>
  <c r="AP91" i="7" s="1"/>
  <c r="AQ91" i="7" s="1"/>
  <c r="AR91" i="7" s="1"/>
  <c r="AS91" i="7" s="1"/>
  <c r="AT91" i="7" s="1"/>
  <c r="AU91" i="7" s="1"/>
  <c r="AV91" i="7" s="1"/>
  <c r="AW91" i="7" s="1"/>
  <c r="AX91" i="7" s="1"/>
  <c r="AY91" i="7" s="1"/>
  <c r="AZ91" i="7" s="1"/>
  <c r="BA91" i="7" s="1"/>
  <c r="AC132" i="7"/>
  <c r="AC134" i="7"/>
  <c r="AC16" i="8" s="1"/>
  <c r="AC19" i="5"/>
  <c r="AC20" i="5" s="1"/>
  <c r="AC14" i="8" s="1"/>
  <c r="AD9" i="5"/>
  <c r="AD26" i="5" s="1"/>
  <c r="AC135" i="7" l="1"/>
  <c r="AC64" i="8" s="1"/>
  <c r="AF36" i="8"/>
  <c r="AF56" i="6"/>
  <c r="AF60" i="6"/>
  <c r="AF61" i="6"/>
  <c r="AZ22" i="8"/>
  <c r="AZ32" i="6"/>
  <c r="AC35" i="6"/>
  <c r="AC57" i="6"/>
  <c r="AC128" i="7"/>
  <c r="AC36" i="6" s="1"/>
  <c r="AC62" i="6" s="1"/>
  <c r="AC15" i="8"/>
  <c r="AC18" i="8" s="1"/>
  <c r="AA68" i="9"/>
  <c r="AC63" i="7"/>
  <c r="AC41" i="8" s="1"/>
  <c r="AC30" i="8"/>
  <c r="AC13" i="8"/>
  <c r="AA72" i="9"/>
  <c r="AG46" i="6"/>
  <c r="AZ41" i="6" l="1"/>
  <c r="AZ40" i="6"/>
  <c r="AG49" i="6"/>
  <c r="AG48" i="6"/>
  <c r="AC19" i="8"/>
  <c r="AD131" i="7"/>
  <c r="AC31" i="8"/>
  <c r="AD133" i="7" l="1"/>
  <c r="AG59" i="8"/>
  <c r="AG54" i="6"/>
  <c r="AG50" i="6"/>
  <c r="AG21" i="8"/>
  <c r="AG53" i="6"/>
  <c r="AC49" i="8"/>
  <c r="AC64" i="6"/>
  <c r="AZ42" i="8"/>
  <c r="AZ43" i="6"/>
  <c r="AZ20" i="8"/>
  <c r="AC60" i="8"/>
  <c r="AG55" i="6" l="1"/>
  <c r="AG36" i="8"/>
  <c r="AG56" i="6"/>
  <c r="BA30" i="6"/>
  <c r="BA31" i="6" s="1"/>
  <c r="AZ35" i="8"/>
  <c r="AC38" i="8"/>
  <c r="AH46" i="6"/>
  <c r="AG61" i="6" l="1"/>
  <c r="AG60" i="6"/>
  <c r="BA22" i="8"/>
  <c r="BA32" i="6"/>
  <c r="AH49" i="6"/>
  <c r="AH48" i="6"/>
  <c r="AC50" i="8"/>
  <c r="AC23" i="8"/>
  <c r="AC28" i="6" s="1"/>
  <c r="AA73" i="9"/>
  <c r="AA69" i="9"/>
  <c r="AH59" i="8" l="1"/>
  <c r="AH54" i="6"/>
  <c r="AH50" i="6"/>
  <c r="AH21" i="8"/>
  <c r="AH53" i="6"/>
  <c r="BA40" i="6"/>
  <c r="BA41" i="6"/>
  <c r="AC24" i="8"/>
  <c r="AH55" i="6" l="1"/>
  <c r="AH36" i="8"/>
  <c r="AH56" i="6"/>
  <c r="BA20" i="8"/>
  <c r="BA42" i="8"/>
  <c r="BA43" i="6"/>
  <c r="AC25" i="8"/>
  <c r="AC51" i="8"/>
  <c r="AI46" i="6"/>
  <c r="AH60" i="6" l="1"/>
  <c r="AH61" i="6"/>
  <c r="BA35" i="8"/>
  <c r="AI49" i="6"/>
  <c r="AI48" i="6"/>
  <c r="AC52" i="8"/>
  <c r="AC53" i="8" s="1"/>
  <c r="AC61" i="8" s="1"/>
  <c r="AC63" i="8" s="1"/>
  <c r="AC26" i="8"/>
  <c r="AC27" i="8" s="1"/>
  <c r="AC40" i="8" s="1"/>
  <c r="AC43" i="8" s="1"/>
  <c r="AC44" i="8" s="1"/>
  <c r="AC58" i="6" s="1"/>
  <c r="AC59" i="6" s="1"/>
  <c r="AI59" i="8" l="1"/>
  <c r="AI54" i="6"/>
  <c r="AI50" i="6"/>
  <c r="AI21" i="8"/>
  <c r="AI53" i="6"/>
  <c r="AC65" i="8"/>
  <c r="AD62" i="8"/>
  <c r="AD19" i="6"/>
  <c r="AD20" i="6" s="1"/>
  <c r="AD22" i="6" s="1"/>
  <c r="AD68" i="8" s="1"/>
  <c r="AD70" i="8" s="1"/>
  <c r="AC32" i="8" l="1"/>
  <c r="AC33" i="8" s="1"/>
  <c r="AC46" i="8" s="1"/>
  <c r="AC71" i="8"/>
  <c r="AC65" i="6"/>
  <c r="AA74" i="9"/>
  <c r="AI36" i="8"/>
  <c r="AI56" i="6"/>
  <c r="AI55" i="6"/>
  <c r="AD57" i="8"/>
  <c r="AD25" i="6"/>
  <c r="AD24" i="5" s="1"/>
  <c r="AD26" i="6"/>
  <c r="AJ46" i="6"/>
  <c r="AI61" i="6" l="1"/>
  <c r="AI60" i="6"/>
  <c r="AJ48" i="6"/>
  <c r="AJ49" i="6"/>
  <c r="AD25" i="5"/>
  <c r="AD10" i="5" s="1"/>
  <c r="AD17" i="8"/>
  <c r="AE21" i="6"/>
  <c r="AD37" i="8"/>
  <c r="AE23" i="6"/>
  <c r="AJ21" i="8" l="1"/>
  <c r="AJ53" i="6"/>
  <c r="AJ59" i="8"/>
  <c r="AJ54" i="6"/>
  <c r="AJ50" i="6"/>
  <c r="AD124" i="7"/>
  <c r="AD125" i="7"/>
  <c r="AD11" i="5"/>
  <c r="AD126" i="7"/>
  <c r="AD36" i="7"/>
  <c r="AD92" i="7"/>
  <c r="AD62" i="7"/>
  <c r="AE24" i="6"/>
  <c r="AE58" i="8" s="1"/>
  <c r="AJ36" i="8" l="1"/>
  <c r="AJ56" i="6"/>
  <c r="AJ55" i="6"/>
  <c r="AE36" i="7"/>
  <c r="AF36" i="7" s="1"/>
  <c r="AG36" i="7" s="1"/>
  <c r="AH36" i="7" s="1"/>
  <c r="AI36" i="7" s="1"/>
  <c r="AJ36" i="7" s="1"/>
  <c r="AK36" i="7" s="1"/>
  <c r="AL36" i="7" s="1"/>
  <c r="AM36" i="7" s="1"/>
  <c r="AN36" i="7" s="1"/>
  <c r="AO36" i="7" s="1"/>
  <c r="AP36" i="7" s="1"/>
  <c r="AQ36" i="7" s="1"/>
  <c r="AR36" i="7" s="1"/>
  <c r="AS36" i="7" s="1"/>
  <c r="AT36" i="7" s="1"/>
  <c r="AU36" i="7" s="1"/>
  <c r="AV36" i="7" s="1"/>
  <c r="AW36" i="7" s="1"/>
  <c r="AX36" i="7" s="1"/>
  <c r="AY36" i="7" s="1"/>
  <c r="AZ36" i="7" s="1"/>
  <c r="BA36" i="7" s="1"/>
  <c r="AD61" i="7"/>
  <c r="AE92" i="7"/>
  <c r="AF92" i="7" s="1"/>
  <c r="AG92" i="7" s="1"/>
  <c r="AH92" i="7" s="1"/>
  <c r="AI92" i="7" s="1"/>
  <c r="AJ92" i="7" s="1"/>
  <c r="AK92" i="7" s="1"/>
  <c r="AL92" i="7" s="1"/>
  <c r="AM92" i="7" s="1"/>
  <c r="AN92" i="7" s="1"/>
  <c r="AO92" i="7" s="1"/>
  <c r="AP92" i="7" s="1"/>
  <c r="AQ92" i="7" s="1"/>
  <c r="AR92" i="7" s="1"/>
  <c r="AS92" i="7" s="1"/>
  <c r="AT92" i="7" s="1"/>
  <c r="AU92" i="7" s="1"/>
  <c r="AV92" i="7" s="1"/>
  <c r="AW92" i="7" s="1"/>
  <c r="AX92" i="7" s="1"/>
  <c r="AY92" i="7" s="1"/>
  <c r="AZ92" i="7" s="1"/>
  <c r="BA92" i="7" s="1"/>
  <c r="AD117" i="7"/>
  <c r="AD119" i="7" s="1"/>
  <c r="AD10" i="8" s="1"/>
  <c r="AD122" i="7"/>
  <c r="AD134" i="7"/>
  <c r="AD16" i="8" s="1"/>
  <c r="AD132" i="7"/>
  <c r="AD19" i="5"/>
  <c r="AD20" i="5" s="1"/>
  <c r="AD14" i="8" s="1"/>
  <c r="AE9" i="5"/>
  <c r="AE26" i="5" s="1"/>
  <c r="AK46" i="6"/>
  <c r="AD63" i="7" l="1"/>
  <c r="AD41" i="8" s="1"/>
  <c r="AD135" i="7"/>
  <c r="AJ61" i="6"/>
  <c r="AJ60" i="6"/>
  <c r="AD57" i="6"/>
  <c r="AD35" i="6"/>
  <c r="AD30" i="8"/>
  <c r="AB68" i="9"/>
  <c r="AB72" i="9"/>
  <c r="AD13" i="8"/>
  <c r="AK49" i="6"/>
  <c r="AK48" i="6"/>
  <c r="AD54" i="8"/>
  <c r="AD55" i="8" s="1"/>
  <c r="AD123" i="7"/>
  <c r="AD127" i="7" s="1"/>
  <c r="AD60" i="8"/>
  <c r="AK59" i="8" l="1"/>
  <c r="AK54" i="6"/>
  <c r="AK50" i="6"/>
  <c r="AK21" i="8"/>
  <c r="AK53" i="6"/>
  <c r="AD15" i="8"/>
  <c r="AD18" i="8" s="1"/>
  <c r="AD19" i="8" s="1"/>
  <c r="AD128" i="7"/>
  <c r="AD36" i="6" s="1"/>
  <c r="AD64" i="8"/>
  <c r="AE131" i="7"/>
  <c r="AD31" i="8"/>
  <c r="AD50" i="8"/>
  <c r="AD38" i="8"/>
  <c r="AE133" i="7" l="1"/>
  <c r="AK55" i="6"/>
  <c r="AK36" i="8"/>
  <c r="AK56" i="6"/>
  <c r="AD49" i="8"/>
  <c r="AD64" i="6"/>
  <c r="AD62" i="6"/>
  <c r="AD23" i="8"/>
  <c r="AD28" i="6" s="1"/>
  <c r="AB73" i="9"/>
  <c r="AB69" i="9"/>
  <c r="AL46" i="6"/>
  <c r="AK60" i="6" l="1"/>
  <c r="AK61" i="6"/>
  <c r="AL49" i="6"/>
  <c r="AL48" i="6"/>
  <c r="AD24" i="8"/>
  <c r="AL59" i="8" l="1"/>
  <c r="AL54" i="6"/>
  <c r="AL50" i="6"/>
  <c r="AL21" i="8"/>
  <c r="AL53" i="6"/>
  <c r="AD25" i="8"/>
  <c r="AD51" i="8"/>
  <c r="AL55" i="6" l="1"/>
  <c r="AL36" i="8"/>
  <c r="AL56" i="6"/>
  <c r="AD52" i="8"/>
  <c r="AD53" i="8" s="1"/>
  <c r="AD61" i="8" s="1"/>
  <c r="AD63" i="8" s="1"/>
  <c r="AD26" i="8"/>
  <c r="AD27" i="8" s="1"/>
  <c r="AD40" i="8" s="1"/>
  <c r="AD43" i="8" s="1"/>
  <c r="AD44" i="8" s="1"/>
  <c r="AD58" i="6" s="1"/>
  <c r="AD59" i="6" s="1"/>
  <c r="AM46" i="6"/>
  <c r="AL61" i="6" l="1"/>
  <c r="AL60" i="6"/>
  <c r="AE62" i="8"/>
  <c r="AD65" i="8"/>
  <c r="AM48" i="6"/>
  <c r="AM49" i="6"/>
  <c r="AE19" i="6"/>
  <c r="AE20" i="6" s="1"/>
  <c r="AE22" i="6" s="1"/>
  <c r="AE68" i="8" s="1"/>
  <c r="AE70" i="8" s="1"/>
  <c r="AB74" i="9" l="1"/>
  <c r="AD71" i="8"/>
  <c r="AD65" i="6"/>
  <c r="AD32" i="8"/>
  <c r="AD33" i="8" s="1"/>
  <c r="AD46" i="8" s="1"/>
  <c r="AM21" i="8"/>
  <c r="AM53" i="6"/>
  <c r="AM59" i="8"/>
  <c r="AM54" i="6"/>
  <c r="AM50" i="6"/>
  <c r="AE25" i="6"/>
  <c r="AE24" i="5" s="1"/>
  <c r="AE57" i="8"/>
  <c r="AE26" i="6"/>
  <c r="AF23" i="6" s="1"/>
  <c r="AM36" i="8" l="1"/>
  <c r="AM56" i="6"/>
  <c r="AM55" i="6"/>
  <c r="AE17" i="8"/>
  <c r="AE25" i="5"/>
  <c r="AE10" i="5" s="1"/>
  <c r="AE37" i="8"/>
  <c r="AF21" i="6"/>
  <c r="AF24" i="6" s="1"/>
  <c r="AF58" i="8" s="1"/>
  <c r="AN46" i="6"/>
  <c r="AM60" i="6" l="1"/>
  <c r="AM61" i="6"/>
  <c r="AN49" i="6"/>
  <c r="AN48" i="6"/>
  <c r="AE37" i="7"/>
  <c r="AE11" i="5"/>
  <c r="AE62" i="7"/>
  <c r="AE124" i="7"/>
  <c r="AE126" i="7"/>
  <c r="AE125" i="7"/>
  <c r="AE93" i="7"/>
  <c r="AN59" i="8" l="1"/>
  <c r="AN54" i="6"/>
  <c r="AN50" i="6"/>
  <c r="AN21" i="8"/>
  <c r="AN53" i="6"/>
  <c r="AN55" i="6" s="1"/>
  <c r="AF37" i="7"/>
  <c r="AG37" i="7" s="1"/>
  <c r="AH37" i="7" s="1"/>
  <c r="AI37" i="7" s="1"/>
  <c r="AJ37" i="7" s="1"/>
  <c r="AK37" i="7" s="1"/>
  <c r="AL37" i="7" s="1"/>
  <c r="AM37" i="7" s="1"/>
  <c r="AN37" i="7" s="1"/>
  <c r="AO37" i="7" s="1"/>
  <c r="AP37" i="7" s="1"/>
  <c r="AQ37" i="7" s="1"/>
  <c r="AR37" i="7" s="1"/>
  <c r="AS37" i="7" s="1"/>
  <c r="AT37" i="7" s="1"/>
  <c r="AU37" i="7" s="1"/>
  <c r="AV37" i="7" s="1"/>
  <c r="AW37" i="7" s="1"/>
  <c r="AX37" i="7" s="1"/>
  <c r="AY37" i="7" s="1"/>
  <c r="AZ37" i="7" s="1"/>
  <c r="BA37" i="7" s="1"/>
  <c r="AE61" i="7"/>
  <c r="AF93" i="7"/>
  <c r="AG93" i="7" s="1"/>
  <c r="AH93" i="7" s="1"/>
  <c r="AI93" i="7" s="1"/>
  <c r="AJ93" i="7" s="1"/>
  <c r="AK93" i="7" s="1"/>
  <c r="AL93" i="7" s="1"/>
  <c r="AM93" i="7" s="1"/>
  <c r="AN93" i="7" s="1"/>
  <c r="AO93" i="7" s="1"/>
  <c r="AP93" i="7" s="1"/>
  <c r="AQ93" i="7" s="1"/>
  <c r="AR93" i="7" s="1"/>
  <c r="AS93" i="7" s="1"/>
  <c r="AT93" i="7" s="1"/>
  <c r="AU93" i="7" s="1"/>
  <c r="AV93" i="7" s="1"/>
  <c r="AW93" i="7" s="1"/>
  <c r="AX93" i="7" s="1"/>
  <c r="AY93" i="7" s="1"/>
  <c r="AZ93" i="7" s="1"/>
  <c r="BA93" i="7" s="1"/>
  <c r="AE117" i="7"/>
  <c r="AE119" i="7" s="1"/>
  <c r="AE10" i="8" s="1"/>
  <c r="AE19" i="5"/>
  <c r="AE20" i="5" s="1"/>
  <c r="AE14" i="8" s="1"/>
  <c r="AE132" i="7"/>
  <c r="AE134" i="7"/>
  <c r="AF9" i="5"/>
  <c r="AF26" i="5" s="1"/>
  <c r="AE122" i="7"/>
  <c r="AE63" i="7" l="1"/>
  <c r="AE41" i="8" s="1"/>
  <c r="AE135" i="7"/>
  <c r="AN36" i="8"/>
  <c r="AN56" i="6"/>
  <c r="AN60" i="6"/>
  <c r="AN61" i="6"/>
  <c r="AC68" i="9"/>
  <c r="AE30" i="8"/>
  <c r="AE35" i="6"/>
  <c r="AE57" i="6"/>
  <c r="AE13" i="8"/>
  <c r="AC72" i="9"/>
  <c r="AE16" i="8"/>
  <c r="AE123" i="7"/>
  <c r="AE127" i="7" s="1"/>
  <c r="AE54" i="8"/>
  <c r="AE55" i="8" s="1"/>
  <c r="AE60" i="8"/>
  <c r="AO46" i="6"/>
  <c r="AO49" i="6" l="1"/>
  <c r="AO48" i="6"/>
  <c r="AE128" i="7"/>
  <c r="AE36" i="6" s="1"/>
  <c r="AE15" i="8"/>
  <c r="AE18" i="8" s="1"/>
  <c r="AE19" i="8" s="1"/>
  <c r="AF131" i="7"/>
  <c r="AE31" i="8"/>
  <c r="AE64" i="8"/>
  <c r="AE50" i="8"/>
  <c r="AE38" i="8"/>
  <c r="AC69" i="9"/>
  <c r="AF133" i="7" l="1"/>
  <c r="AO59" i="8"/>
  <c r="AO54" i="6"/>
  <c r="AO50" i="6"/>
  <c r="AO21" i="8"/>
  <c r="AO53" i="6"/>
  <c r="AE49" i="8"/>
  <c r="AE64" i="6"/>
  <c r="AE62" i="6"/>
  <c r="AE23" i="8"/>
  <c r="AE28" i="6" s="1"/>
  <c r="AC73" i="9"/>
  <c r="AO36" i="8" l="1"/>
  <c r="AO56" i="6"/>
  <c r="AO55" i="6"/>
  <c r="AE24" i="8"/>
  <c r="AE25" i="8" s="1"/>
  <c r="AE52" i="8" s="1"/>
  <c r="AP46" i="6"/>
  <c r="AO61" i="6" l="1"/>
  <c r="AO60" i="6"/>
  <c r="AP49" i="6"/>
  <c r="AP48" i="6"/>
  <c r="AE51" i="8"/>
  <c r="AE53" i="8" s="1"/>
  <c r="AE61" i="8" s="1"/>
  <c r="AE63" i="8" s="1"/>
  <c r="AE26" i="8"/>
  <c r="AE27" i="8" s="1"/>
  <c r="AE40" i="8" s="1"/>
  <c r="AE43" i="8" s="1"/>
  <c r="AE44" i="8" s="1"/>
  <c r="AE58" i="6" s="1"/>
  <c r="AE59" i="6" s="1"/>
  <c r="AP59" i="8" l="1"/>
  <c r="AP54" i="6"/>
  <c r="AP50" i="6"/>
  <c r="AP21" i="8"/>
  <c r="AP53" i="6"/>
  <c r="AE65" i="8"/>
  <c r="AF62" i="8"/>
  <c r="AF19" i="6"/>
  <c r="AF20" i="6" s="1"/>
  <c r="AF22" i="6" s="1"/>
  <c r="AF68" i="8" s="1"/>
  <c r="AF70" i="8" s="1"/>
  <c r="AE65" i="6" l="1"/>
  <c r="AE71" i="8"/>
  <c r="AP55" i="6"/>
  <c r="AP36" i="8"/>
  <c r="AP56" i="6"/>
  <c r="AC74" i="9"/>
  <c r="AE32" i="8"/>
  <c r="AE33" i="8" s="1"/>
  <c r="AE46" i="8" s="1"/>
  <c r="AF57" i="8"/>
  <c r="AF25" i="6"/>
  <c r="AF24" i="5" s="1"/>
  <c r="AF26" i="6"/>
  <c r="AG23" i="6" s="1"/>
  <c r="AQ46" i="6"/>
  <c r="AP61" i="6" l="1"/>
  <c r="AP60" i="6"/>
  <c r="AQ49" i="6"/>
  <c r="AQ48" i="6"/>
  <c r="AF17" i="8"/>
  <c r="AF25" i="5"/>
  <c r="AF10" i="5" s="1"/>
  <c r="AF37" i="8"/>
  <c r="AG21" i="6"/>
  <c r="AQ59" i="8" l="1"/>
  <c r="AQ54" i="6"/>
  <c r="AQ50" i="6"/>
  <c r="AQ21" i="8"/>
  <c r="AQ53" i="6"/>
  <c r="AG24" i="6"/>
  <c r="AG58" i="8" s="1"/>
  <c r="AF126" i="7"/>
  <c r="AF62" i="7"/>
  <c r="AF122" i="7" s="1"/>
  <c r="AF94" i="7"/>
  <c r="AF11" i="5"/>
  <c r="AF125" i="7"/>
  <c r="AF38" i="7"/>
  <c r="AF124" i="7"/>
  <c r="AQ36" i="8" l="1"/>
  <c r="AQ56" i="6"/>
  <c r="AQ55" i="6"/>
  <c r="AF19" i="5"/>
  <c r="AF20" i="5" s="1"/>
  <c r="AF14" i="8" s="1"/>
  <c r="AF132" i="7"/>
  <c r="AF117" i="7"/>
  <c r="AF119" i="7" s="1"/>
  <c r="AF10" i="8" s="1"/>
  <c r="AG94" i="7"/>
  <c r="AH94" i="7" s="1"/>
  <c r="AI94" i="7" s="1"/>
  <c r="AJ94" i="7" s="1"/>
  <c r="AK94" i="7" s="1"/>
  <c r="AL94" i="7" s="1"/>
  <c r="AM94" i="7" s="1"/>
  <c r="AN94" i="7" s="1"/>
  <c r="AO94" i="7" s="1"/>
  <c r="AP94" i="7" s="1"/>
  <c r="AQ94" i="7" s="1"/>
  <c r="AR94" i="7" s="1"/>
  <c r="AS94" i="7" s="1"/>
  <c r="AT94" i="7" s="1"/>
  <c r="AU94" i="7" s="1"/>
  <c r="AV94" i="7" s="1"/>
  <c r="AW94" i="7" s="1"/>
  <c r="AX94" i="7" s="1"/>
  <c r="AY94" i="7" s="1"/>
  <c r="AZ94" i="7" s="1"/>
  <c r="BA94" i="7" s="1"/>
  <c r="AG9" i="5"/>
  <c r="AG26" i="5" s="1"/>
  <c r="AF134" i="7"/>
  <c r="AF61" i="7"/>
  <c r="AG38" i="7"/>
  <c r="AH38" i="7" s="1"/>
  <c r="AI38" i="7" s="1"/>
  <c r="AJ38" i="7" s="1"/>
  <c r="AK38" i="7" s="1"/>
  <c r="AL38" i="7" s="1"/>
  <c r="AM38" i="7" s="1"/>
  <c r="AN38" i="7" s="1"/>
  <c r="AO38" i="7" s="1"/>
  <c r="AP38" i="7" s="1"/>
  <c r="AQ38" i="7" s="1"/>
  <c r="AR38" i="7" s="1"/>
  <c r="AS38" i="7" s="1"/>
  <c r="AT38" i="7" s="1"/>
  <c r="AU38" i="7" s="1"/>
  <c r="AV38" i="7" s="1"/>
  <c r="AW38" i="7" s="1"/>
  <c r="AX38" i="7" s="1"/>
  <c r="AY38" i="7" s="1"/>
  <c r="AZ38" i="7" s="1"/>
  <c r="BA38" i="7" s="1"/>
  <c r="AF54" i="8"/>
  <c r="AF55" i="8" s="1"/>
  <c r="AF123" i="7"/>
  <c r="AF127" i="7" s="1"/>
  <c r="AR46" i="6"/>
  <c r="AF135" i="7" l="1"/>
  <c r="AQ60" i="6"/>
  <c r="AQ61" i="6"/>
  <c r="AF35" i="6"/>
  <c r="AF57" i="6"/>
  <c r="AR48" i="6"/>
  <c r="AR49" i="6"/>
  <c r="AF13" i="8"/>
  <c r="AD72" i="9"/>
  <c r="AF128" i="7"/>
  <c r="AF36" i="6" s="1"/>
  <c r="AF62" i="6" s="1"/>
  <c r="AF15" i="8"/>
  <c r="AF16" i="8"/>
  <c r="AF30" i="8"/>
  <c r="AF63" i="7"/>
  <c r="AF41" i="8" s="1"/>
  <c r="AD68" i="9"/>
  <c r="AR21" i="8" l="1"/>
  <c r="AR53" i="6"/>
  <c r="AR59" i="8"/>
  <c r="AR54" i="6"/>
  <c r="AR50" i="6"/>
  <c r="AF18" i="8"/>
  <c r="AF19" i="8" s="1"/>
  <c r="AG131" i="7"/>
  <c r="AF31" i="8"/>
  <c r="AF64" i="8"/>
  <c r="AG133" i="7" l="1"/>
  <c r="AR36" i="8"/>
  <c r="AR56" i="6"/>
  <c r="AR55" i="6"/>
  <c r="AF49" i="8"/>
  <c r="AF64" i="6"/>
  <c r="AF60" i="8"/>
  <c r="AS46" i="6"/>
  <c r="AR60" i="6" l="1"/>
  <c r="AR61" i="6"/>
  <c r="AS49" i="6"/>
  <c r="AS48" i="6"/>
  <c r="AF38" i="8"/>
  <c r="AS59" i="8" l="1"/>
  <c r="AS54" i="6"/>
  <c r="AS50" i="6"/>
  <c r="AS21" i="8"/>
  <c r="AS53" i="6"/>
  <c r="AF50" i="8"/>
  <c r="AF23" i="8"/>
  <c r="AF28" i="6" s="1"/>
  <c r="AD73" i="9"/>
  <c r="AD69" i="9"/>
  <c r="AS36" i="8" l="1"/>
  <c r="AS56" i="6"/>
  <c r="AS55" i="6"/>
  <c r="AF24" i="8"/>
  <c r="AF25" i="8" s="1"/>
  <c r="AF52" i="8" s="1"/>
  <c r="AT46" i="6"/>
  <c r="AS60" i="6" l="1"/>
  <c r="AS61" i="6"/>
  <c r="AT49" i="6"/>
  <c r="AT48" i="6"/>
  <c r="AF51" i="8"/>
  <c r="AF53" i="8" s="1"/>
  <c r="AF61" i="8" s="1"/>
  <c r="AF63" i="8" s="1"/>
  <c r="AF26" i="8"/>
  <c r="AF27" i="8" s="1"/>
  <c r="AF40" i="8" s="1"/>
  <c r="AF43" i="8" s="1"/>
  <c r="AF44" i="8" s="1"/>
  <c r="AF58" i="6" s="1"/>
  <c r="AF59" i="6" s="1"/>
  <c r="AT59" i="8" l="1"/>
  <c r="AT54" i="6"/>
  <c r="AT50" i="6"/>
  <c r="AT21" i="8"/>
  <c r="AT53" i="6"/>
  <c r="AG62" i="8"/>
  <c r="AF65" i="8"/>
  <c r="AG19" i="6"/>
  <c r="AG20" i="6" s="1"/>
  <c r="AG22" i="6" s="1"/>
  <c r="AG68" i="8" s="1"/>
  <c r="AG70" i="8" s="1"/>
  <c r="AF65" i="6" l="1"/>
  <c r="AF71" i="8"/>
  <c r="AT36" i="8"/>
  <c r="AT56" i="6"/>
  <c r="AT55" i="6"/>
  <c r="AD74" i="9"/>
  <c r="AF32" i="8"/>
  <c r="AF33" i="8" s="1"/>
  <c r="AF46" i="8" s="1"/>
  <c r="AG26" i="6"/>
  <c r="AH23" i="6" s="1"/>
  <c r="AG25" i="6"/>
  <c r="AG24" i="5" s="1"/>
  <c r="AG57" i="8"/>
  <c r="AU46" i="6"/>
  <c r="AT61" i="6" l="1"/>
  <c r="AT60" i="6"/>
  <c r="AU49" i="6"/>
  <c r="AU48" i="6"/>
  <c r="AH21" i="6"/>
  <c r="AG37" i="8"/>
  <c r="AG25" i="5"/>
  <c r="AG10" i="5" s="1"/>
  <c r="AG17" i="8"/>
  <c r="AU59" i="8" l="1"/>
  <c r="AU54" i="6"/>
  <c r="AU50" i="6"/>
  <c r="AU21" i="8"/>
  <c r="AU53" i="6"/>
  <c r="AH24" i="6"/>
  <c r="AH58" i="8" s="1"/>
  <c r="AG39" i="7"/>
  <c r="AG11" i="5"/>
  <c r="AG125" i="7"/>
  <c r="AG124" i="7"/>
  <c r="AG95" i="7"/>
  <c r="AG126" i="7"/>
  <c r="AG62" i="7"/>
  <c r="AG122" i="7" s="1"/>
  <c r="AU36" i="8" l="1"/>
  <c r="AU56" i="6"/>
  <c r="AU55" i="6"/>
  <c r="AG61" i="7"/>
  <c r="AH39" i="7"/>
  <c r="AI39" i="7" s="1"/>
  <c r="AJ39" i="7" s="1"/>
  <c r="AK39" i="7" s="1"/>
  <c r="AL39" i="7" s="1"/>
  <c r="AM39" i="7" s="1"/>
  <c r="AN39" i="7" s="1"/>
  <c r="AO39" i="7" s="1"/>
  <c r="AP39" i="7" s="1"/>
  <c r="AQ39" i="7" s="1"/>
  <c r="AR39" i="7" s="1"/>
  <c r="AS39" i="7" s="1"/>
  <c r="AT39" i="7" s="1"/>
  <c r="AU39" i="7" s="1"/>
  <c r="AV39" i="7" s="1"/>
  <c r="AW39" i="7" s="1"/>
  <c r="AX39" i="7" s="1"/>
  <c r="AY39" i="7" s="1"/>
  <c r="AZ39" i="7" s="1"/>
  <c r="BA39" i="7" s="1"/>
  <c r="AG19" i="5"/>
  <c r="AG20" i="5" s="1"/>
  <c r="AG14" i="8" s="1"/>
  <c r="AG132" i="7"/>
  <c r="AG134" i="7"/>
  <c r="AG16" i="8" s="1"/>
  <c r="AH9" i="5"/>
  <c r="AH26" i="5" s="1"/>
  <c r="AG117" i="7"/>
  <c r="AG119" i="7" s="1"/>
  <c r="AG10" i="8" s="1"/>
  <c r="AH95" i="7"/>
  <c r="AI95" i="7" s="1"/>
  <c r="AJ95" i="7" s="1"/>
  <c r="AK95" i="7" s="1"/>
  <c r="AL95" i="7" s="1"/>
  <c r="AM95" i="7" s="1"/>
  <c r="AN95" i="7" s="1"/>
  <c r="AO95" i="7" s="1"/>
  <c r="AP95" i="7" s="1"/>
  <c r="AQ95" i="7" s="1"/>
  <c r="AR95" i="7" s="1"/>
  <c r="AS95" i="7" s="1"/>
  <c r="AT95" i="7" s="1"/>
  <c r="AU95" i="7" s="1"/>
  <c r="AV95" i="7" s="1"/>
  <c r="AW95" i="7" s="1"/>
  <c r="AX95" i="7" s="1"/>
  <c r="AY95" i="7" s="1"/>
  <c r="AZ95" i="7" s="1"/>
  <c r="BA95" i="7" s="1"/>
  <c r="AG54" i="8"/>
  <c r="AG55" i="8" s="1"/>
  <c r="AG123" i="7"/>
  <c r="AG127" i="7" s="1"/>
  <c r="AV46" i="6"/>
  <c r="AG135" i="7" l="1"/>
  <c r="AU60" i="6"/>
  <c r="AU61" i="6"/>
  <c r="AG35" i="6"/>
  <c r="AG57" i="6"/>
  <c r="AV49" i="6"/>
  <c r="AV48" i="6"/>
  <c r="AG30" i="8"/>
  <c r="AG63" i="7"/>
  <c r="AG41" i="8" s="1"/>
  <c r="AE68" i="9"/>
  <c r="AE72" i="9"/>
  <c r="AG13" i="8"/>
  <c r="AG128" i="7"/>
  <c r="AG36" i="6" s="1"/>
  <c r="AG62" i="6" s="1"/>
  <c r="AG15" i="8"/>
  <c r="AG18" i="8" s="1"/>
  <c r="AV59" i="8" l="1"/>
  <c r="AV54" i="6"/>
  <c r="AV50" i="6"/>
  <c r="AV21" i="8"/>
  <c r="AV53" i="6"/>
  <c r="AG19" i="8"/>
  <c r="AG31" i="8"/>
  <c r="AG64" i="8"/>
  <c r="AH131" i="7"/>
  <c r="AH133" i="7" l="1"/>
  <c r="AV55" i="6"/>
  <c r="AV36" i="8"/>
  <c r="AV56" i="6"/>
  <c r="AG49" i="8"/>
  <c r="AG64" i="6"/>
  <c r="AG60" i="8"/>
  <c r="AW46" i="6"/>
  <c r="AV60" i="6" l="1"/>
  <c r="AV61" i="6"/>
  <c r="AW48" i="6"/>
  <c r="AW49" i="6"/>
  <c r="AE69" i="9"/>
  <c r="AG38" i="8"/>
  <c r="AW21" i="8" l="1"/>
  <c r="AW53" i="6"/>
  <c r="AW59" i="8"/>
  <c r="AW54" i="6"/>
  <c r="AW50" i="6"/>
  <c r="AG50" i="8"/>
  <c r="AG23" i="8"/>
  <c r="AG28" i="6" s="1"/>
  <c r="AG24" i="8" s="1"/>
  <c r="AE73" i="9"/>
  <c r="AW55" i="6" l="1"/>
  <c r="AW36" i="8"/>
  <c r="AW56" i="6"/>
  <c r="AG25" i="8"/>
  <c r="AG51" i="8"/>
  <c r="AX46" i="6"/>
  <c r="AW61" i="6" l="1"/>
  <c r="AW60" i="6"/>
  <c r="AX49" i="6"/>
  <c r="AX48" i="6"/>
  <c r="AG52" i="8"/>
  <c r="AG53" i="8" s="1"/>
  <c r="AG61" i="8" s="1"/>
  <c r="AG63" i="8" s="1"/>
  <c r="AG26" i="8"/>
  <c r="AG27" i="8" s="1"/>
  <c r="AG40" i="8" s="1"/>
  <c r="AG43" i="8" s="1"/>
  <c r="AG44" i="8" s="1"/>
  <c r="AG58" i="6" s="1"/>
  <c r="AG59" i="6" s="1"/>
  <c r="AX59" i="8" l="1"/>
  <c r="AX54" i="6"/>
  <c r="AX50" i="6"/>
  <c r="AX21" i="8"/>
  <c r="AX53" i="6"/>
  <c r="AH62" i="8"/>
  <c r="AG65" i="8"/>
  <c r="AH19" i="6"/>
  <c r="AH20" i="6" s="1"/>
  <c r="AH22" i="6" s="1"/>
  <c r="AH68" i="8" s="1"/>
  <c r="AH70" i="8" s="1"/>
  <c r="AG71" i="8" l="1"/>
  <c r="AX55" i="6"/>
  <c r="AG65" i="6"/>
  <c r="AG32" i="8"/>
  <c r="AG33" i="8" s="1"/>
  <c r="AG46" i="8" s="1"/>
  <c r="AE74" i="9"/>
  <c r="AX36" i="8"/>
  <c r="AX56" i="6"/>
  <c r="AH26" i="6"/>
  <c r="AH57" i="8"/>
  <c r="AH25" i="6"/>
  <c r="AH24" i="5" s="1"/>
  <c r="AY46" i="6"/>
  <c r="AX61" i="6" l="1"/>
  <c r="AX60" i="6"/>
  <c r="AY49" i="6"/>
  <c r="AY48" i="6"/>
  <c r="AH37" i="8"/>
  <c r="AI21" i="6"/>
  <c r="AI23" i="6"/>
  <c r="AH17" i="8"/>
  <c r="AH25" i="5"/>
  <c r="AH10" i="5" s="1"/>
  <c r="AY59" i="8" l="1"/>
  <c r="AY54" i="6"/>
  <c r="AY50" i="6"/>
  <c r="AY21" i="8"/>
  <c r="AY53" i="6"/>
  <c r="AH62" i="7"/>
  <c r="AH125" i="7"/>
  <c r="AH96" i="7"/>
  <c r="AH124" i="7"/>
  <c r="AH126" i="7"/>
  <c r="AH40" i="7"/>
  <c r="AH11" i="5"/>
  <c r="AI24" i="6"/>
  <c r="AI58" i="8" s="1"/>
  <c r="AY55" i="6" l="1"/>
  <c r="AY36" i="8"/>
  <c r="AY56" i="6"/>
  <c r="AY60" i="6"/>
  <c r="AY61" i="6"/>
  <c r="AI96" i="7"/>
  <c r="AJ96" i="7" s="1"/>
  <c r="AK96" i="7" s="1"/>
  <c r="AL96" i="7" s="1"/>
  <c r="AM96" i="7" s="1"/>
  <c r="AN96" i="7" s="1"/>
  <c r="AO96" i="7" s="1"/>
  <c r="AP96" i="7" s="1"/>
  <c r="AQ96" i="7" s="1"/>
  <c r="AR96" i="7" s="1"/>
  <c r="AS96" i="7" s="1"/>
  <c r="AT96" i="7" s="1"/>
  <c r="AU96" i="7" s="1"/>
  <c r="AV96" i="7" s="1"/>
  <c r="AW96" i="7" s="1"/>
  <c r="AX96" i="7" s="1"/>
  <c r="AY96" i="7" s="1"/>
  <c r="AZ96" i="7" s="1"/>
  <c r="BA96" i="7" s="1"/>
  <c r="AH117" i="7"/>
  <c r="AH119" i="7" s="1"/>
  <c r="AH10" i="8" s="1"/>
  <c r="AI40" i="7"/>
  <c r="AJ40" i="7" s="1"/>
  <c r="AK40" i="7" s="1"/>
  <c r="AL40" i="7" s="1"/>
  <c r="AM40" i="7" s="1"/>
  <c r="AN40" i="7" s="1"/>
  <c r="AO40" i="7" s="1"/>
  <c r="AP40" i="7" s="1"/>
  <c r="AQ40" i="7" s="1"/>
  <c r="AR40" i="7" s="1"/>
  <c r="AS40" i="7" s="1"/>
  <c r="AT40" i="7" s="1"/>
  <c r="AU40" i="7" s="1"/>
  <c r="AV40" i="7" s="1"/>
  <c r="AW40" i="7" s="1"/>
  <c r="AX40" i="7" s="1"/>
  <c r="AY40" i="7" s="1"/>
  <c r="AZ40" i="7" s="1"/>
  <c r="BA40" i="7" s="1"/>
  <c r="AH61" i="7"/>
  <c r="AH122" i="7"/>
  <c r="AH132" i="7"/>
  <c r="AH134" i="7"/>
  <c r="AH16" i="8" s="1"/>
  <c r="AI9" i="5"/>
  <c r="AI26" i="5" s="1"/>
  <c r="AH19" i="5"/>
  <c r="AH20" i="5" s="1"/>
  <c r="AH14" i="8" s="1"/>
  <c r="AZ46" i="6"/>
  <c r="AH63" i="7" l="1"/>
  <c r="AH41" i="8" s="1"/>
  <c r="AH135" i="7"/>
  <c r="AF72" i="9"/>
  <c r="AH13" i="8"/>
  <c r="AH30" i="8"/>
  <c r="AF68" i="9"/>
  <c r="AH57" i="6"/>
  <c r="AH35" i="6"/>
  <c r="AZ49" i="6"/>
  <c r="AZ48" i="6"/>
  <c r="AH54" i="8"/>
  <c r="AH55" i="8" s="1"/>
  <c r="AH123" i="7"/>
  <c r="AH127" i="7" s="1"/>
  <c r="AH60" i="8"/>
  <c r="AZ59" i="8" l="1"/>
  <c r="AZ54" i="6"/>
  <c r="AZ50" i="6"/>
  <c r="AZ21" i="8"/>
  <c r="AZ53" i="6"/>
  <c r="AH15" i="8"/>
  <c r="AH18" i="8" s="1"/>
  <c r="AH19" i="8" s="1"/>
  <c r="AH128" i="7"/>
  <c r="AH36" i="6" s="1"/>
  <c r="AH64" i="8"/>
  <c r="AH31" i="8"/>
  <c r="AI131" i="7"/>
  <c r="AH38" i="8"/>
  <c r="AH50" i="8"/>
  <c r="AI133" i="7" l="1"/>
  <c r="AZ55" i="6"/>
  <c r="AZ36" i="8"/>
  <c r="AZ56" i="6"/>
  <c r="AH49" i="8"/>
  <c r="AH64" i="6"/>
  <c r="AH62" i="6"/>
  <c r="AH23" i="8"/>
  <c r="AH28" i="6" s="1"/>
  <c r="AF69" i="9"/>
  <c r="AF73" i="9"/>
  <c r="BA46" i="6"/>
  <c r="AZ60" i="6" l="1"/>
  <c r="AZ61" i="6"/>
  <c r="BA48" i="6"/>
  <c r="BA49" i="6"/>
  <c r="AH24" i="8"/>
  <c r="BA21" i="8" l="1"/>
  <c r="BA53" i="6"/>
  <c r="BA59" i="8"/>
  <c r="BA54" i="6"/>
  <c r="BA50" i="6"/>
  <c r="AH25" i="8"/>
  <c r="AH51" i="8"/>
  <c r="BA55" i="6" l="1"/>
  <c r="BA36" i="8"/>
  <c r="BA56" i="6"/>
  <c r="AH26" i="8"/>
  <c r="AH27" i="8" s="1"/>
  <c r="AH40" i="8" s="1"/>
  <c r="AH43" i="8" s="1"/>
  <c r="AH44" i="8" s="1"/>
  <c r="AH58" i="6" s="1"/>
  <c r="AH59" i="6" s="1"/>
  <c r="AH52" i="8"/>
  <c r="AH53" i="8" s="1"/>
  <c r="AH61" i="8" s="1"/>
  <c r="AH63" i="8" s="1"/>
  <c r="BA61" i="6" l="1"/>
  <c r="BA60" i="6"/>
  <c r="AI62" i="8"/>
  <c r="AH65" i="8"/>
  <c r="AI19" i="6"/>
  <c r="AI20" i="6" s="1"/>
  <c r="AI22" i="6" s="1"/>
  <c r="AI68" i="8" s="1"/>
  <c r="AI70" i="8" s="1"/>
  <c r="AH32" i="8" l="1"/>
  <c r="AH33" i="8" s="1"/>
  <c r="AH46" i="8" s="1"/>
  <c r="AH71" i="8"/>
  <c r="AH65" i="6"/>
  <c r="AF74" i="9"/>
  <c r="AI25" i="6"/>
  <c r="AI24" i="5" s="1"/>
  <c r="AI26" i="6"/>
  <c r="AI57" i="8"/>
  <c r="AJ23" i="6"/>
  <c r="AI17" i="8" l="1"/>
  <c r="AI25" i="5"/>
  <c r="AI10" i="5" s="1"/>
  <c r="AI37" i="8"/>
  <c r="AJ21" i="6"/>
  <c r="AJ24" i="6" s="1"/>
  <c r="AJ58" i="8" s="1"/>
  <c r="AI97" i="7" l="1"/>
  <c r="AI62" i="7"/>
  <c r="AI41" i="7"/>
  <c r="AI125" i="7"/>
  <c r="AI126" i="7"/>
  <c r="AI11" i="5"/>
  <c r="AI124" i="7"/>
  <c r="AJ97" i="7" l="1"/>
  <c r="AK97" i="7" s="1"/>
  <c r="AL97" i="7" s="1"/>
  <c r="AM97" i="7" s="1"/>
  <c r="AN97" i="7" s="1"/>
  <c r="AO97" i="7" s="1"/>
  <c r="AP97" i="7" s="1"/>
  <c r="AQ97" i="7" s="1"/>
  <c r="AR97" i="7" s="1"/>
  <c r="AS97" i="7" s="1"/>
  <c r="AT97" i="7" s="1"/>
  <c r="AU97" i="7" s="1"/>
  <c r="AV97" i="7" s="1"/>
  <c r="AW97" i="7" s="1"/>
  <c r="AX97" i="7" s="1"/>
  <c r="AY97" i="7" s="1"/>
  <c r="AZ97" i="7" s="1"/>
  <c r="BA97" i="7" s="1"/>
  <c r="AI117" i="7"/>
  <c r="AI119" i="7" s="1"/>
  <c r="AI10" i="8" s="1"/>
  <c r="AJ41" i="7"/>
  <c r="AK41" i="7" s="1"/>
  <c r="AL41" i="7" s="1"/>
  <c r="AM41" i="7" s="1"/>
  <c r="AN41" i="7" s="1"/>
  <c r="AO41" i="7" s="1"/>
  <c r="AP41" i="7" s="1"/>
  <c r="AQ41" i="7" s="1"/>
  <c r="AR41" i="7" s="1"/>
  <c r="AS41" i="7" s="1"/>
  <c r="AT41" i="7" s="1"/>
  <c r="AU41" i="7" s="1"/>
  <c r="AV41" i="7" s="1"/>
  <c r="AW41" i="7" s="1"/>
  <c r="AX41" i="7" s="1"/>
  <c r="AY41" i="7" s="1"/>
  <c r="AZ41" i="7" s="1"/>
  <c r="BA41" i="7" s="1"/>
  <c r="AI61" i="7"/>
  <c r="AI122" i="7"/>
  <c r="AI132" i="7"/>
  <c r="AJ9" i="5"/>
  <c r="AJ26" i="5" s="1"/>
  <c r="AI134" i="7"/>
  <c r="AI16" i="8" s="1"/>
  <c r="AI19" i="5"/>
  <c r="AI20" i="5" s="1"/>
  <c r="AI14" i="8" s="1"/>
  <c r="AI63" i="7" l="1"/>
  <c r="AI41" i="8" s="1"/>
  <c r="AI135" i="7"/>
  <c r="AI13" i="8"/>
  <c r="AG72" i="9"/>
  <c r="AI57" i="6"/>
  <c r="AI35" i="6"/>
  <c r="AI30" i="8"/>
  <c r="AG68" i="9"/>
  <c r="AI123" i="7"/>
  <c r="AI127" i="7" s="1"/>
  <c r="AI54" i="8"/>
  <c r="AI55" i="8" s="1"/>
  <c r="AI60" i="8"/>
  <c r="AI15" i="8" l="1"/>
  <c r="AI18" i="8" s="1"/>
  <c r="AI19" i="8" s="1"/>
  <c r="AI128" i="7"/>
  <c r="AI36" i="6" s="1"/>
  <c r="AJ131" i="7"/>
  <c r="AI64" i="8"/>
  <c r="AI31" i="8"/>
  <c r="AI38" i="8"/>
  <c r="AI50" i="8"/>
  <c r="AJ133" i="7" l="1"/>
  <c r="AI49" i="8"/>
  <c r="AI64" i="6"/>
  <c r="AI62" i="6"/>
  <c r="AI23" i="8"/>
  <c r="AI28" i="6" s="1"/>
  <c r="AG69" i="9"/>
  <c r="AG73" i="9"/>
  <c r="AI24" i="8" l="1"/>
  <c r="AI51" i="8" l="1"/>
  <c r="AI25" i="8"/>
  <c r="AI52" i="8" l="1"/>
  <c r="AI53" i="8" s="1"/>
  <c r="AI61" i="8" s="1"/>
  <c r="AI63" i="8" s="1"/>
  <c r="AI26" i="8"/>
  <c r="AI27" i="8" s="1"/>
  <c r="AI40" i="8" s="1"/>
  <c r="AI43" i="8" s="1"/>
  <c r="AI44" i="8" s="1"/>
  <c r="AI58" i="6" s="1"/>
  <c r="AI59" i="6" s="1"/>
  <c r="AJ62" i="8" l="1"/>
  <c r="AI65" i="8"/>
  <c r="AJ19" i="6"/>
  <c r="AJ20" i="6" s="1"/>
  <c r="AJ22" i="6" s="1"/>
  <c r="AJ68" i="8" s="1"/>
  <c r="AJ70" i="8" s="1"/>
  <c r="AI71" i="8" l="1"/>
  <c r="AI65" i="6"/>
  <c r="AI32" i="8"/>
  <c r="AI33" i="8" s="1"/>
  <c r="AI46" i="8" s="1"/>
  <c r="AG74" i="9"/>
  <c r="AJ57" i="8"/>
  <c r="AJ25" i="6"/>
  <c r="AJ24" i="5" s="1"/>
  <c r="AJ26" i="6"/>
  <c r="AK23" i="6"/>
  <c r="AJ17" i="8" l="1"/>
  <c r="AJ25" i="5"/>
  <c r="AJ10" i="5" s="1"/>
  <c r="AK21" i="6"/>
  <c r="AK24" i="6" s="1"/>
  <c r="AK58" i="8" s="1"/>
  <c r="AJ37" i="8"/>
  <c r="AJ98" i="7" l="1"/>
  <c r="AJ11" i="5"/>
  <c r="AJ126" i="7"/>
  <c r="AJ62" i="7"/>
  <c r="AJ124" i="7"/>
  <c r="AJ125" i="7"/>
  <c r="AJ42" i="7"/>
  <c r="AK98" i="7" l="1"/>
  <c r="AL98" i="7" s="1"/>
  <c r="AM98" i="7" s="1"/>
  <c r="AN98" i="7" s="1"/>
  <c r="AO98" i="7" s="1"/>
  <c r="AP98" i="7" s="1"/>
  <c r="AQ98" i="7" s="1"/>
  <c r="AR98" i="7" s="1"/>
  <c r="AS98" i="7" s="1"/>
  <c r="AT98" i="7" s="1"/>
  <c r="AU98" i="7" s="1"/>
  <c r="AV98" i="7" s="1"/>
  <c r="AW98" i="7" s="1"/>
  <c r="AX98" i="7" s="1"/>
  <c r="AY98" i="7" s="1"/>
  <c r="AZ98" i="7" s="1"/>
  <c r="BA98" i="7" s="1"/>
  <c r="AJ117" i="7"/>
  <c r="AJ119" i="7" s="1"/>
  <c r="AJ10" i="8" s="1"/>
  <c r="AK42" i="7"/>
  <c r="AL42" i="7" s="1"/>
  <c r="AM42" i="7" s="1"/>
  <c r="AN42" i="7" s="1"/>
  <c r="AO42" i="7" s="1"/>
  <c r="AP42" i="7" s="1"/>
  <c r="AQ42" i="7" s="1"/>
  <c r="AR42" i="7" s="1"/>
  <c r="AS42" i="7" s="1"/>
  <c r="AT42" i="7" s="1"/>
  <c r="AU42" i="7" s="1"/>
  <c r="AV42" i="7" s="1"/>
  <c r="AW42" i="7" s="1"/>
  <c r="AX42" i="7" s="1"/>
  <c r="AY42" i="7" s="1"/>
  <c r="AZ42" i="7" s="1"/>
  <c r="BA42" i="7" s="1"/>
  <c r="AJ61" i="7"/>
  <c r="AJ132" i="7"/>
  <c r="AJ134" i="7"/>
  <c r="AJ16" i="8" s="1"/>
  <c r="AK9" i="5"/>
  <c r="AK26" i="5" s="1"/>
  <c r="AJ19" i="5"/>
  <c r="AJ20" i="5" s="1"/>
  <c r="AJ14" i="8" s="1"/>
  <c r="AJ122" i="7"/>
  <c r="AJ63" i="7" l="1"/>
  <c r="AJ41" i="8" s="1"/>
  <c r="AJ135" i="7"/>
  <c r="AJ13" i="8"/>
  <c r="AH72" i="9"/>
  <c r="AJ57" i="6"/>
  <c r="AJ35" i="6"/>
  <c r="AH68" i="9"/>
  <c r="AJ30" i="8"/>
  <c r="AJ54" i="8"/>
  <c r="AJ55" i="8" s="1"/>
  <c r="AJ123" i="7"/>
  <c r="AJ127" i="7" s="1"/>
  <c r="AJ60" i="8"/>
  <c r="AJ64" i="8" l="1"/>
  <c r="AJ31" i="8"/>
  <c r="AK131" i="7"/>
  <c r="AJ15" i="8"/>
  <c r="AJ18" i="8" s="1"/>
  <c r="AJ19" i="8" s="1"/>
  <c r="AJ128" i="7"/>
  <c r="AJ36" i="6" s="1"/>
  <c r="AJ38" i="8"/>
  <c r="AH69" i="9"/>
  <c r="AK133" i="7" l="1"/>
  <c r="AJ64" i="6"/>
  <c r="AJ49" i="8"/>
  <c r="AJ62" i="6"/>
  <c r="AJ50" i="8"/>
  <c r="AJ23" i="8"/>
  <c r="AJ28" i="6" s="1"/>
  <c r="AH73" i="9"/>
  <c r="AJ24" i="8" l="1"/>
  <c r="AJ25" i="8" l="1"/>
  <c r="AJ51" i="8"/>
  <c r="AJ52" i="8" l="1"/>
  <c r="AJ53" i="8" s="1"/>
  <c r="AJ61" i="8" s="1"/>
  <c r="AJ63" i="8" s="1"/>
  <c r="AJ26" i="8"/>
  <c r="AJ27" i="8" s="1"/>
  <c r="AJ40" i="8" s="1"/>
  <c r="AJ43" i="8" s="1"/>
  <c r="AJ44" i="8" s="1"/>
  <c r="AJ58" i="6" s="1"/>
  <c r="AJ59" i="6" s="1"/>
  <c r="AK62" i="8" l="1"/>
  <c r="AJ65" i="8"/>
  <c r="AK19" i="6"/>
  <c r="AK20" i="6" s="1"/>
  <c r="AK22" i="6" s="1"/>
  <c r="AK68" i="8" s="1"/>
  <c r="AK70" i="8" s="1"/>
  <c r="AJ71" i="8" l="1"/>
  <c r="AJ65" i="6"/>
  <c r="AJ32" i="8"/>
  <c r="AJ33" i="8" s="1"/>
  <c r="AJ46" i="8" s="1"/>
  <c r="AH74" i="9"/>
  <c r="AK57" i="8"/>
  <c r="AK25" i="6"/>
  <c r="AK24" i="5" s="1"/>
  <c r="AK26" i="6"/>
  <c r="AK17" i="8" l="1"/>
  <c r="AK25" i="5"/>
  <c r="AK10" i="5" s="1"/>
  <c r="AK37" i="8"/>
  <c r="AL21" i="6"/>
  <c r="AL23" i="6"/>
  <c r="AL24" i="6" l="1"/>
  <c r="AL58" i="8" s="1"/>
  <c r="AK62" i="7"/>
  <c r="AK43" i="7"/>
  <c r="AK11" i="5"/>
  <c r="AK126" i="7"/>
  <c r="AK125" i="7"/>
  <c r="AK99" i="7"/>
  <c r="AK124" i="7"/>
  <c r="AL43" i="7" l="1"/>
  <c r="AM43" i="7" s="1"/>
  <c r="AN43" i="7" s="1"/>
  <c r="AO43" i="7" s="1"/>
  <c r="AP43" i="7" s="1"/>
  <c r="AQ43" i="7" s="1"/>
  <c r="AR43" i="7" s="1"/>
  <c r="AS43" i="7" s="1"/>
  <c r="AT43" i="7" s="1"/>
  <c r="AU43" i="7" s="1"/>
  <c r="AV43" i="7" s="1"/>
  <c r="AW43" i="7" s="1"/>
  <c r="AX43" i="7" s="1"/>
  <c r="AY43" i="7" s="1"/>
  <c r="AZ43" i="7" s="1"/>
  <c r="BA43" i="7" s="1"/>
  <c r="AK61" i="7"/>
  <c r="AL99" i="7"/>
  <c r="AM99" i="7" s="1"/>
  <c r="AN99" i="7" s="1"/>
  <c r="AO99" i="7" s="1"/>
  <c r="AP99" i="7" s="1"/>
  <c r="AQ99" i="7" s="1"/>
  <c r="AR99" i="7" s="1"/>
  <c r="AS99" i="7" s="1"/>
  <c r="AT99" i="7" s="1"/>
  <c r="AU99" i="7" s="1"/>
  <c r="AV99" i="7" s="1"/>
  <c r="AW99" i="7" s="1"/>
  <c r="AX99" i="7" s="1"/>
  <c r="AY99" i="7" s="1"/>
  <c r="AZ99" i="7" s="1"/>
  <c r="BA99" i="7" s="1"/>
  <c r="AK117" i="7"/>
  <c r="AK119" i="7" s="1"/>
  <c r="AK10" i="8" s="1"/>
  <c r="AK122" i="7"/>
  <c r="AK132" i="7"/>
  <c r="AK19" i="5"/>
  <c r="AK20" i="5" s="1"/>
  <c r="AK14" i="8" s="1"/>
  <c r="AL9" i="5"/>
  <c r="AL26" i="5" s="1"/>
  <c r="AK134" i="7"/>
  <c r="AK16" i="8" s="1"/>
  <c r="AK63" i="7" l="1"/>
  <c r="AK41" i="8" s="1"/>
  <c r="AK135" i="7"/>
  <c r="AK35" i="6"/>
  <c r="AK30" i="8"/>
  <c r="AI68" i="9"/>
  <c r="AK57" i="6"/>
  <c r="AI72" i="9"/>
  <c r="AK13" i="8"/>
  <c r="AK54" i="8"/>
  <c r="AK55" i="8" s="1"/>
  <c r="AK123" i="7"/>
  <c r="AK127" i="7" s="1"/>
  <c r="AK60" i="8"/>
  <c r="AK15" i="8" l="1"/>
  <c r="AK18" i="8" s="1"/>
  <c r="AK19" i="8" s="1"/>
  <c r="AK128" i="7"/>
  <c r="AK36" i="6" s="1"/>
  <c r="AK31" i="8"/>
  <c r="AK64" i="8"/>
  <c r="AL131" i="7"/>
  <c r="AK38" i="8"/>
  <c r="AL133" i="7" l="1"/>
  <c r="AK64" i="6"/>
  <c r="AK49" i="8"/>
  <c r="AK62" i="6"/>
  <c r="AK50" i="8"/>
  <c r="AK23" i="8"/>
  <c r="AK28" i="6" s="1"/>
  <c r="AI73" i="9"/>
  <c r="AI69" i="9"/>
  <c r="AK24" i="8" l="1"/>
  <c r="AK25" i="8" s="1"/>
  <c r="AK52" i="8" s="1"/>
  <c r="AK51" i="8" l="1"/>
  <c r="AK53" i="8" s="1"/>
  <c r="AK61" i="8" s="1"/>
  <c r="AK63" i="8" s="1"/>
  <c r="AK26" i="8"/>
  <c r="AK27" i="8" s="1"/>
  <c r="AK40" i="8" s="1"/>
  <c r="AK43" i="8" s="1"/>
  <c r="AK44" i="8" s="1"/>
  <c r="AK58" i="6" s="1"/>
  <c r="AK59" i="6" s="1"/>
  <c r="AK65" i="8" l="1"/>
  <c r="AL62" i="8"/>
  <c r="AL19" i="6"/>
  <c r="AL20" i="6" s="1"/>
  <c r="AL22" i="6" s="1"/>
  <c r="AL68" i="8" s="1"/>
  <c r="AL70" i="8" s="1"/>
  <c r="AK65" i="6" l="1"/>
  <c r="AK71" i="8"/>
  <c r="AI74" i="9"/>
  <c r="AK32" i="8"/>
  <c r="AK33" i="8" s="1"/>
  <c r="AK46" i="8" s="1"/>
  <c r="AL57" i="8"/>
  <c r="AL26" i="6"/>
  <c r="AM23" i="6" s="1"/>
  <c r="AL25" i="6"/>
  <c r="AL24" i="5" s="1"/>
  <c r="AL17" i="8" l="1"/>
  <c r="AL25" i="5"/>
  <c r="AL10" i="5" s="1"/>
  <c r="AM21" i="6"/>
  <c r="AL37" i="8"/>
  <c r="AM24" i="6" l="1"/>
  <c r="AM58" i="8" s="1"/>
  <c r="AL62" i="7"/>
  <c r="AL122" i="7" s="1"/>
  <c r="AL100" i="7"/>
  <c r="AL124" i="7"/>
  <c r="AL125" i="7"/>
  <c r="AL44" i="7"/>
  <c r="AL11" i="5"/>
  <c r="AL126" i="7"/>
  <c r="AM44" i="7" l="1"/>
  <c r="AN44" i="7" s="1"/>
  <c r="AO44" i="7" s="1"/>
  <c r="AP44" i="7" s="1"/>
  <c r="AQ44" i="7" s="1"/>
  <c r="AR44" i="7" s="1"/>
  <c r="AS44" i="7" s="1"/>
  <c r="AT44" i="7" s="1"/>
  <c r="AU44" i="7" s="1"/>
  <c r="AV44" i="7" s="1"/>
  <c r="AW44" i="7" s="1"/>
  <c r="AX44" i="7" s="1"/>
  <c r="AY44" i="7" s="1"/>
  <c r="AZ44" i="7" s="1"/>
  <c r="BA44" i="7" s="1"/>
  <c r="AL61" i="7"/>
  <c r="AM100" i="7"/>
  <c r="AN100" i="7" s="1"/>
  <c r="AO100" i="7" s="1"/>
  <c r="AP100" i="7" s="1"/>
  <c r="AQ100" i="7" s="1"/>
  <c r="AR100" i="7" s="1"/>
  <c r="AS100" i="7" s="1"/>
  <c r="AT100" i="7" s="1"/>
  <c r="AU100" i="7" s="1"/>
  <c r="AV100" i="7" s="1"/>
  <c r="AW100" i="7" s="1"/>
  <c r="AX100" i="7" s="1"/>
  <c r="AY100" i="7" s="1"/>
  <c r="AZ100" i="7" s="1"/>
  <c r="BA100" i="7" s="1"/>
  <c r="AL117" i="7"/>
  <c r="AL119" i="7" s="1"/>
  <c r="AL10" i="8" s="1"/>
  <c r="AL132" i="7"/>
  <c r="AM9" i="5"/>
  <c r="AM26" i="5" s="1"/>
  <c r="AL19" i="5"/>
  <c r="AL20" i="5" s="1"/>
  <c r="AL14" i="8" s="1"/>
  <c r="AL134" i="7"/>
  <c r="AL16" i="8" s="1"/>
  <c r="AL123" i="7"/>
  <c r="AL127" i="7" s="1"/>
  <c r="AL54" i="8"/>
  <c r="AL55" i="8" s="1"/>
  <c r="AL135" i="7" l="1"/>
  <c r="AL30" i="8"/>
  <c r="AL63" i="7"/>
  <c r="AL41" i="8" s="1"/>
  <c r="AJ68" i="9"/>
  <c r="AL35" i="6"/>
  <c r="AL57" i="6"/>
  <c r="AJ72" i="9"/>
  <c r="AL13" i="8"/>
  <c r="AL15" i="8"/>
  <c r="AL18" i="8" s="1"/>
  <c r="AL128" i="7"/>
  <c r="AL36" i="6" s="1"/>
  <c r="AL62" i="6" s="1"/>
  <c r="AL19" i="8" l="1"/>
  <c r="AL31" i="8"/>
  <c r="AM131" i="7"/>
  <c r="AL64" i="8"/>
  <c r="AL60" i="8"/>
  <c r="AM133" i="7" l="1"/>
  <c r="AL49" i="8"/>
  <c r="AL64" i="6"/>
  <c r="AL38" i="8"/>
  <c r="AL50" i="8" l="1"/>
  <c r="AL23" i="8"/>
  <c r="AL28" i="6" s="1"/>
  <c r="AJ69" i="9"/>
  <c r="AJ73" i="9"/>
  <c r="AL24" i="8" l="1"/>
  <c r="AL25" i="8" l="1"/>
  <c r="AL51" i="8"/>
  <c r="AL52" i="8" l="1"/>
  <c r="AL53" i="8" s="1"/>
  <c r="AL61" i="8" s="1"/>
  <c r="AL63" i="8" s="1"/>
  <c r="AL26" i="8"/>
  <c r="AL27" i="8" s="1"/>
  <c r="AL40" i="8" s="1"/>
  <c r="AL43" i="8" s="1"/>
  <c r="AL44" i="8" s="1"/>
  <c r="AL58" i="6" s="1"/>
  <c r="AL59" i="6" s="1"/>
  <c r="AL65" i="8" l="1"/>
  <c r="AM62" i="8"/>
  <c r="AM19" i="6"/>
  <c r="AM20" i="6" s="1"/>
  <c r="AM22" i="6" s="1"/>
  <c r="AM68" i="8" s="1"/>
  <c r="AM70" i="8" s="1"/>
  <c r="AL71" i="8" l="1"/>
  <c r="AM24" i="5"/>
  <c r="AL65" i="6"/>
  <c r="AL32" i="8"/>
  <c r="AL33" i="8" s="1"/>
  <c r="AL46" i="8" s="1"/>
  <c r="AJ74" i="9"/>
  <c r="AM26" i="6"/>
  <c r="AM57" i="8"/>
  <c r="AM25" i="6"/>
  <c r="AM37" i="8" l="1"/>
  <c r="AN21" i="6"/>
  <c r="AN23" i="6"/>
  <c r="AM25" i="5"/>
  <c r="AM10" i="5" s="1"/>
  <c r="AM17" i="8"/>
  <c r="AM45" i="7" l="1"/>
  <c r="AM101" i="7"/>
  <c r="AM126" i="7"/>
  <c r="AM62" i="7"/>
  <c r="AM124" i="7"/>
  <c r="AM125" i="7"/>
  <c r="AM11" i="5"/>
  <c r="AN24" i="6"/>
  <c r="AN58" i="8" s="1"/>
  <c r="AN45" i="7" l="1"/>
  <c r="AO45" i="7" s="1"/>
  <c r="AP45" i="7" s="1"/>
  <c r="AQ45" i="7" s="1"/>
  <c r="AR45" i="7" s="1"/>
  <c r="AS45" i="7" s="1"/>
  <c r="AT45" i="7" s="1"/>
  <c r="AU45" i="7" s="1"/>
  <c r="AV45" i="7" s="1"/>
  <c r="AW45" i="7" s="1"/>
  <c r="AX45" i="7" s="1"/>
  <c r="AY45" i="7" s="1"/>
  <c r="AZ45" i="7" s="1"/>
  <c r="BA45" i="7" s="1"/>
  <c r="AM61" i="7"/>
  <c r="AN101" i="7"/>
  <c r="AO101" i="7" s="1"/>
  <c r="AP101" i="7" s="1"/>
  <c r="AQ101" i="7" s="1"/>
  <c r="AR101" i="7" s="1"/>
  <c r="AS101" i="7" s="1"/>
  <c r="AT101" i="7" s="1"/>
  <c r="AU101" i="7" s="1"/>
  <c r="AV101" i="7" s="1"/>
  <c r="AW101" i="7" s="1"/>
  <c r="AX101" i="7" s="1"/>
  <c r="AY101" i="7" s="1"/>
  <c r="AZ101" i="7" s="1"/>
  <c r="BA101" i="7" s="1"/>
  <c r="AM117" i="7"/>
  <c r="AM119" i="7" s="1"/>
  <c r="AM10" i="8" s="1"/>
  <c r="AM122" i="7"/>
  <c r="AM134" i="7"/>
  <c r="AM16" i="8" s="1"/>
  <c r="AN9" i="5"/>
  <c r="AN26" i="5" s="1"/>
  <c r="AM132" i="7"/>
  <c r="AM19" i="5"/>
  <c r="AM20" i="5" s="1"/>
  <c r="AM14" i="8" s="1"/>
  <c r="AM63" i="7" l="1"/>
  <c r="AM41" i="8" s="1"/>
  <c r="AM135" i="7"/>
  <c r="AK68" i="9"/>
  <c r="AM30" i="8"/>
  <c r="AM57" i="6"/>
  <c r="AM35" i="6"/>
  <c r="AM13" i="8"/>
  <c r="AK72" i="9"/>
  <c r="AM54" i="8"/>
  <c r="AM55" i="8" s="1"/>
  <c r="AM123" i="7"/>
  <c r="AM127" i="7" s="1"/>
  <c r="AM60" i="8"/>
  <c r="AM31" i="8" l="1"/>
  <c r="AM64" i="8"/>
  <c r="AN131" i="7"/>
  <c r="AM15" i="8"/>
  <c r="AM18" i="8" s="1"/>
  <c r="AM19" i="8" s="1"/>
  <c r="AM128" i="7"/>
  <c r="AM36" i="6" s="1"/>
  <c r="AM50" i="8"/>
  <c r="AM38" i="8"/>
  <c r="AN133" i="7" l="1"/>
  <c r="AM49" i="8"/>
  <c r="AM64" i="6"/>
  <c r="AM62" i="6"/>
  <c r="AM23" i="8"/>
  <c r="AM28" i="6" s="1"/>
  <c r="AK73" i="9"/>
  <c r="AK69" i="9"/>
  <c r="AM24" i="8" l="1"/>
  <c r="AM25" i="8" s="1"/>
  <c r="AM52" i="8" s="1"/>
  <c r="AM51" i="8" l="1"/>
  <c r="AM53" i="8" s="1"/>
  <c r="AM61" i="8" s="1"/>
  <c r="AM63" i="8" s="1"/>
  <c r="AM26" i="8"/>
  <c r="AM27" i="8" s="1"/>
  <c r="AM40" i="8" s="1"/>
  <c r="AM43" i="8" s="1"/>
  <c r="AM44" i="8" s="1"/>
  <c r="AM58" i="6" s="1"/>
  <c r="AM59" i="6" s="1"/>
  <c r="AN62" i="8" l="1"/>
  <c r="AM65" i="8"/>
  <c r="AN19" i="6"/>
  <c r="AN20" i="6" s="1"/>
  <c r="AN22" i="6" s="1"/>
  <c r="AN68" i="8" s="1"/>
  <c r="AN70" i="8" s="1"/>
  <c r="AM65" i="6" l="1"/>
  <c r="AM71" i="8"/>
  <c r="AK74" i="9"/>
  <c r="AM32" i="8"/>
  <c r="AM33" i="8" s="1"/>
  <c r="AM46" i="8" s="1"/>
  <c r="AN25" i="6"/>
  <c r="AN24" i="5" s="1"/>
  <c r="AN57" i="8"/>
  <c r="AN26" i="6"/>
  <c r="AO23" i="6" s="1"/>
  <c r="AO21" i="6" l="1"/>
  <c r="AN37" i="8"/>
  <c r="AN17" i="8"/>
  <c r="AN25" i="5"/>
  <c r="AN10" i="5" s="1"/>
  <c r="AO24" i="6" l="1"/>
  <c r="AO58" i="8" s="1"/>
  <c r="AN62" i="7"/>
  <c r="AN122" i="7" s="1"/>
  <c r="AN126" i="7"/>
  <c r="AN102" i="7"/>
  <c r="AN124" i="7"/>
  <c r="AN11" i="5"/>
  <c r="AN125" i="7"/>
  <c r="AN46" i="7"/>
  <c r="AN54" i="8" l="1"/>
  <c r="AN55" i="8" s="1"/>
  <c r="AN123" i="7"/>
  <c r="AN127" i="7" s="1"/>
  <c r="AO102" i="7"/>
  <c r="AP102" i="7" s="1"/>
  <c r="AQ102" i="7" s="1"/>
  <c r="AR102" i="7" s="1"/>
  <c r="AS102" i="7" s="1"/>
  <c r="AT102" i="7" s="1"/>
  <c r="AU102" i="7" s="1"/>
  <c r="AV102" i="7" s="1"/>
  <c r="AW102" i="7" s="1"/>
  <c r="AX102" i="7" s="1"/>
  <c r="AY102" i="7" s="1"/>
  <c r="AZ102" i="7" s="1"/>
  <c r="BA102" i="7" s="1"/>
  <c r="AN117" i="7"/>
  <c r="AN119" i="7" s="1"/>
  <c r="AN10" i="8" s="1"/>
  <c r="AN134" i="7"/>
  <c r="AN16" i="8" s="1"/>
  <c r="AO9" i="5"/>
  <c r="AO26" i="5" s="1"/>
  <c r="AN132" i="7"/>
  <c r="AN19" i="5"/>
  <c r="AN20" i="5" s="1"/>
  <c r="AN14" i="8" s="1"/>
  <c r="AO46" i="7"/>
  <c r="AP46" i="7" s="1"/>
  <c r="AQ46" i="7" s="1"/>
  <c r="AR46" i="7" s="1"/>
  <c r="AS46" i="7" s="1"/>
  <c r="AT46" i="7" s="1"/>
  <c r="AU46" i="7" s="1"/>
  <c r="AV46" i="7" s="1"/>
  <c r="AW46" i="7" s="1"/>
  <c r="AX46" i="7" s="1"/>
  <c r="AY46" i="7" s="1"/>
  <c r="AZ46" i="7" s="1"/>
  <c r="BA46" i="7" s="1"/>
  <c r="AN61" i="7"/>
  <c r="AN135" i="7" l="1"/>
  <c r="AN35" i="6"/>
  <c r="AN57" i="6"/>
  <c r="AN13" i="8"/>
  <c r="AL72" i="9"/>
  <c r="AN30" i="8"/>
  <c r="AN63" i="7"/>
  <c r="AN41" i="8" s="1"/>
  <c r="AL68" i="9"/>
  <c r="AN15" i="8"/>
  <c r="AN18" i="8" s="1"/>
  <c r="AN128" i="7"/>
  <c r="AN36" i="6" s="1"/>
  <c r="AN62" i="6" s="1"/>
  <c r="AN64" i="8" l="1"/>
  <c r="AO131" i="7"/>
  <c r="AN31" i="8"/>
  <c r="AN19" i="8"/>
  <c r="AN64" i="6" s="1"/>
  <c r="AO133" i="7" l="1"/>
  <c r="AN49" i="8"/>
  <c r="AN60" i="8"/>
  <c r="AN38" i="8" l="1"/>
  <c r="AN50" i="8" l="1"/>
  <c r="AN23" i="8"/>
  <c r="AN28" i="6" s="1"/>
  <c r="AL73" i="9"/>
  <c r="AL69" i="9"/>
  <c r="AN24" i="8" l="1"/>
  <c r="AN25" i="8" s="1"/>
  <c r="AN52" i="8" s="1"/>
  <c r="AN51" i="8" l="1"/>
  <c r="AN53" i="8" s="1"/>
  <c r="AN61" i="8" s="1"/>
  <c r="AN63" i="8" s="1"/>
  <c r="AN26" i="8"/>
  <c r="AN27" i="8" s="1"/>
  <c r="AN40" i="8" s="1"/>
  <c r="AN43" i="8" s="1"/>
  <c r="AN44" i="8" s="1"/>
  <c r="AN58" i="6" s="1"/>
  <c r="AN59" i="6" s="1"/>
  <c r="AO62" i="8" l="1"/>
  <c r="AN65" i="8"/>
  <c r="AO19" i="6"/>
  <c r="AO20" i="6" s="1"/>
  <c r="AO22" i="6" s="1"/>
  <c r="AO68" i="8" s="1"/>
  <c r="AO70" i="8" s="1"/>
  <c r="AN65" i="6" l="1"/>
  <c r="AN71" i="8"/>
  <c r="AN32" i="8"/>
  <c r="AN33" i="8" s="1"/>
  <c r="AN46" i="8" s="1"/>
  <c r="AL74" i="9"/>
  <c r="AO57" i="8"/>
  <c r="AO25" i="6"/>
  <c r="AO24" i="5" s="1"/>
  <c r="AO26" i="6"/>
  <c r="AP23" i="6" s="1"/>
  <c r="AO17" i="8" l="1"/>
  <c r="AO25" i="5"/>
  <c r="AO10" i="5" s="1"/>
  <c r="AP21" i="6"/>
  <c r="AO37" i="8"/>
  <c r="AP24" i="6" l="1"/>
  <c r="AP58" i="8" s="1"/>
  <c r="AO11" i="5"/>
  <c r="AO47" i="7"/>
  <c r="AO125" i="7"/>
  <c r="AO103" i="7"/>
  <c r="AO62" i="7"/>
  <c r="AO122" i="7" s="1"/>
  <c r="AO124" i="7"/>
  <c r="AO126" i="7"/>
  <c r="AO117" i="7" l="1"/>
  <c r="AO119" i="7" s="1"/>
  <c r="AO10" i="8" s="1"/>
  <c r="AP103" i="7"/>
  <c r="AQ103" i="7" s="1"/>
  <c r="AR103" i="7" s="1"/>
  <c r="AS103" i="7" s="1"/>
  <c r="AT103" i="7" s="1"/>
  <c r="AU103" i="7" s="1"/>
  <c r="AV103" i="7" s="1"/>
  <c r="AW103" i="7" s="1"/>
  <c r="AX103" i="7" s="1"/>
  <c r="AY103" i="7" s="1"/>
  <c r="AZ103" i="7" s="1"/>
  <c r="BA103" i="7" s="1"/>
  <c r="AO134" i="7"/>
  <c r="AO16" i="8" s="1"/>
  <c r="AO132" i="7"/>
  <c r="AP9" i="5"/>
  <c r="AP26" i="5" s="1"/>
  <c r="AO19" i="5"/>
  <c r="AO20" i="5" s="1"/>
  <c r="AO14" i="8" s="1"/>
  <c r="AP47" i="7"/>
  <c r="AQ47" i="7" s="1"/>
  <c r="AR47" i="7" s="1"/>
  <c r="AS47" i="7" s="1"/>
  <c r="AT47" i="7" s="1"/>
  <c r="AU47" i="7" s="1"/>
  <c r="AV47" i="7" s="1"/>
  <c r="AW47" i="7" s="1"/>
  <c r="AX47" i="7" s="1"/>
  <c r="AY47" i="7" s="1"/>
  <c r="AZ47" i="7" s="1"/>
  <c r="BA47" i="7" s="1"/>
  <c r="AO61" i="7"/>
  <c r="AO54" i="8"/>
  <c r="AO55" i="8" s="1"/>
  <c r="AO123" i="7"/>
  <c r="AO127" i="7" s="1"/>
  <c r="AO135" i="7" l="1"/>
  <c r="AO35" i="6"/>
  <c r="AO57" i="6"/>
  <c r="AM72" i="9"/>
  <c r="AO13" i="8"/>
  <c r="AO63" i="7"/>
  <c r="AO41" i="8" s="1"/>
  <c r="AM68" i="9"/>
  <c r="AO30" i="8"/>
  <c r="AO15" i="8"/>
  <c r="AO18" i="8" s="1"/>
  <c r="AO128" i="7"/>
  <c r="AO36" i="6" s="1"/>
  <c r="AO62" i="6" s="1"/>
  <c r="AO31" i="8" l="1"/>
  <c r="AO64" i="8"/>
  <c r="AP131" i="7"/>
  <c r="AO19" i="8"/>
  <c r="AP133" i="7" l="1"/>
  <c r="AO49" i="8"/>
  <c r="AO64" i="6"/>
  <c r="AO60" i="8"/>
  <c r="AO38" i="8" l="1"/>
  <c r="AO50" i="8" l="1"/>
  <c r="AO23" i="8"/>
  <c r="AO28" i="6" s="1"/>
  <c r="AM73" i="9"/>
  <c r="AM69" i="9"/>
  <c r="AO24" i="8" l="1"/>
  <c r="AO25" i="8" l="1"/>
  <c r="AO51" i="8"/>
  <c r="AO52" i="8" l="1"/>
  <c r="AO53" i="8" s="1"/>
  <c r="AO61" i="8" s="1"/>
  <c r="AO63" i="8" s="1"/>
  <c r="AO26" i="8"/>
  <c r="AO27" i="8" s="1"/>
  <c r="AO40" i="8" s="1"/>
  <c r="AO43" i="8" s="1"/>
  <c r="AO44" i="8" s="1"/>
  <c r="AO58" i="6" s="1"/>
  <c r="AO59" i="6" s="1"/>
  <c r="AP62" i="8" l="1"/>
  <c r="AO65" i="8"/>
  <c r="AP19" i="6"/>
  <c r="AP20" i="6" s="1"/>
  <c r="AP22" i="6" s="1"/>
  <c r="AP68" i="8" s="1"/>
  <c r="AP70" i="8" s="1"/>
  <c r="AO71" i="8" l="1"/>
  <c r="AO65" i="6"/>
  <c r="AM74" i="9"/>
  <c r="AO32" i="8"/>
  <c r="AO33" i="8" s="1"/>
  <c r="AO46" i="8" s="1"/>
  <c r="AP57" i="8"/>
  <c r="AP26" i="6"/>
  <c r="AQ23" i="6" s="1"/>
  <c r="AP25" i="6"/>
  <c r="AP24" i="5" s="1"/>
  <c r="AP17" i="8" l="1"/>
  <c r="AP25" i="5"/>
  <c r="AP10" i="5" s="1"/>
  <c r="AP48" i="7" s="1"/>
  <c r="AP37" i="8"/>
  <c r="AQ21" i="6"/>
  <c r="AQ24" i="6" s="1"/>
  <c r="AQ58" i="8" s="1"/>
  <c r="AQ48" i="7" l="1"/>
  <c r="AR48" i="7" s="1"/>
  <c r="AS48" i="7" s="1"/>
  <c r="AT48" i="7" s="1"/>
  <c r="AU48" i="7" s="1"/>
  <c r="AV48" i="7" s="1"/>
  <c r="AW48" i="7" s="1"/>
  <c r="AX48" i="7" s="1"/>
  <c r="AY48" i="7" s="1"/>
  <c r="AZ48" i="7" s="1"/>
  <c r="BA48" i="7" s="1"/>
  <c r="AP61" i="7"/>
  <c r="AP124" i="7"/>
  <c r="AP104" i="7"/>
  <c r="AP125" i="7"/>
  <c r="AP62" i="7"/>
  <c r="AP126" i="7"/>
  <c r="AP11" i="5"/>
  <c r="AN68" i="9" l="1"/>
  <c r="AP30" i="8"/>
  <c r="AP35" i="6"/>
  <c r="AP57" i="6"/>
  <c r="AQ104" i="7"/>
  <c r="AR104" i="7" s="1"/>
  <c r="AS104" i="7" s="1"/>
  <c r="AT104" i="7" s="1"/>
  <c r="AU104" i="7" s="1"/>
  <c r="AV104" i="7" s="1"/>
  <c r="AW104" i="7" s="1"/>
  <c r="AX104" i="7" s="1"/>
  <c r="AY104" i="7" s="1"/>
  <c r="AZ104" i="7" s="1"/>
  <c r="BA104" i="7" s="1"/>
  <c r="AP117" i="7"/>
  <c r="AP119" i="7" s="1"/>
  <c r="AP10" i="8" s="1"/>
  <c r="AP134" i="7"/>
  <c r="AP16" i="8" s="1"/>
  <c r="AP19" i="5"/>
  <c r="AP20" i="5" s="1"/>
  <c r="AP14" i="8" s="1"/>
  <c r="AP132" i="7"/>
  <c r="AQ9" i="5"/>
  <c r="AQ26" i="5" s="1"/>
  <c r="AP122" i="7"/>
  <c r="AP63" i="7"/>
  <c r="AP41" i="8" s="1"/>
  <c r="AP135" i="7" l="1"/>
  <c r="AN72" i="9"/>
  <c r="AP13" i="8"/>
  <c r="AP123" i="7"/>
  <c r="AP127" i="7" s="1"/>
  <c r="AP54" i="8"/>
  <c r="AP55" i="8" s="1"/>
  <c r="AP60" i="8"/>
  <c r="AP31" i="8" l="1"/>
  <c r="AQ131" i="7"/>
  <c r="AP64" i="8"/>
  <c r="AP15" i="8"/>
  <c r="AP18" i="8" s="1"/>
  <c r="AP19" i="8" s="1"/>
  <c r="AP128" i="7"/>
  <c r="AP36" i="6" s="1"/>
  <c r="AP50" i="8"/>
  <c r="AP38" i="8"/>
  <c r="AQ133" i="7" l="1"/>
  <c r="AP49" i="8"/>
  <c r="AP64" i="6"/>
  <c r="AP62" i="6"/>
  <c r="AP23" i="8"/>
  <c r="AP28" i="6" s="1"/>
  <c r="AN73" i="9"/>
  <c r="AN69" i="9"/>
  <c r="AP24" i="8" l="1"/>
  <c r="AP25" i="8" l="1"/>
  <c r="AP51" i="8"/>
  <c r="AP52" i="8" l="1"/>
  <c r="AP53" i="8" s="1"/>
  <c r="AP61" i="8" s="1"/>
  <c r="AP63" i="8" s="1"/>
  <c r="AP26" i="8"/>
  <c r="AP27" i="8" s="1"/>
  <c r="AP40" i="8" s="1"/>
  <c r="AP43" i="8" s="1"/>
  <c r="AP44" i="8" s="1"/>
  <c r="AP58" i="6" s="1"/>
  <c r="AP59" i="6" s="1"/>
  <c r="AP65" i="8" l="1"/>
  <c r="AQ62" i="8"/>
  <c r="AQ19" i="6"/>
  <c r="AQ20" i="6" s="1"/>
  <c r="AQ22" i="6" s="1"/>
  <c r="AQ68" i="8" s="1"/>
  <c r="AQ70" i="8" s="1"/>
  <c r="AP71" i="8" l="1"/>
  <c r="AP65" i="6"/>
  <c r="AP32" i="8"/>
  <c r="AP33" i="8" s="1"/>
  <c r="AP46" i="8" s="1"/>
  <c r="AN74" i="9"/>
  <c r="AQ25" i="6"/>
  <c r="AQ24" i="5" s="1"/>
  <c r="AQ26" i="6"/>
  <c r="AQ57" i="8"/>
  <c r="AQ17" i="8" l="1"/>
  <c r="AQ25" i="5"/>
  <c r="AQ10" i="5" s="1"/>
  <c r="AQ37" i="8"/>
  <c r="AR21" i="6"/>
  <c r="AR23" i="6"/>
  <c r="AQ11" i="5" l="1"/>
  <c r="AQ105" i="7"/>
  <c r="AQ126" i="7"/>
  <c r="AQ62" i="7"/>
  <c r="AQ125" i="7"/>
  <c r="AQ124" i="7"/>
  <c r="AQ49" i="7"/>
  <c r="AR24" i="6"/>
  <c r="AR58" i="8" s="1"/>
  <c r="AR105" i="7" l="1"/>
  <c r="AS105" i="7" s="1"/>
  <c r="AT105" i="7" s="1"/>
  <c r="AU105" i="7" s="1"/>
  <c r="AV105" i="7" s="1"/>
  <c r="AW105" i="7" s="1"/>
  <c r="AX105" i="7" s="1"/>
  <c r="AY105" i="7" s="1"/>
  <c r="AZ105" i="7" s="1"/>
  <c r="BA105" i="7" s="1"/>
  <c r="AQ117" i="7"/>
  <c r="AQ119" i="7" s="1"/>
  <c r="AQ10" i="8" s="1"/>
  <c r="AR49" i="7"/>
  <c r="AS49" i="7" s="1"/>
  <c r="AT49" i="7" s="1"/>
  <c r="AU49" i="7" s="1"/>
  <c r="AV49" i="7" s="1"/>
  <c r="AW49" i="7" s="1"/>
  <c r="AX49" i="7" s="1"/>
  <c r="AY49" i="7" s="1"/>
  <c r="AZ49" i="7" s="1"/>
  <c r="BA49" i="7" s="1"/>
  <c r="AQ61" i="7"/>
  <c r="AQ132" i="7"/>
  <c r="AR9" i="5"/>
  <c r="AR26" i="5" s="1"/>
  <c r="AQ19" i="5"/>
  <c r="AQ20" i="5" s="1"/>
  <c r="AQ14" i="8" s="1"/>
  <c r="AQ134" i="7"/>
  <c r="AQ122" i="7"/>
  <c r="AQ60" i="8"/>
  <c r="AQ63" i="7" l="1"/>
  <c r="AQ41" i="8" s="1"/>
  <c r="AQ135" i="7"/>
  <c r="AO72" i="9"/>
  <c r="AQ13" i="8"/>
  <c r="AQ30" i="8"/>
  <c r="AQ57" i="6"/>
  <c r="AQ35" i="6"/>
  <c r="AO68" i="9"/>
  <c r="AQ16" i="8"/>
  <c r="AQ54" i="8"/>
  <c r="AQ55" i="8" s="1"/>
  <c r="AQ123" i="7"/>
  <c r="AQ127" i="7" s="1"/>
  <c r="AQ38" i="8"/>
  <c r="AQ50" i="8"/>
  <c r="AO69" i="9"/>
  <c r="AQ31" i="8" l="1"/>
  <c r="AR131" i="7"/>
  <c r="AQ64" i="8"/>
  <c r="AQ128" i="7"/>
  <c r="AQ36" i="6" s="1"/>
  <c r="AQ15" i="8"/>
  <c r="AQ18" i="8" s="1"/>
  <c r="AQ19" i="8" s="1"/>
  <c r="AQ64" i="6" s="1"/>
  <c r="AO73" i="9"/>
  <c r="AR133" i="7" l="1"/>
  <c r="AQ62" i="6"/>
  <c r="AQ23" i="8"/>
  <c r="AQ28" i="6" s="1"/>
  <c r="AQ24" i="8" s="1"/>
  <c r="AQ51" i="8" s="1"/>
  <c r="AQ49" i="8"/>
  <c r="AQ25" i="8"/>
  <c r="AQ52" i="8" l="1"/>
  <c r="AQ53" i="8" s="1"/>
  <c r="AQ61" i="8" s="1"/>
  <c r="AQ63" i="8" s="1"/>
  <c r="AQ26" i="8"/>
  <c r="AQ27" i="8" s="1"/>
  <c r="AQ40" i="8" s="1"/>
  <c r="AQ43" i="8" s="1"/>
  <c r="AQ44" i="8" s="1"/>
  <c r="AQ58" i="6" s="1"/>
  <c r="AQ59" i="6" s="1"/>
  <c r="AQ65" i="8" l="1"/>
  <c r="AR62" i="8"/>
  <c r="AR19" i="6"/>
  <c r="AR20" i="6" s="1"/>
  <c r="AR22" i="6" s="1"/>
  <c r="AR68" i="8" s="1"/>
  <c r="AR70" i="8" s="1"/>
  <c r="AQ65" i="6" l="1"/>
  <c r="AQ71" i="8"/>
  <c r="AQ32" i="8"/>
  <c r="AQ33" i="8" s="1"/>
  <c r="AQ46" i="8" s="1"/>
  <c r="AO74" i="9"/>
  <c r="AR26" i="6"/>
  <c r="AS21" i="6" s="1"/>
  <c r="AR25" i="6"/>
  <c r="AR24" i="5" s="1"/>
  <c r="AR57" i="8"/>
  <c r="AR17" i="8" l="1"/>
  <c r="AR25" i="5"/>
  <c r="AR10" i="5" s="1"/>
  <c r="AS23" i="6"/>
  <c r="AS24" i="6" s="1"/>
  <c r="AS58" i="8" s="1"/>
  <c r="AR37" i="8"/>
  <c r="AR62" i="7" l="1"/>
  <c r="AR122" i="7" s="1"/>
  <c r="AR50" i="7"/>
  <c r="AR124" i="7"/>
  <c r="AR11" i="5"/>
  <c r="AR106" i="7"/>
  <c r="AR125" i="7"/>
  <c r="AR126" i="7"/>
  <c r="AS50" i="7" l="1"/>
  <c r="AT50" i="7" s="1"/>
  <c r="AU50" i="7" s="1"/>
  <c r="AV50" i="7" s="1"/>
  <c r="AW50" i="7" s="1"/>
  <c r="AX50" i="7" s="1"/>
  <c r="AY50" i="7" s="1"/>
  <c r="AZ50" i="7" s="1"/>
  <c r="BA50" i="7" s="1"/>
  <c r="AR61" i="7"/>
  <c r="AS106" i="7"/>
  <c r="AT106" i="7" s="1"/>
  <c r="AU106" i="7" s="1"/>
  <c r="AV106" i="7" s="1"/>
  <c r="AW106" i="7" s="1"/>
  <c r="AX106" i="7" s="1"/>
  <c r="AY106" i="7" s="1"/>
  <c r="AZ106" i="7" s="1"/>
  <c r="BA106" i="7" s="1"/>
  <c r="AR117" i="7"/>
  <c r="AR119" i="7" s="1"/>
  <c r="AR10" i="8" s="1"/>
  <c r="AR123" i="7"/>
  <c r="AR127" i="7" s="1"/>
  <c r="AR54" i="8"/>
  <c r="AR55" i="8" s="1"/>
  <c r="AR134" i="7"/>
  <c r="AR16" i="8" s="1"/>
  <c r="AR132" i="7"/>
  <c r="AR135" i="7" s="1"/>
  <c r="AR19" i="5"/>
  <c r="AR20" i="5" s="1"/>
  <c r="AR14" i="8" s="1"/>
  <c r="AS9" i="5"/>
  <c r="AS26" i="5" s="1"/>
  <c r="AR63" i="7" l="1"/>
  <c r="AR41" i="8" s="1"/>
  <c r="AP68" i="9"/>
  <c r="AR30" i="8"/>
  <c r="AR13" i="8"/>
  <c r="AP72" i="9"/>
  <c r="AR35" i="6"/>
  <c r="AR57" i="6"/>
  <c r="AR15" i="8"/>
  <c r="AR18" i="8" s="1"/>
  <c r="AR128" i="7"/>
  <c r="AR36" i="6" s="1"/>
  <c r="AR62" i="6" s="1"/>
  <c r="AR19" i="8" l="1"/>
  <c r="AR31" i="8"/>
  <c r="AS131" i="7"/>
  <c r="AR64" i="8"/>
  <c r="AR38" i="8"/>
  <c r="AR60" i="8"/>
  <c r="AS133" i="7" l="1"/>
  <c r="AR49" i="8"/>
  <c r="AR64" i="6"/>
  <c r="AR50" i="8" l="1"/>
  <c r="AR23" i="8"/>
  <c r="AR28" i="6" s="1"/>
  <c r="AP73" i="9"/>
  <c r="AP69" i="9"/>
  <c r="AR24" i="8" l="1"/>
  <c r="AR51" i="8" l="1"/>
  <c r="AR25" i="8"/>
  <c r="AR52" i="8" l="1"/>
  <c r="AR53" i="8" s="1"/>
  <c r="AR61" i="8" s="1"/>
  <c r="AR63" i="8" s="1"/>
  <c r="AR26" i="8"/>
  <c r="AR27" i="8" s="1"/>
  <c r="AR40" i="8" s="1"/>
  <c r="AR43" i="8" s="1"/>
  <c r="AR44" i="8" s="1"/>
  <c r="AR58" i="6" s="1"/>
  <c r="AR59" i="6" s="1"/>
  <c r="AR65" i="8" l="1"/>
  <c r="AS62" i="8"/>
  <c r="AS19" i="6"/>
  <c r="AS20" i="6" s="1"/>
  <c r="AS22" i="6" s="1"/>
  <c r="AS68" i="8" s="1"/>
  <c r="AS70" i="8" s="1"/>
  <c r="AR32" i="8" l="1"/>
  <c r="AR33" i="8" s="1"/>
  <c r="AR46" i="8" s="1"/>
  <c r="AR71" i="8"/>
  <c r="AR65" i="6"/>
  <c r="AP74" i="9"/>
  <c r="AS25" i="6"/>
  <c r="AS24" i="5" s="1"/>
  <c r="AS26" i="6"/>
  <c r="AS57" i="8"/>
  <c r="AS17" i="8" l="1"/>
  <c r="AS25" i="5"/>
  <c r="AS10" i="5" s="1"/>
  <c r="AT21" i="6"/>
  <c r="AS37" i="8"/>
  <c r="AT23" i="6"/>
  <c r="AT24" i="6" l="1"/>
  <c r="AT58" i="8" s="1"/>
  <c r="AS62" i="7"/>
  <c r="AS126" i="7"/>
  <c r="AS107" i="7"/>
  <c r="AS125" i="7"/>
  <c r="AS11" i="5"/>
  <c r="AS124" i="7"/>
  <c r="AS51" i="7"/>
  <c r="AT107" i="7" l="1"/>
  <c r="AU107" i="7" s="1"/>
  <c r="AV107" i="7" s="1"/>
  <c r="AW107" i="7" s="1"/>
  <c r="AX107" i="7" s="1"/>
  <c r="AY107" i="7" s="1"/>
  <c r="AZ107" i="7" s="1"/>
  <c r="BA107" i="7" s="1"/>
  <c r="AS117" i="7"/>
  <c r="AS119" i="7" s="1"/>
  <c r="AS10" i="8" s="1"/>
  <c r="AT51" i="7"/>
  <c r="AU51" i="7" s="1"/>
  <c r="AV51" i="7" s="1"/>
  <c r="AW51" i="7" s="1"/>
  <c r="AX51" i="7" s="1"/>
  <c r="AY51" i="7" s="1"/>
  <c r="AZ51" i="7" s="1"/>
  <c r="BA51" i="7" s="1"/>
  <c r="AS61" i="7"/>
  <c r="AS122" i="7"/>
  <c r="AT9" i="5"/>
  <c r="AT26" i="5" s="1"/>
  <c r="AS132" i="7"/>
  <c r="AS19" i="5"/>
  <c r="AS20" i="5" s="1"/>
  <c r="AS14" i="8" s="1"/>
  <c r="AS134" i="7"/>
  <c r="AS16" i="8" s="1"/>
  <c r="AS63" i="7" l="1"/>
  <c r="AS41" i="8" s="1"/>
  <c r="AS135" i="7"/>
  <c r="AQ72" i="9"/>
  <c r="AS13" i="8"/>
  <c r="AS57" i="6"/>
  <c r="AS30" i="8"/>
  <c r="AQ68" i="9"/>
  <c r="AS35" i="6"/>
  <c r="AS123" i="7"/>
  <c r="AS127" i="7" s="1"/>
  <c r="AS54" i="8"/>
  <c r="AS55" i="8" s="1"/>
  <c r="AS60" i="8" l="1"/>
  <c r="AS31" i="8"/>
  <c r="AT131" i="7"/>
  <c r="AS64" i="8"/>
  <c r="AS128" i="7"/>
  <c r="AS36" i="6" s="1"/>
  <c r="AS15" i="8"/>
  <c r="AS18" i="8" s="1"/>
  <c r="AS19" i="8" s="1"/>
  <c r="AT133" i="7" l="1"/>
  <c r="AS64" i="6"/>
  <c r="AS49" i="8"/>
  <c r="AS62" i="6"/>
  <c r="AQ69" i="9"/>
  <c r="AS38" i="8"/>
  <c r="AS50" i="8" l="1"/>
  <c r="AS23" i="8"/>
  <c r="AS28" i="6" s="1"/>
  <c r="AQ73" i="9"/>
  <c r="AS24" i="8" l="1"/>
  <c r="AS51" i="8" l="1"/>
  <c r="AS25" i="8"/>
  <c r="AS52" i="8" l="1"/>
  <c r="AS53" i="8" s="1"/>
  <c r="AS61" i="8" s="1"/>
  <c r="AS63" i="8" s="1"/>
  <c r="AS26" i="8"/>
  <c r="AS27" i="8" s="1"/>
  <c r="AS40" i="8" s="1"/>
  <c r="AS43" i="8" s="1"/>
  <c r="AS44" i="8" s="1"/>
  <c r="AS58" i="6" s="1"/>
  <c r="AS59" i="6" s="1"/>
  <c r="AS65" i="8" l="1"/>
  <c r="AT62" i="8"/>
  <c r="AT19" i="6"/>
  <c r="AT20" i="6" s="1"/>
  <c r="AT22" i="6" s="1"/>
  <c r="AT68" i="8" s="1"/>
  <c r="AT70" i="8" s="1"/>
  <c r="AQ74" i="9" l="1"/>
  <c r="AS71" i="8"/>
  <c r="AS65" i="6"/>
  <c r="AS32" i="8"/>
  <c r="AS33" i="8" s="1"/>
  <c r="AS46" i="8" s="1"/>
  <c r="AT57" i="8"/>
  <c r="AT25" i="6"/>
  <c r="AT24" i="5" s="1"/>
  <c r="AT26" i="6"/>
  <c r="AT17" i="8" l="1"/>
  <c r="AT25" i="5"/>
  <c r="AT10" i="5" s="1"/>
  <c r="AT108" i="7" s="1"/>
  <c r="AU21" i="6"/>
  <c r="AT37" i="8"/>
  <c r="AU23" i="6"/>
  <c r="AU108" i="7" l="1"/>
  <c r="AV108" i="7" s="1"/>
  <c r="AW108" i="7" s="1"/>
  <c r="AX108" i="7" s="1"/>
  <c r="AY108" i="7" s="1"/>
  <c r="AZ108" i="7" s="1"/>
  <c r="BA108" i="7" s="1"/>
  <c r="AT117" i="7"/>
  <c r="AT119" i="7" s="1"/>
  <c r="AT10" i="8" s="1"/>
  <c r="AT125" i="7"/>
  <c r="AT52" i="7"/>
  <c r="AT62" i="7"/>
  <c r="AT126" i="7"/>
  <c r="AT124" i="7"/>
  <c r="AT11" i="5"/>
  <c r="AU24" i="6"/>
  <c r="AU58" i="8" s="1"/>
  <c r="AT13" i="8" l="1"/>
  <c r="AR72" i="9"/>
  <c r="AU52" i="7"/>
  <c r="AV52" i="7" s="1"/>
  <c r="AW52" i="7" s="1"/>
  <c r="AX52" i="7" s="1"/>
  <c r="AY52" i="7" s="1"/>
  <c r="AZ52" i="7" s="1"/>
  <c r="BA52" i="7" s="1"/>
  <c r="AT61" i="7"/>
  <c r="AT122" i="7"/>
  <c r="AT132" i="7"/>
  <c r="AT134" i="7"/>
  <c r="AT16" i="8" s="1"/>
  <c r="AU9" i="5"/>
  <c r="AU26" i="5" s="1"/>
  <c r="AT19" i="5"/>
  <c r="AT20" i="5" s="1"/>
  <c r="AT14" i="8" s="1"/>
  <c r="AT60" i="8"/>
  <c r="AT63" i="7" l="1"/>
  <c r="AT41" i="8" s="1"/>
  <c r="AT135" i="7"/>
  <c r="AT64" i="8" s="1"/>
  <c r="AT57" i="6"/>
  <c r="AT35" i="6"/>
  <c r="AR68" i="9"/>
  <c r="AT30" i="8"/>
  <c r="AT54" i="8"/>
  <c r="AT55" i="8" s="1"/>
  <c r="AT123" i="7"/>
  <c r="AT127" i="7" s="1"/>
  <c r="AT38" i="8"/>
  <c r="AT50" i="8"/>
  <c r="AU131" i="7" l="1"/>
  <c r="AT31" i="8"/>
  <c r="AT15" i="8"/>
  <c r="AT18" i="8" s="1"/>
  <c r="AT19" i="8" s="1"/>
  <c r="AT64" i="6" s="1"/>
  <c r="AT128" i="7"/>
  <c r="AT36" i="6" s="1"/>
  <c r="AR69" i="9"/>
  <c r="AR73" i="9"/>
  <c r="AU133" i="7" l="1"/>
  <c r="AT62" i="6"/>
  <c r="AT23" i="8"/>
  <c r="AT28" i="6" s="1"/>
  <c r="AT24" i="8" s="1"/>
  <c r="AT25" i="8" s="1"/>
  <c r="AT52" i="8" s="1"/>
  <c r="AT49" i="8"/>
  <c r="AT51" i="8" l="1"/>
  <c r="AT53" i="8" s="1"/>
  <c r="AT61" i="8" s="1"/>
  <c r="AT63" i="8" s="1"/>
  <c r="AT26" i="8"/>
  <c r="AT27" i="8" s="1"/>
  <c r="AT40" i="8" s="1"/>
  <c r="AT43" i="8" s="1"/>
  <c r="AT44" i="8" s="1"/>
  <c r="AT58" i="6" s="1"/>
  <c r="AT59" i="6" s="1"/>
  <c r="AU62" i="8" l="1"/>
  <c r="AT65" i="8"/>
  <c r="AU19" i="6"/>
  <c r="AU20" i="6" s="1"/>
  <c r="AU22" i="6" s="1"/>
  <c r="AU68" i="8" s="1"/>
  <c r="AU70" i="8" s="1"/>
  <c r="AT65" i="6" l="1"/>
  <c r="AT71" i="8"/>
  <c r="AR74" i="9"/>
  <c r="AT32" i="8"/>
  <c r="AT33" i="8" s="1"/>
  <c r="AT46" i="8" s="1"/>
  <c r="AU25" i="6"/>
  <c r="AU24" i="5" s="1"/>
  <c r="AU57" i="8"/>
  <c r="AU26" i="6"/>
  <c r="AV23" i="6" s="1"/>
  <c r="AU17" i="8" l="1"/>
  <c r="AU25" i="5"/>
  <c r="AU10" i="5" s="1"/>
  <c r="AU37" i="8"/>
  <c r="AV21" i="6"/>
  <c r="AV24" i="6" l="1"/>
  <c r="AV58" i="8" s="1"/>
  <c r="AU11" i="5"/>
  <c r="AU126" i="7"/>
  <c r="AU53" i="7"/>
  <c r="AU62" i="7"/>
  <c r="AU122" i="7" s="1"/>
  <c r="AU109" i="7"/>
  <c r="AU125" i="7"/>
  <c r="AU124" i="7"/>
  <c r="AV109" i="7" l="1"/>
  <c r="AW109" i="7" s="1"/>
  <c r="AX109" i="7" s="1"/>
  <c r="AY109" i="7" s="1"/>
  <c r="AZ109" i="7" s="1"/>
  <c r="BA109" i="7" s="1"/>
  <c r="AU117" i="7"/>
  <c r="AU119" i="7" s="1"/>
  <c r="AU10" i="8" s="1"/>
  <c r="AV53" i="7"/>
  <c r="AW53" i="7" s="1"/>
  <c r="AX53" i="7" s="1"/>
  <c r="AY53" i="7" s="1"/>
  <c r="AZ53" i="7" s="1"/>
  <c r="BA53" i="7" s="1"/>
  <c r="AU61" i="7"/>
  <c r="AU134" i="7"/>
  <c r="AV9" i="5"/>
  <c r="AV26" i="5" s="1"/>
  <c r="AU19" i="5"/>
  <c r="AU20" i="5" s="1"/>
  <c r="AU14" i="8" s="1"/>
  <c r="AU132" i="7"/>
  <c r="AU54" i="8"/>
  <c r="AU55" i="8" s="1"/>
  <c r="AU123" i="7"/>
  <c r="AU127" i="7" s="1"/>
  <c r="AU135" i="7" l="1"/>
  <c r="AU13" i="8"/>
  <c r="AS72" i="9"/>
  <c r="AU63" i="7"/>
  <c r="AU41" i="8" s="1"/>
  <c r="AS68" i="9"/>
  <c r="AU57" i="6"/>
  <c r="AU30" i="8"/>
  <c r="AU35" i="6"/>
  <c r="AU16" i="8"/>
  <c r="AU128" i="7"/>
  <c r="AU36" i="6" s="1"/>
  <c r="AU62" i="6" s="1"/>
  <c r="AU15" i="8"/>
  <c r="AU18" i="8" l="1"/>
  <c r="AU19" i="8" s="1"/>
  <c r="AV131" i="7"/>
  <c r="AU64" i="8"/>
  <c r="AU31" i="8"/>
  <c r="AV133" i="7" l="1"/>
  <c r="AU49" i="8"/>
  <c r="AU64" i="6"/>
  <c r="AU60" i="8"/>
  <c r="AU38" i="8" l="1"/>
  <c r="AS69" i="9"/>
  <c r="AU50" i="8" l="1"/>
  <c r="AU23" i="8"/>
  <c r="AU28" i="6" s="1"/>
  <c r="AU24" i="8" s="1"/>
  <c r="AU51" i="8" s="1"/>
  <c r="AS73" i="9"/>
  <c r="AU25" i="8"/>
  <c r="AU26" i="8" l="1"/>
  <c r="AU27" i="8" s="1"/>
  <c r="AU40" i="8" s="1"/>
  <c r="AU43" i="8" s="1"/>
  <c r="AU44" i="8" s="1"/>
  <c r="AU58" i="6" s="1"/>
  <c r="AU59" i="6" s="1"/>
  <c r="AU52" i="8"/>
  <c r="AU53" i="8" s="1"/>
  <c r="AU61" i="8" s="1"/>
  <c r="AU63" i="8" s="1"/>
  <c r="AU65" i="8" l="1"/>
  <c r="AV62" i="8"/>
  <c r="AV19" i="6"/>
  <c r="AV20" i="6" s="1"/>
  <c r="AV22" i="6" s="1"/>
  <c r="AV68" i="8" s="1"/>
  <c r="AV70" i="8" s="1"/>
  <c r="AU71" i="8" l="1"/>
  <c r="AV24" i="5"/>
  <c r="AU65" i="6"/>
  <c r="AU32" i="8"/>
  <c r="AU33" i="8" s="1"/>
  <c r="AU46" i="8" s="1"/>
  <c r="AS74" i="9"/>
  <c r="AV57" i="8"/>
  <c r="AV26" i="6"/>
  <c r="AV25" i="6"/>
  <c r="AW23" i="6"/>
  <c r="AW21" i="6" l="1"/>
  <c r="AW24" i="6" s="1"/>
  <c r="AW58" i="8" s="1"/>
  <c r="AV37" i="8"/>
  <c r="AV25" i="5"/>
  <c r="AV10" i="5" s="1"/>
  <c r="AV17" i="8"/>
  <c r="AV110" i="7" l="1"/>
  <c r="AV11" i="5"/>
  <c r="AV62" i="7"/>
  <c r="AV124" i="7"/>
  <c r="AV125" i="7"/>
  <c r="AV54" i="7"/>
  <c r="AV126" i="7"/>
  <c r="AW110" i="7" l="1"/>
  <c r="AX110" i="7" s="1"/>
  <c r="AY110" i="7" s="1"/>
  <c r="AZ110" i="7" s="1"/>
  <c r="BA110" i="7" s="1"/>
  <c r="AV117" i="7"/>
  <c r="AV119" i="7" s="1"/>
  <c r="AV10" i="8" s="1"/>
  <c r="AW54" i="7"/>
  <c r="AX54" i="7" s="1"/>
  <c r="AY54" i="7" s="1"/>
  <c r="AZ54" i="7" s="1"/>
  <c r="BA54" i="7" s="1"/>
  <c r="AV61" i="7"/>
  <c r="AV132" i="7"/>
  <c r="AW9" i="5"/>
  <c r="AW26" i="5" s="1"/>
  <c r="AV19" i="5"/>
  <c r="AV20" i="5" s="1"/>
  <c r="AV14" i="8" s="1"/>
  <c r="AV134" i="7"/>
  <c r="AV16" i="8" s="1"/>
  <c r="AV122" i="7"/>
  <c r="AV63" i="7" l="1"/>
  <c r="AV41" i="8" s="1"/>
  <c r="AV135" i="7"/>
  <c r="AT72" i="9"/>
  <c r="AV13" i="8"/>
  <c r="AT68" i="9"/>
  <c r="AV30" i="8"/>
  <c r="AV57" i="6"/>
  <c r="AV35" i="6"/>
  <c r="AV123" i="7"/>
  <c r="AV127" i="7" s="1"/>
  <c r="AV54" i="8"/>
  <c r="AV55" i="8" s="1"/>
  <c r="AV60" i="8"/>
  <c r="AV38" i="8"/>
  <c r="AV64" i="8" l="1"/>
  <c r="AV31" i="8"/>
  <c r="AW131" i="7"/>
  <c r="AV15" i="8"/>
  <c r="AV18" i="8" s="1"/>
  <c r="AV19" i="8" s="1"/>
  <c r="AV128" i="7"/>
  <c r="AV36" i="6" s="1"/>
  <c r="AV50" i="8"/>
  <c r="AW133" i="7" l="1"/>
  <c r="AV49" i="8"/>
  <c r="AV64" i="6"/>
  <c r="AV62" i="6"/>
  <c r="AV23" i="8"/>
  <c r="AV28" i="6" s="1"/>
  <c r="AT69" i="9"/>
  <c r="AT73" i="9"/>
  <c r="AV24" i="8" l="1"/>
  <c r="AV51" i="8" l="1"/>
  <c r="AV25" i="8"/>
  <c r="AV52" i="8" l="1"/>
  <c r="AV53" i="8" s="1"/>
  <c r="AV61" i="8" s="1"/>
  <c r="AV63" i="8" s="1"/>
  <c r="AV26" i="8"/>
  <c r="AV27" i="8" s="1"/>
  <c r="AV40" i="8" s="1"/>
  <c r="AV43" i="8" s="1"/>
  <c r="AV44" i="8" s="1"/>
  <c r="AV58" i="6" s="1"/>
  <c r="AV59" i="6" s="1"/>
  <c r="AW62" i="8" l="1"/>
  <c r="AV65" i="8"/>
  <c r="AW19" i="6"/>
  <c r="AW20" i="6" s="1"/>
  <c r="AW22" i="6" s="1"/>
  <c r="AW68" i="8" s="1"/>
  <c r="AW70" i="8" s="1"/>
  <c r="AT74" i="9" l="1"/>
  <c r="AV71" i="8"/>
  <c r="AV65" i="6"/>
  <c r="AV32" i="8"/>
  <c r="AV33" i="8" s="1"/>
  <c r="AV46" i="8" s="1"/>
  <c r="AW57" i="8"/>
  <c r="AW26" i="6"/>
  <c r="AW25" i="6"/>
  <c r="AW24" i="5" s="1"/>
  <c r="AX21" i="6" l="1"/>
  <c r="AW37" i="8"/>
  <c r="AX23" i="6"/>
  <c r="AW25" i="5"/>
  <c r="AW10" i="5" s="1"/>
  <c r="AW17" i="8"/>
  <c r="AW11" i="5" l="1"/>
  <c r="AW55" i="7"/>
  <c r="AW62" i="7"/>
  <c r="AW124" i="7"/>
  <c r="AW125" i="7"/>
  <c r="AW111" i="7"/>
  <c r="AW126" i="7"/>
  <c r="AX24" i="6"/>
  <c r="AX58" i="8" s="1"/>
  <c r="AX55" i="7" l="1"/>
  <c r="AY55" i="7" s="1"/>
  <c r="AZ55" i="7" s="1"/>
  <c r="BA55" i="7" s="1"/>
  <c r="AW61" i="7"/>
  <c r="AX111" i="7"/>
  <c r="AY111" i="7" s="1"/>
  <c r="AZ111" i="7" s="1"/>
  <c r="BA111" i="7" s="1"/>
  <c r="AW117" i="7"/>
  <c r="AW119" i="7" s="1"/>
  <c r="AW10" i="8" s="1"/>
  <c r="AW122" i="7"/>
  <c r="AW134" i="7"/>
  <c r="AW16" i="8" s="1"/>
  <c r="AW132" i="7"/>
  <c r="AW19" i="5"/>
  <c r="AW20" i="5" s="1"/>
  <c r="AW14" i="8" s="1"/>
  <c r="AX9" i="5"/>
  <c r="AX26" i="5" s="1"/>
  <c r="AW135" i="7" l="1"/>
  <c r="AW63" i="7"/>
  <c r="AW41" i="8" s="1"/>
  <c r="AU68" i="9"/>
  <c r="AW30" i="8"/>
  <c r="AW57" i="6"/>
  <c r="AW35" i="6"/>
  <c r="AU72" i="9"/>
  <c r="AW13" i="8"/>
  <c r="AW123" i="7"/>
  <c r="AW127" i="7" s="1"/>
  <c r="AW54" i="8"/>
  <c r="AW55" i="8" s="1"/>
  <c r="AW60" i="8"/>
  <c r="AW128" i="7" l="1"/>
  <c r="AW36" i="6" s="1"/>
  <c r="AW15" i="8"/>
  <c r="AW18" i="8" s="1"/>
  <c r="AW19" i="8" s="1"/>
  <c r="AW64" i="8"/>
  <c r="AX131" i="7"/>
  <c r="AW31" i="8"/>
  <c r="AW50" i="8"/>
  <c r="AW38" i="8"/>
  <c r="AX133" i="7" l="1"/>
  <c r="AW49" i="8"/>
  <c r="AW64" i="6"/>
  <c r="AW62" i="6"/>
  <c r="AW23" i="8"/>
  <c r="AW28" i="6" s="1"/>
  <c r="AU73" i="9"/>
  <c r="AU69" i="9"/>
  <c r="AW24" i="8" l="1"/>
  <c r="AW25" i="8" s="1"/>
  <c r="AW52" i="8" s="1"/>
  <c r="AW51" i="8" l="1"/>
  <c r="AW53" i="8" s="1"/>
  <c r="AW61" i="8" s="1"/>
  <c r="AW63" i="8" s="1"/>
  <c r="AW26" i="8"/>
  <c r="AW27" i="8" s="1"/>
  <c r="AW40" i="8" s="1"/>
  <c r="AW43" i="8" s="1"/>
  <c r="AW44" i="8" s="1"/>
  <c r="AW58" i="6" s="1"/>
  <c r="AW59" i="6" s="1"/>
  <c r="AX62" i="8" l="1"/>
  <c r="AW65" i="8"/>
  <c r="AX19" i="6"/>
  <c r="AX20" i="6" s="1"/>
  <c r="AX22" i="6" s="1"/>
  <c r="AX68" i="8" s="1"/>
  <c r="AX70" i="8" s="1"/>
  <c r="AW65" i="6" l="1"/>
  <c r="AW71" i="8"/>
  <c r="AW32" i="8"/>
  <c r="AW33" i="8" s="1"/>
  <c r="AW46" i="8" s="1"/>
  <c r="AU74" i="9"/>
  <c r="AX25" i="6"/>
  <c r="AX24" i="5" s="1"/>
  <c r="AX57" i="8"/>
  <c r="AX26" i="6"/>
  <c r="AY23" i="6" s="1"/>
  <c r="AX37" i="8" l="1"/>
  <c r="AY21" i="6"/>
  <c r="AX17" i="8"/>
  <c r="AX25" i="5"/>
  <c r="AX10" i="5" s="1"/>
  <c r="AY24" i="6" l="1"/>
  <c r="AY58" i="8" s="1"/>
  <c r="AX125" i="7"/>
  <c r="AX62" i="7"/>
  <c r="AX122" i="7" s="1"/>
  <c r="AX56" i="7"/>
  <c r="AX11" i="5"/>
  <c r="AX126" i="7"/>
  <c r="AX124" i="7"/>
  <c r="AX112" i="7"/>
  <c r="AX54" i="8" l="1"/>
  <c r="AX55" i="8" s="1"/>
  <c r="AX123" i="7"/>
  <c r="AX127" i="7" s="1"/>
  <c r="AX61" i="7"/>
  <c r="AY56" i="7"/>
  <c r="AZ56" i="7" s="1"/>
  <c r="BA56" i="7" s="1"/>
  <c r="AX134" i="7"/>
  <c r="AX16" i="8" s="1"/>
  <c r="AX19" i="5"/>
  <c r="AX20" i="5" s="1"/>
  <c r="AX14" i="8" s="1"/>
  <c r="AY9" i="5"/>
  <c r="AY26" i="5" s="1"/>
  <c r="AX132" i="7"/>
  <c r="AY112" i="7"/>
  <c r="AZ112" i="7" s="1"/>
  <c r="BA112" i="7" s="1"/>
  <c r="AX117" i="7"/>
  <c r="AX119" i="7" s="1"/>
  <c r="AX10" i="8" s="1"/>
  <c r="AX135" i="7" l="1"/>
  <c r="AX35" i="6"/>
  <c r="AX57" i="6"/>
  <c r="AV68" i="9"/>
  <c r="AX63" i="7"/>
  <c r="AX41" i="8" s="1"/>
  <c r="AX30" i="8"/>
  <c r="AX13" i="8"/>
  <c r="AV72" i="9"/>
  <c r="AX15" i="8"/>
  <c r="AX18" i="8" s="1"/>
  <c r="AX128" i="7"/>
  <c r="AX36" i="6" s="1"/>
  <c r="AX62" i="6" s="1"/>
  <c r="AX19" i="8" l="1"/>
  <c r="AX31" i="8"/>
  <c r="AY131" i="7"/>
  <c r="AX64" i="8"/>
  <c r="AY133" i="7" l="1"/>
  <c r="AX49" i="8"/>
  <c r="AX64" i="6"/>
  <c r="AX60" i="8"/>
  <c r="AX38" i="8" l="1"/>
  <c r="AX50" i="8" l="1"/>
  <c r="AX23" i="8"/>
  <c r="AX28" i="6" s="1"/>
  <c r="AV69" i="9"/>
  <c r="AV73" i="9"/>
  <c r="AX24" i="8" l="1"/>
  <c r="AX25" i="8" s="1"/>
  <c r="AX52" i="8" s="1"/>
  <c r="AX51" i="8" l="1"/>
  <c r="AX53" i="8" s="1"/>
  <c r="AX61" i="8" s="1"/>
  <c r="AX63" i="8" s="1"/>
  <c r="AX26" i="8"/>
  <c r="AX27" i="8" s="1"/>
  <c r="AX40" i="8" s="1"/>
  <c r="AX43" i="8" s="1"/>
  <c r="AX44" i="8" s="1"/>
  <c r="AX58" i="6" s="1"/>
  <c r="AX59" i="6" s="1"/>
  <c r="AX65" i="8" l="1"/>
  <c r="AY62" i="8"/>
  <c r="AY19" i="6"/>
  <c r="AY20" i="6" s="1"/>
  <c r="AY22" i="6" s="1"/>
  <c r="AY68" i="8" s="1"/>
  <c r="AY70" i="8" s="1"/>
  <c r="AX65" i="6" l="1"/>
  <c r="AX71" i="8"/>
  <c r="AX32" i="8"/>
  <c r="AX33" i="8" s="1"/>
  <c r="AX46" i="8" s="1"/>
  <c r="AV74" i="9"/>
  <c r="AY25" i="6"/>
  <c r="AY24" i="5" s="1"/>
  <c r="AY57" i="8"/>
  <c r="AY26" i="6"/>
  <c r="AZ23" i="6" s="1"/>
  <c r="AY17" i="8" l="1"/>
  <c r="AY25" i="5"/>
  <c r="AY10" i="5" s="1"/>
  <c r="AY37" i="8"/>
  <c r="AZ21" i="6"/>
  <c r="AZ24" i="6" l="1"/>
  <c r="AZ58" i="8" s="1"/>
  <c r="AY57" i="7"/>
  <c r="AY11" i="5"/>
  <c r="AY62" i="7"/>
  <c r="AY122" i="7" s="1"/>
  <c r="AY126" i="7"/>
  <c r="AY113" i="7"/>
  <c r="AY125" i="7"/>
  <c r="AY124" i="7"/>
  <c r="AZ57" i="7" l="1"/>
  <c r="BA57" i="7" s="1"/>
  <c r="AY61" i="7"/>
  <c r="AZ9" i="5"/>
  <c r="AZ26" i="5" s="1"/>
  <c r="AY134" i="7"/>
  <c r="AY16" i="8" s="1"/>
  <c r="AY19" i="5"/>
  <c r="AY20" i="5" s="1"/>
  <c r="AY14" i="8" s="1"/>
  <c r="AY132" i="7"/>
  <c r="AY54" i="8"/>
  <c r="AY55" i="8" s="1"/>
  <c r="AY123" i="7"/>
  <c r="AY127" i="7" s="1"/>
  <c r="AZ113" i="7"/>
  <c r="BA113" i="7" s="1"/>
  <c r="AY117" i="7"/>
  <c r="AY119" i="7" s="1"/>
  <c r="AY10" i="8" s="1"/>
  <c r="AY135" i="7" l="1"/>
  <c r="AY35" i="6"/>
  <c r="AY57" i="6"/>
  <c r="AW68" i="9"/>
  <c r="AY30" i="8"/>
  <c r="AY63" i="7"/>
  <c r="AY41" i="8" s="1"/>
  <c r="AY13" i="8"/>
  <c r="AW72" i="9"/>
  <c r="AY15" i="8"/>
  <c r="AY18" i="8" s="1"/>
  <c r="AY128" i="7"/>
  <c r="AY36" i="6" s="1"/>
  <c r="AY62" i="6" s="1"/>
  <c r="AY19" i="8" l="1"/>
  <c r="AZ131" i="7"/>
  <c r="AY64" i="8"/>
  <c r="AY31" i="8"/>
  <c r="AZ133" i="7" l="1"/>
  <c r="AY49" i="8"/>
  <c r="AY64" i="6"/>
  <c r="AY60" i="8"/>
  <c r="AY38" i="8" l="1"/>
  <c r="AY50" i="8" l="1"/>
  <c r="AY23" i="8"/>
  <c r="AY28" i="6" s="1"/>
  <c r="AW69" i="9"/>
  <c r="AW73" i="9"/>
  <c r="AY24" i="8" l="1"/>
  <c r="AY25" i="8" s="1"/>
  <c r="AY52" i="8" s="1"/>
  <c r="AY51" i="8" l="1"/>
  <c r="AY53" i="8" s="1"/>
  <c r="AY61" i="8" s="1"/>
  <c r="AY63" i="8" s="1"/>
  <c r="AY26" i="8"/>
  <c r="AY27" i="8" s="1"/>
  <c r="AY40" i="8" s="1"/>
  <c r="AY43" i="8" s="1"/>
  <c r="AY44" i="8" s="1"/>
  <c r="AY58" i="6" s="1"/>
  <c r="AY59" i="6" s="1"/>
  <c r="AZ62" i="8" l="1"/>
  <c r="AY65" i="8"/>
  <c r="AZ19" i="6"/>
  <c r="AZ20" i="6" s="1"/>
  <c r="AZ22" i="6" s="1"/>
  <c r="AZ68" i="8" s="1"/>
  <c r="AZ70" i="8" s="1"/>
  <c r="AY65" i="6" l="1"/>
  <c r="AY71" i="8"/>
  <c r="AW74" i="9"/>
  <c r="AY32" i="8"/>
  <c r="AY33" i="8" s="1"/>
  <c r="AY46" i="8" s="1"/>
  <c r="AZ57" i="8"/>
  <c r="AZ25" i="6"/>
  <c r="AZ24" i="5" s="1"/>
  <c r="AZ26" i="6"/>
  <c r="BA23" i="6" s="1"/>
  <c r="AZ17" i="8" l="1"/>
  <c r="AZ25" i="5"/>
  <c r="AZ10" i="5" s="1"/>
  <c r="AZ37" i="8"/>
  <c r="BA21" i="6"/>
  <c r="AZ125" i="7" l="1"/>
  <c r="AZ11" i="5"/>
  <c r="AZ124" i="7"/>
  <c r="AZ62" i="7"/>
  <c r="AZ122" i="7" s="1"/>
  <c r="AZ114" i="7"/>
  <c r="AZ58" i="7"/>
  <c r="AZ126" i="7"/>
  <c r="BA24" i="6"/>
  <c r="BA58" i="8" s="1"/>
  <c r="BA9" i="5" l="1"/>
  <c r="BA26" i="5" s="1"/>
  <c r="AZ19" i="5"/>
  <c r="AZ20" i="5" s="1"/>
  <c r="AZ14" i="8" s="1"/>
  <c r="AZ132" i="7"/>
  <c r="AZ134" i="7"/>
  <c r="AZ16" i="8" s="1"/>
  <c r="AZ54" i="8"/>
  <c r="AZ55" i="8" s="1"/>
  <c r="AZ123" i="7"/>
  <c r="AZ127" i="7" s="1"/>
  <c r="BA114" i="7"/>
  <c r="AZ117" i="7"/>
  <c r="AZ119" i="7" s="1"/>
  <c r="AZ10" i="8" s="1"/>
  <c r="AZ61" i="7"/>
  <c r="BA58" i="7"/>
  <c r="AZ135" i="7" l="1"/>
  <c r="AZ35" i="6"/>
  <c r="AZ57" i="6"/>
  <c r="AX72" i="9"/>
  <c r="AZ13" i="8"/>
  <c r="AZ30" i="8"/>
  <c r="AX68" i="9"/>
  <c r="AZ63" i="7"/>
  <c r="AZ41" i="8" s="1"/>
  <c r="AZ15" i="8"/>
  <c r="AZ18" i="8" s="1"/>
  <c r="AZ128" i="7"/>
  <c r="AZ36" i="6" s="1"/>
  <c r="AZ62" i="6" s="1"/>
  <c r="AZ19" i="8" l="1"/>
  <c r="AZ64" i="8"/>
  <c r="BA131" i="7"/>
  <c r="AZ31" i="8"/>
  <c r="BA133" i="7" l="1"/>
  <c r="AZ49" i="8"/>
  <c r="AZ64" i="6"/>
  <c r="AZ60" i="8"/>
  <c r="AZ38" i="8" l="1"/>
  <c r="AZ50" i="8" l="1"/>
  <c r="AZ23" i="8"/>
  <c r="AZ28" i="6" s="1"/>
  <c r="AX73" i="9"/>
  <c r="AX69" i="9"/>
  <c r="AZ24" i="8" l="1"/>
  <c r="AZ25" i="8" s="1"/>
  <c r="AZ52" i="8" s="1"/>
  <c r="AZ51" i="8" l="1"/>
  <c r="AZ53" i="8" s="1"/>
  <c r="AZ61" i="8" s="1"/>
  <c r="AZ63" i="8" s="1"/>
  <c r="AZ26" i="8"/>
  <c r="AZ27" i="8" s="1"/>
  <c r="AZ40" i="8" s="1"/>
  <c r="AZ43" i="8" s="1"/>
  <c r="AZ44" i="8" s="1"/>
  <c r="AZ58" i="6" s="1"/>
  <c r="AZ59" i="6" s="1"/>
  <c r="BA62" i="8" l="1"/>
  <c r="AZ65" i="8"/>
  <c r="BA19" i="6"/>
  <c r="BA20" i="6" s="1"/>
  <c r="BA22" i="6" s="1"/>
  <c r="BA68" i="8" s="1"/>
  <c r="BA70" i="8" s="1"/>
  <c r="AZ65" i="6" l="1"/>
  <c r="AZ71" i="8"/>
  <c r="AZ32" i="8"/>
  <c r="AZ33" i="8" s="1"/>
  <c r="AZ46" i="8" s="1"/>
  <c r="AX74" i="9"/>
  <c r="BA26" i="6"/>
  <c r="BA37" i="8" s="1"/>
  <c r="BA57" i="8"/>
  <c r="BA25" i="6"/>
  <c r="BA24" i="5" s="1"/>
  <c r="BA17" i="8" l="1"/>
  <c r="BA25" i="5"/>
  <c r="BA10" i="5" s="1"/>
  <c r="BA62" i="7" l="1"/>
  <c r="BA122" i="7" s="1"/>
  <c r="BA59" i="7"/>
  <c r="BA61" i="7" s="1"/>
  <c r="BA115" i="7"/>
  <c r="BA117" i="7" s="1"/>
  <c r="BA119" i="7" s="1"/>
  <c r="BA10" i="8" s="1"/>
  <c r="BA11" i="5"/>
  <c r="BA125" i="7"/>
  <c r="BA124" i="7"/>
  <c r="BA126" i="7"/>
  <c r="BA35" i="6" l="1"/>
  <c r="BA57" i="6"/>
  <c r="BA63" i="7"/>
  <c r="BA41" i="8" s="1"/>
  <c r="AY68" i="9"/>
  <c r="BA123" i="7"/>
  <c r="BA127" i="7" s="1"/>
  <c r="BA54" i="8"/>
  <c r="BA55" i="8" s="1"/>
  <c r="BA30" i="8"/>
  <c r="BA13" i="8"/>
  <c r="AY72" i="9"/>
  <c r="BA132" i="7"/>
  <c r="BA19" i="5"/>
  <c r="BA20" i="5" s="1"/>
  <c r="BA14" i="8" s="1"/>
  <c r="BA134" i="7"/>
  <c r="BA16" i="8" s="1"/>
  <c r="BA135" i="7" l="1"/>
  <c r="BA128" i="7"/>
  <c r="BA36" i="6" s="1"/>
  <c r="BA62" i="6" s="1"/>
  <c r="BA15" i="8"/>
  <c r="BA18" i="8" s="1"/>
  <c r="BA19" i="8" s="1"/>
  <c r="BA49" i="8" l="1"/>
  <c r="BA64" i="6"/>
  <c r="A6" i="9" s="1"/>
  <c r="BA31" i="8"/>
  <c r="BA64" i="8"/>
  <c r="C43" i="9"/>
  <c r="BA60" i="8"/>
  <c r="BA38" i="8" l="1"/>
  <c r="BA50" i="8" l="1"/>
  <c r="BA23" i="8"/>
  <c r="BA28" i="6" s="1"/>
  <c r="C40" i="9"/>
  <c r="AY69" i="9"/>
  <c r="AY73" i="9"/>
  <c r="C39" i="9"/>
  <c r="BA24" i="8" l="1"/>
  <c r="BA25" i="8" s="1"/>
  <c r="BA52" i="8" s="1"/>
  <c r="BA51" i="8" l="1"/>
  <c r="BA53" i="8" s="1"/>
  <c r="BA61" i="8" s="1"/>
  <c r="BA63" i="8" s="1"/>
  <c r="BA65" i="8" s="1"/>
  <c r="BA26" i="8"/>
  <c r="BA27" i="8" s="1"/>
  <c r="BA65" i="6" l="1"/>
  <c r="C41" i="9" s="1"/>
  <c r="BA71" i="8"/>
  <c r="C47" i="9" s="1"/>
  <c r="BA32" i="8"/>
  <c r="BA33" i="8" s="1"/>
  <c r="AY74" i="9"/>
  <c r="C42" i="9"/>
  <c r="BA40" i="8"/>
  <c r="BA43" i="8" s="1"/>
  <c r="C45" i="9"/>
  <c r="C46" i="9" l="1"/>
  <c r="BA44" i="8"/>
  <c r="BA58" i="6" s="1"/>
  <c r="BA59" i="6" s="1"/>
  <c r="BA46" i="8" l="1"/>
  <c r="C44" i="9" s="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tc={916826AC-12B9-4413-92CC-596B552540A4}</author>
    <author>tc={31954D5A-9F4A-4B31-9297-451B72B60BBD}</author>
    <author>tc={FC3EF8A7-E20F-43CB-98A4-F8F9DF34925C}</author>
    <author>tc={813EB32F-D7D4-48E7-8510-583ED741F4EB}</author>
    <author>tc={288BA592-7D95-4DB9-B333-C970252E135A}</author>
    <author>tc={E2520AF3-BE94-4814-AC80-590EBC17F438}</author>
    <author>tc={FC5F73F5-5827-4D24-9044-2DC56AD10C9D}</author>
    <author>tc={DF395FAD-BFCA-463F-8644-F9E62A1A3B7A}</author>
    <author>tc={BBDCCEBC-4A4D-43FC-B45C-C910BC3CABE3}</author>
    <author>tc={6DFB1102-59AB-4F39-96E8-49CDBC7196E6}</author>
    <author>tc={E13C8E67-8ED0-437C-9B4B-DE208848D329}</author>
    <author>tc={6EF41EF9-39C1-46F4-A1B3-DDE0FF9A1C10}</author>
    <author>tc={64737115-1C13-4278-9C40-A30F7330FDC5}</author>
    <author>tc={6F428CEE-A626-40B2-BB49-7B3CD7E60907}</author>
    <author>tc={E608C1DF-0C9E-4C7A-A7A3-942EFD1B024D}</author>
    <author>tc={6A51281A-9704-4F9C-9BDD-A63DDF3FD2C8}</author>
    <author>tc={45FD23A6-6CAD-499F-85F4-B76C66E7CB23}</author>
    <author>tc={A961529F-355C-422C-BD46-C0D138B42672}</author>
    <author>tc={D9C678BE-CE9E-4FF1-A1F9-DF2054CFF40D}</author>
  </authors>
  <commentList>
    <comment ref="C14" authorId="0" shapeId="0" xr:uid="{916826AC-12B9-4413-92CC-596B552540A4}">
      <text>
        <t>[Threaded comment]
Your version of Excel allows you to read this threaded comment; however, any edits to it will get removed if the file is opened in a newer version of Excel. Learn more: https://go.microsoft.com/fwlink/?linkid=870924
Comment:
    The rate the Tontine fund must offer retail annuitants to attract capital, expressed as a spread over the index. The coupon SLC pays is derived from this, not set independently.</t>
      </text>
    </comment>
    <comment ref="C17" authorId="1" shapeId="0" xr:uid="{31954D5A-9F4A-4B31-9297-451B72B60BBD}">
      <text>
        <t>[Threaded comment]
Your version of Excel allows you to read this threaded comment; however, any edits to it will get removed if the file is opened in a newer version of Excel. Learn more: https://go.microsoft.com/fwlink/?linkid=870924
Comment:
    Derived: target investor annuity rate + fund operating cost margin + fund regulatory capital charge. This is the spread over the index used for all Tontine debt service.</t>
      </text>
    </comment>
    <comment ref="C18" authorId="2" shapeId="0" xr:uid="{FC3EF8A7-E20F-43CB-98A4-F8F9DF34925C}">
      <text>
        <t>[Threaded comment]
Your version of Excel allows you to read this threaded comment; however, any edits to it will get removed if the file is opened in a newer version of Excel. Learn more: https://go.microsoft.com/fwlink/?linkid=870924
Comment:
    The closed-end fund accepts capital only up to this total. Once cumulative drawdowns reach it, no further Tontine capital is available (Capital &amp; Debt rows 32 and 36).</t>
      </text>
    </comment>
    <comment ref="C19" authorId="3" shapeId="0" xr:uid="{813EB32F-D7D4-48E7-8510-583ED741F4EB}">
      <text>
        <t>[Threaded comment]
Your version of Excel allows you to read this threaded comment; however, any edits to it will get removed if the file is opened in a newer version of Excel. Learn more: https://go.microsoft.com/fwlink/?linkid=870924
Comment:
    The fund is closed-end: SLC can draw only during this many years from Year 1. After that no further Tontine capital can be raised regardless of remaining raise capacity or LTV headroom.</t>
      </text>
    </comment>
    <comment ref="C20" authorId="4" shapeId="0" xr:uid="{288BA592-7D95-4DB9-B333-C970252E135A}">
      <text>
        <t>[Threaded comment]
Your version of Excel allows you to read this threaded comment; however, any edits to it will get removed if the file is opened in a newer version of Excel. Learn more: https://go.microsoft.com/fwlink/?linkid=870924
Comment:
    From this year onwards the fund progressively releases property charges as member annuity obligations fall away. There is no principal repayment and no maturity date.</t>
      </text>
    </comment>
    <comment ref="C21" authorId="5" shapeId="0" xr:uid="{E2520AF3-BE94-4814-AC80-590EBC17F438}">
      <text>
        <t>[Threaded comment]
Your version of Excel allows you to read this threaded comment; however, any edits to it will get removed if the file is opened in a newer version of Excel. Learn more: https://go.microsoft.com/fwlink/?linkid=870924
Comment:
    Each year in the release phase the outstanding Tontine balance is reduced by this proportion. The reduction is credited directly to SLC reserves (Financial Statements row 42) — it is not P&amp;L income, and no cash changes hands.</t>
      </text>
    </comment>
    <comment ref="C22" authorId="6" shapeId="0" xr:uid="{FC5F73F5-5827-4D24-9044-2DC56AD10C9D}">
      <text>
        <t>[Threaded comment]
Your version of Excel allows you to read this threaded comment; however, any edits to it will get removed if the file is opened in a newer version of Excel. Learn more: https://go.microsoft.com/fwlink/?linkid=870924
Comment:
    Caps cumulative Tontine drawdowns against the indexed balance plus any commercial mortgage.</t>
      </text>
    </comment>
    <comment ref="C23" authorId="7" shapeId="0" xr:uid="{DF395FAD-BFCA-463F-8644-F9E62A1A3B7A}">
      <text>
        <t>[Threaded comment]
Your version of Excel allows you to read this threaded comment; however, any edits to it will get removed if the file is opened in a newer version of Excel. Learn more: https://go.microsoft.com/fwlink/?linkid=870924
Comment:
    1 = at the refinancing year the whole outstanding Tontine balance transfers to a commercial mortgage amortised straight-line, and no further Tontine capital may be drawn. 0 = the Tontine runs in perpetuity under the progressive release mechanism.</t>
      </text>
    </comment>
    <comment ref="C36" authorId="8" shapeId="0" xr:uid="{BBDCCEBC-4A4D-43FC-B45C-C910BC3CABE3}">
      <text>
        <t>[Threaded comment]
Your version of Excel allows you to read this threaded comment; however, any edits to it will get removed if the file is opened in a newer version of Excel. Learn more: https://go.microsoft.com/fwlink/?linkid=870924
Comment:
    Gift Aid is claimed only on this line. Cash donations from UK taxpayers qualify for Gift Aid recovery; the split from bequests is deliberate.</t>
      </text>
    </comment>
    <comment ref="C37" authorId="9" shapeId="0" xr:uid="{6DFB1102-59AB-4F39-96E8-49CDBC7196E6}">
      <text>
        <t>[Threaded comment]
Your version of Excel allows you to read this threaded comment; however, any edits to it will get removed if the file is opened in a newer version of Excel. Learn more: https://go.microsoft.com/fwlink/?linkid=870924
Comment:
    Bequests from estates are NOT Gift Aid eligible — they fall under inheritance tax rules. No Gift Aid is claimed on this line.</t>
      </text>
    </comment>
    <comment ref="C38" authorId="10" shapeId="0" xr:uid="{E13C8E67-8ED0-437C-9B4B-DE208848D329}">
      <text>
        <t>[Threaded comment]
Your version of Excel allows you to read this threaded comment; however, any edits to it will get removed if the file is opened in a newer version of Excel. Learn more: https://go.microsoft.com/fwlink/?linkid=870924
Comment:
    A one-off founding grant or seed gift received in Year 1 only. Raise this to relieve the early-year cash position (see the capital call flag on Financial Statements row 71).</t>
      </text>
    </comment>
    <comment ref="C65" authorId="11" shapeId="0" xr:uid="{6EF41EF9-39C1-46F4-A1B3-DDE0FF9A1C10}">
      <text>
        <t>[Threaded comment]
Your version of Excel allows you to read this threaded comment; however, any edits to it will get removed if the file is opened in a newer version of Excel. Learn more: https://go.microsoft.com/fwlink/?linkid=870924
Comment:
    The floor below which free cash should not fall. Any year where free cash drops below this level is reported as a required capital call on Financial Statements row 71 and flagged on the Dashboard. The acquisition funding requirement on Capital &amp; Debt row 36 draws Tontine capital to maintain this buffer where capacity allows.</t>
      </text>
    </comment>
    <comment ref="C77" authorId="12" shapeId="0" xr:uid="{64737115-1C13-4278-9C40-A30F7330FDC5}">
      <text>
        <t>[Threaded comment]
Your version of Excel allows you to read this threaded comment; however, any edits to it will get removed if the file is opened in a newer version of Excel. Learn more: https://go.microsoft.com/fwlink/?linkid=870924
Comment:
    Investment return earned on the CapEx sinking fund balance. Default 0% so the fund is modelled as non-interest-bearing cash; a positive return reduces the contribution needed to reach any given target.</t>
      </text>
    </comment>
    <comment ref="C79" authorId="13" shapeId="0" xr:uid="{6F428CEE-A626-40B2-BB49-7B3CD7E60907}">
      <text>
        <t>[Threaded comment]
Your version of Excel allows you to read this threaded comment; however, any edits to it will get removed if the file is opened in a newer version of Excel. Learn more: https://go.microsoft.com/fwlink/?linkid=870924
Comment:
    Set the model year of a one-off house-price shock, or 0 for none. A full time-series override sits on Macro &amp; Indexation row 15 — type a rate into any year to override HPI for that year alone.</t>
      </text>
    </comment>
    <comment ref="C81" authorId="14" shapeId="0" xr:uid="{E608C1DF-0C9E-4C7A-A7A3-942EFD1B024D}">
      <text>
        <t>[Threaded comment]
Your version of Excel allows you to read this threaded comment; however, any edits to it will get removed if the file is opened in a newer version of Excel. Learn more: https://go.microsoft.com/fwlink/?linkid=870924
Comment:
    Number of years, starting at the HPI shock year, during which rent inflation is replaced by the shock rate below. Set to 0 to disable. This lets a house price crash be paired with a rent freeze, which a pure HPI shock does not capture.</t>
      </text>
    </comment>
    <comment ref="C82" authorId="15" shapeId="0" xr:uid="{6A51281A-9704-4F9C-9BDD-A63DDF3FD2C8}">
      <text>
        <t>[Threaded comment]
Your version of Excel allows you to read this threaded comment; however, any edits to it will get removed if the file is opened in a newer version of Excel. Learn more: https://go.microsoft.com/fwlink/?linkid=870924
Comment:
    Rent inflation applied during the rent shock window.</t>
      </text>
    </comment>
    <comment ref="C89" authorId="16" shapeId="0" xr:uid="{45FD23A6-6CAD-499F-85F4-B76C66E7CB23}">
      <text>
        <t>[Threaded comment]
Your version of Excel allows you to read this threaded comment; however, any edits to it will get removed if the file is opened in a newer version of Excel. Learn more: https://go.microsoft.com/fwlink/?linkid=870924
Comment:
    1 = acquisitions are capped at what can actually be funded each year from Tontine capacity, retained free cash above the reserve target, gifts and net share proceeds. 0 = the growth curve runs unconstrained and any gap is reported on Capital &amp; Debt row 60.</t>
      </text>
    </comment>
    <comment ref="C91" authorId="17" shapeId="0" xr:uid="{A961529F-355C-422C-BD46-C0D138B42672}">
      <text>
        <t>[Threaded comment]
Your version of Excel allows you to read this threaded comment; however, any edits to it will get removed if the file is opened in a newer version of Excel. Learn more: https://go.microsoft.com/fwlink/?linkid=870924
Comment:
    Acquisitions, the related transaction costs, the purchase price and the matching Tontine drawdown are all assumed to complete in this month of each year on the Monthly Cash Flow sheet.</t>
      </text>
    </comment>
    <comment ref="C92" authorId="18" shapeId="0" xr:uid="{D9C678BE-CE9E-4FF1-A1F9-DF2054CFF40D}">
      <text>
        <t>[Threaded comment]
Your version of Excel allows you to read this threaded comment; however, any edits to it will get removed if the file is opened in a newer version of Excel. Learn more: https://go.microsoft.com/fwlink/?linkid=870924
Comment:
    Number of debt service payments per year on the Monthly Cash Flow sheet. 4 = quarterly, 12 = monthly, 1 = annually in month 12.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tc={05E5E902-AD91-4275-95DD-16F14E026D8E}</author>
    <author>tc={1DF3D29C-23E4-48DC-9D6F-85C9C49584D5}</author>
    <author>tc={B980C10D-D632-4024-A75B-6B33D7437CB8}</author>
    <author>tc={833DECEE-329F-441C-8E92-20F9EA73871F}</author>
    <author>tc={648A7441-FCEB-436F-854F-8B0C2FEE0273}</author>
  </authors>
  <commentList>
    <comment ref="A16" authorId="0" shapeId="0" xr:uid="{05E5E902-AD91-4275-95DD-16F14E026D8E}">
      <text>
        <t>[Threaded comment]
Your version of Excel allows you to read this threaded comment; however, any edits to it will get removed if the file is opened in a newer version of Excel. Learn more: https://go.microsoft.com/fwlink/?linkid=870924
Comment:
    Structural maintenance and the CapEx sinking fund contribution are both charged on the full portfolio, including void properties. This is deliberate and conservative: a void property still incurs maintenance and still needs a sinking fund provision. Neither line is reduced by the void rate.</t>
      </text>
    </comment>
    <comment ref="A17" authorId="1" shapeId="0" xr:uid="{1DF3D29C-23E4-48DC-9D6F-85C9C49584D5}">
      <text>
        <t>[Threaded comment]
Your version of Excel allows you to read this threaded comment; however, any edits to it will get removed if the file is opened in a newer version of Excel. Learn more: https://go.microsoft.com/fwlink/?linkid=870924
Comment:
    Community share issuance costs are expensed through the P&amp;L, which is the correct treatment for a BENCOM under UK GAAP. The share proceeds themselves are not income — they are a capital movement and appear only on the balance sheet and in financing cash flow. The memorandum block at rows 67–70 restates capital raised in each year so the P&amp;L can be read without that asymmetry causing confusion.</t>
      </text>
    </comment>
    <comment ref="A22" authorId="2" shapeId="0" xr:uid="{B980C10D-D632-4024-A75B-6B33D7437CB8}">
      <text>
        <t>[Threaded comment]
Your version of Excel allows you to read this threaded comment; however, any edits to it will get removed if the file is opened in a newer version of Excel. Learn more: https://go.microsoft.com/fwlink/?linkid=870924
Comment:
    Non-cash. The Tontine principal is index-linked, so it inflates by CPI each year (Capital &amp; Debt row 31). That uplift is a real finance cost and is charged here, but no cash leaves the organisation, so it is excluded from the cash flow statement below.</t>
      </text>
    </comment>
    <comment ref="A42" authorId="3" shapeId="0" xr:uid="{833DECEE-329F-441C-8E92-20F9EA73871F}">
      <text>
        <t>[Threaded comment]
Your version of Excel allows you to read this threaded comment; however, any edits to it will get removed if the file is opened in a newer version of Excel. Learn more: https://go.microsoft.com/fwlink/?linkid=870924
Comment:
    Non-cash. From the release phase start year the Tontine fund progressively releases property charges as member annuity obligations fall away. The reduction in the liability is credited directly to reserves — it is not P&amp;L income and no cash changes hands.</t>
      </text>
    </comment>
    <comment ref="A71" authorId="4" shapeId="0" xr:uid="{648A7441-FCEB-436F-854F-8B0C2FEE0273}">
      <text>
        <t>[Threaded comment]
Your version of Excel allows you to read this threaded comment; however, any edits to it will get removed if the file is opened in a newer version of Excel. Learn more: https://go.microsoft.com/fwlink/?linkid=870924
Comment:
    Any year showing a figure here means free cash has fallen below the minimum operating cash buffer and a capital call, bridging facility or overdraft would be required. The model does not silently fund the gap.</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<sst xmlns="http://schemas.openxmlformats.org/spreadsheetml/2006/main" count="722" uniqueCount="403">
  <si>
    <t>STROUD LAND COMMONS — CONTROL &amp; PARAMETERS</t>
  </si>
  <si>
    <t>Base</t>
  </si>
  <si>
    <t>Scenario ID</t>
  </si>
  <si>
    <t>Single source of truth. Blue = input. Green = scenario-selected live value referenced by every other sheet.</t>
  </si>
  <si>
    <t>PARAMETER</t>
  </si>
  <si>
    <t>UNIT</t>
  </si>
  <si>
    <t>LIVE VALUE</t>
  </si>
  <si>
    <t>Optimistic</t>
  </si>
  <si>
    <t>Stress</t>
  </si>
  <si>
    <t>MACRO &amp; INDEXATION</t>
  </si>
  <si>
    <t>General CPI inflation</t>
  </si>
  <si>
    <t>% p.a.</t>
  </si>
  <si>
    <t>Rent inflation</t>
  </si>
  <si>
    <t>HPI premium over CPI</t>
  </si>
  <si>
    <t>Base calendar year (Year 1)</t>
  </si>
  <si>
    <t>year</t>
  </si>
  <si>
    <t>text</t>
  </si>
  <si>
    <t>CPI</t>
  </si>
  <si>
    <t>years</t>
  </si>
  <si>
    <t>LTV limit</t>
  </si>
  <si>
    <t>% of portfolio value</t>
  </si>
  <si>
    <t>Refinance into commercial mortgage? (1 = Yes)</t>
  </si>
  <si>
    <t>Refinancing year</t>
  </si>
  <si>
    <t>model year</t>
  </si>
  <si>
    <t>Commercial mortgage rate</t>
  </si>
  <si>
    <t>Commercial mortgage amortisation</t>
  </si>
  <si>
    <t>COMMUNITY SHARES (JUNIOR DEBT)</t>
  </si>
  <si>
    <t>Default dividend rate (override per year on Capital &amp; Debt)</t>
  </si>
  <si>
    <t>Maximum issuance cap</t>
  </si>
  <si>
    <t>% of total capital</t>
  </si>
  <si>
    <t>Withdrawal restriction period</t>
  </si>
  <si>
    <t>Issuance / marketing cost</t>
  </si>
  <si>
    <t>% of proceeds</t>
  </si>
  <si>
    <t>Baseline annual issuance (real)</t>
  </si>
  <si>
    <t>£ p.a.</t>
  </si>
  <si>
    <t>Take-up multiplier</t>
  </si>
  <si>
    <t>x</t>
  </si>
  <si>
    <t>Annual withdrawal rate on eligible shares</t>
  </si>
  <si>
    <t>BEQUESTS &amp; GIFTS</t>
  </si>
  <si>
    <t>Real growth multiplier</t>
  </si>
  <si>
    <t>RENT &amp; YIELD</t>
  </si>
  <si>
    <t>Gross rental yield</t>
  </si>
  <si>
    <t>% of purchase price</t>
  </si>
  <si>
    <t>Land Commons share of gross rent</t>
  </si>
  <si>
    <t>%</t>
  </si>
  <si>
    <t>Void rate</t>
  </si>
  <si>
    <t>ACQUISITION</t>
  </si>
  <si>
    <t>Average property price (real, Year 1)</t>
  </si>
  <si>
    <t>£</t>
  </si>
  <si>
    <t>SDLT rate (charitable relief)</t>
  </si>
  <si>
    <t>% of price</t>
  </si>
  <si>
    <t>Conveyancing per property (real)</t>
  </si>
  <si>
    <t>Survey per property (real)</t>
  </si>
  <si>
    <t>Initial retrofit per property (real)</t>
  </si>
  <si>
    <t>ADMIN COSTS — EARLY YEARS (real)</t>
  </si>
  <si>
    <t>Board remuneration</t>
  </si>
  <si>
    <t>Accounting &amp; audit</t>
  </si>
  <si>
    <t>FCA &amp; annual reporting</t>
  </si>
  <si>
    <t>Insurance</t>
  </si>
  <si>
    <t>ADMIN COSTS — TARGET (real)</t>
  </si>
  <si>
    <t>Variable admin per property</t>
  </si>
  <si>
    <t>£ / property / yr</t>
  </si>
  <si>
    <t>RESERVES</t>
  </si>
  <si>
    <t>Target reserve</t>
  </si>
  <si>
    <t>months of debt service</t>
  </si>
  <si>
    <t>Minimum covenant</t>
  </si>
  <si>
    <t>Target reserve fully built by</t>
  </si>
  <si>
    <t>GROWTH CURVE</t>
  </si>
  <si>
    <t>Properties acquired — Year 1</t>
  </si>
  <si>
    <t>properties</t>
  </si>
  <si>
    <t>Properties acquired — Year 2</t>
  </si>
  <si>
    <t>Properties acquired — Year 3</t>
  </si>
  <si>
    <t>Logistic growth begins</t>
  </si>
  <si>
    <t>Logistic floor (min acquisitions p.a.)</t>
  </si>
  <si>
    <t>Logistic ceiling (max portfolio)</t>
  </si>
  <si>
    <t>Doubling rate</t>
  </si>
  <si>
    <t>CAPEX &amp; MAINTENANCE</t>
  </si>
  <si>
    <t>Sinking fund contribution</t>
  </si>
  <si>
    <t>Structural maintenance spend</t>
  </si>
  <si>
    <t>One-off HPI shock year (0 = none)</t>
  </si>
  <si>
    <t>One-off HPI shock</t>
  </si>
  <si>
    <t>TAX &amp; GIFT AID</t>
  </si>
  <si>
    <t>Corporation tax exempt? (1 = Yes)</t>
  </si>
  <si>
    <t>Corporation tax rate (if not exempt)</t>
  </si>
  <si>
    <t>Gift Aid applicable? (1 = Yes)</t>
  </si>
  <si>
    <t>Gift Aid recovery rate</t>
  </si>
  <si>
    <t>% of qualifying gifts</t>
  </si>
  <si>
    <t>All index series start at 1.00 in Year 1. HPI = CPI + premium, plus one-off shock, with a manual override row.</t>
  </si>
  <si>
    <t>Model year</t>
  </si>
  <si>
    <t>Calendar year</t>
  </si>
  <si>
    <t>CPI index</t>
  </si>
  <si>
    <t>Year 1 = 1.00</t>
  </si>
  <si>
    <t>Rent index</t>
  </si>
  <si>
    <t>HPI — base rate</t>
  </si>
  <si>
    <t>CPI + premium</t>
  </si>
  <si>
    <t>HPI — parameterised one-off shock</t>
  </si>
  <si>
    <t>from Control</t>
  </si>
  <si>
    <t>HPI — manual override (blank = use above)</t>
  </si>
  <si>
    <t>INPUT</t>
  </si>
  <si>
    <t>HPI — effective rate</t>
  </si>
  <si>
    <t>House price index (HPI)</t>
  </si>
  <si>
    <t>Average property price (indexed)</t>
  </si>
  <si>
    <t>Cost inflation index</t>
  </si>
  <si>
    <t>GROWTH ENGINE — ACQUISITIONS &amp; ADMIN COST SCALING</t>
  </si>
  <si>
    <t>Years 1-3: absolute acquisitions. Year 4+: logistic S-curve on the cumulative portfolio (floor / ceiling / doubling rate).</t>
  </si>
  <si>
    <t>Logistic intrinsic growth rate  r = LN(2) / doubling years</t>
  </si>
  <si>
    <t>r</t>
  </si>
  <si>
    <t>Portfolio — opening</t>
  </si>
  <si>
    <t>Properties acquired in year</t>
  </si>
  <si>
    <t>Portfolio — closing</t>
  </si>
  <si>
    <t>ADMIN COST SCALING</t>
  </si>
  <si>
    <t>Ramp factor (early → target)</t>
  </si>
  <si>
    <t>0 = early, 1 = target</t>
  </si>
  <si>
    <t>Variable admin (per property)</t>
  </si>
  <si>
    <t>Total admin costs</t>
  </si>
  <si>
    <t>PROPERTY PORTFOLIO — ASSET REGISTER</t>
  </si>
  <si>
    <t>Each acquisition year is tracked as its own cohort. Values grow with HPI; cohort rents grow with rent inflation from the purchase-year rent.</t>
  </si>
  <si>
    <t>COHORT PORTFOLIO VALUE (£, HPI-indexed)</t>
  </si>
  <si>
    <t>Total portfolio value — closing</t>
  </si>
  <si>
    <t>Additions at cost in year</t>
  </si>
  <si>
    <t>HPI revaluation gain / (loss)</t>
  </si>
  <si>
    <t>COHORT GROSS ANNUAL RENT (£)</t>
  </si>
  <si>
    <t>Total gross annual rent</t>
  </si>
  <si>
    <t>Land Commons net rental income</t>
  </si>
  <si>
    <t>gross × share × (1 − void)</t>
  </si>
  <si>
    <t>ACQUISITION COSTS</t>
  </si>
  <si>
    <t>Purchase price paid</t>
  </si>
  <si>
    <t>SDLT</t>
  </si>
  <si>
    <t>Conveyancing</t>
  </si>
  <si>
    <t>Surveys</t>
  </si>
  <si>
    <t>Initial retrofit</t>
  </si>
  <si>
    <t>Total transaction costs</t>
  </si>
  <si>
    <t>Total acquisition cash cost</t>
  </si>
  <si>
    <t>CAPEX SINKING FUND</t>
  </si>
  <si>
    <t>Opening balance</t>
  </si>
  <si>
    <t>Contribution</t>
  </si>
  <si>
    <t>Closing balance</t>
  </si>
  <si>
    <t>Cohort — Year 1</t>
  </si>
  <si>
    <t>Cohort — Year 2</t>
  </si>
  <si>
    <t>Cohort — Year 3</t>
  </si>
  <si>
    <t>Cohort — Year 4</t>
  </si>
  <si>
    <t>Cohort — Year 5</t>
  </si>
  <si>
    <t>Cohort — Year 6</t>
  </si>
  <si>
    <t>Cohort — Year 7</t>
  </si>
  <si>
    <t>Cohort — Year 8</t>
  </si>
  <si>
    <t>Cohort — Year 9</t>
  </si>
  <si>
    <t>Cohort — Year 10</t>
  </si>
  <si>
    <t>Cohort — Year 11</t>
  </si>
  <si>
    <t>Cohort — Year 12</t>
  </si>
  <si>
    <t>Cohort — Year 13</t>
  </si>
  <si>
    <t>Cohort — Year 14</t>
  </si>
  <si>
    <t>Cohort — Year 15</t>
  </si>
  <si>
    <t>Cohort — Year 16</t>
  </si>
  <si>
    <t>Cohort — Year 17</t>
  </si>
  <si>
    <t>Cohort — Year 18</t>
  </si>
  <si>
    <t>Cohort — Year 19</t>
  </si>
  <si>
    <t>Cohort — Year 20</t>
  </si>
  <si>
    <t>Cohort — Year 21</t>
  </si>
  <si>
    <t>Cohort — Year 22</t>
  </si>
  <si>
    <t>Cohort — Year 23</t>
  </si>
  <si>
    <t>Cohort — Year 24</t>
  </si>
  <si>
    <t>Cohort — Year 25</t>
  </si>
  <si>
    <t>Cohort — Year 26</t>
  </si>
  <si>
    <t>Cohort — Year 27</t>
  </si>
  <si>
    <t>Cohort — Year 28</t>
  </si>
  <si>
    <t>Cohort — Year 29</t>
  </si>
  <si>
    <t>Cohort — Year 30</t>
  </si>
  <si>
    <t>Cohort — Year 31</t>
  </si>
  <si>
    <t>Cohort — Year 32</t>
  </si>
  <si>
    <t>Cohort — Year 33</t>
  </si>
  <si>
    <t>Cohort — Year 34</t>
  </si>
  <si>
    <t>Cohort — Year 35</t>
  </si>
  <si>
    <t>Cohort — Year 36</t>
  </si>
  <si>
    <t>Cohort — Year 37</t>
  </si>
  <si>
    <t>Cohort — Year 38</t>
  </si>
  <si>
    <t>Cohort — Year 39</t>
  </si>
  <si>
    <t>Cohort — Year 40</t>
  </si>
  <si>
    <t>Cohort — Year 41</t>
  </si>
  <si>
    <t>Cohort — Year 42</t>
  </si>
  <si>
    <t>Cohort — Year 43</t>
  </si>
  <si>
    <t>Cohort — Year 44</t>
  </si>
  <si>
    <t>Cohort — Year 45</t>
  </si>
  <si>
    <t>Cohort — Year 46</t>
  </si>
  <si>
    <t>Cohort — Year 47</t>
  </si>
  <si>
    <t>Cohort — Year 48</t>
  </si>
  <si>
    <t>Cohort — Year 49</t>
  </si>
  <si>
    <t>Cohort — Year 50</t>
  </si>
  <si>
    <t>CAPITAL &amp; DEBT SCHEDULE</t>
  </si>
  <si>
    <t>Tontine (index-linked, interest-only) · Community shares (junior debt) · Bequests &amp; gifts. Row 25 dividend rate is a per-year input.</t>
  </si>
  <si>
    <t>Tontine termination / refinancing year</t>
  </si>
  <si>
    <t>Gift Aid recovery</t>
  </si>
  <si>
    <t>Total gift income</t>
  </si>
  <si>
    <t>Cumulative bequests &amp; gifts</t>
  </si>
  <si>
    <t>Target issuance (indexed)</t>
  </si>
  <si>
    <t>Maximum share capital permitted</t>
  </si>
  <si>
    <t>cap % of total capital</t>
  </si>
  <si>
    <t>Opening share capital</t>
  </si>
  <si>
    <t>Shares issued</t>
  </si>
  <si>
    <t>Shares eligible for withdrawal</t>
  </si>
  <si>
    <t>Withdrawals</t>
  </si>
  <si>
    <t>Issuance / marketing costs</t>
  </si>
  <si>
    <t>Closing share capital</t>
  </si>
  <si>
    <t>Dividend rate — per year (INPUT)</t>
  </si>
  <si>
    <t>Dividends payable (capped by surplus)</t>
  </si>
  <si>
    <t>LTV headroom</t>
  </si>
  <si>
    <t>Funding requirement</t>
  </si>
  <si>
    <t>Drawdown</t>
  </si>
  <si>
    <t>Interest paid</t>
  </si>
  <si>
    <t>COMMERCIAL MORTGAGE (POST-REFINANCING)</t>
  </si>
  <si>
    <t>Drawdown on refinancing</t>
  </si>
  <si>
    <t>Principal repaid</t>
  </si>
  <si>
    <t>DEBT SERVICE, LEVERAGE &amp; RESERVES</t>
  </si>
  <si>
    <t>Total interest paid</t>
  </si>
  <si>
    <t>Total principal repaid</t>
  </si>
  <si>
    <t>Total debt service</t>
  </si>
  <si>
    <t>Total debt outstanding</t>
  </si>
  <si>
    <t>Loan-to-value (LTV)</t>
  </si>
  <si>
    <t>Community shares % of total capital</t>
  </si>
  <si>
    <t>Minimum reserve covenant</t>
  </si>
  <si>
    <t>FINANCIAL STATEMENTS — 50-YEAR PROJECTION</t>
  </si>
  <si>
    <t>P&amp;L, Balance Sheet and Cash Flow. Row 46 is the balance-sheet integrity check and must read zero in every year.</t>
  </si>
  <si>
    <t>PROFIT &amp; LOSS</t>
  </si>
  <si>
    <t>Rental income (Land Commons share, net of voids)</t>
  </si>
  <si>
    <t>Total income</t>
  </si>
  <si>
    <t>Admin costs</t>
  </si>
  <si>
    <t>Acquisition transaction costs</t>
  </si>
  <si>
    <t>Structural maintenance</t>
  </si>
  <si>
    <t>Community share issuance costs</t>
  </si>
  <si>
    <t>Total operating costs</t>
  </si>
  <si>
    <t>Operating surplus</t>
  </si>
  <si>
    <t>Interest — Tontine</t>
  </si>
  <si>
    <t>Interest — commercial mortgage</t>
  </si>
  <si>
    <t>Surplus before dividends &amp; tax</t>
  </si>
  <si>
    <t>Community share dividends</t>
  </si>
  <si>
    <t>Corporation tax</t>
  </si>
  <si>
    <t>Retained surplus for the year</t>
  </si>
  <si>
    <t>Cumulative retained surplus</t>
  </si>
  <si>
    <t>BALANCE SHEET</t>
  </si>
  <si>
    <t>Property portfolio at HPI value</t>
  </si>
  <si>
    <t>CapEx sinking fund</t>
  </si>
  <si>
    <t>Free cash / operating reserves</t>
  </si>
  <si>
    <t>Total assets</t>
  </si>
  <si>
    <t>Pension fund loan (Tontine)</t>
  </si>
  <si>
    <t>Commercial mortgage</t>
  </si>
  <si>
    <t>Community share capital (junior debt)</t>
  </si>
  <si>
    <t>Total liabilities</t>
  </si>
  <si>
    <t>HPI revaluation reserve</t>
  </si>
  <si>
    <t>Total reserves / net assets</t>
  </si>
  <si>
    <t>Total liabilities &amp; reserves</t>
  </si>
  <si>
    <t>CHECK: assets − liabilities − reserves</t>
  </si>
  <si>
    <t>must be 0</t>
  </si>
  <si>
    <t>CASH FLOW</t>
  </si>
  <si>
    <t>Dividends paid</t>
  </si>
  <si>
    <t>Tax paid</t>
  </si>
  <si>
    <t>Net cash from operations</t>
  </si>
  <si>
    <t>Property purchases (capitalised)</t>
  </si>
  <si>
    <t>Net cash from investing</t>
  </si>
  <si>
    <t>Tontine drawdown</t>
  </si>
  <si>
    <t>Community shares issued</t>
  </si>
  <si>
    <t>Community shares withdrawn</t>
  </si>
  <si>
    <t>Commercial mortgage principal repaid</t>
  </si>
  <si>
    <t>Net cash from financing</t>
  </si>
  <si>
    <t>Net change in cash</t>
  </si>
  <si>
    <t>Cash — opening</t>
  </si>
  <si>
    <t>Cash — closing (total)</t>
  </si>
  <si>
    <t>Less: CapEx sinking fund (earmarked)</t>
  </si>
  <si>
    <t>Unfunded requirement (LTV cap binding)</t>
  </si>
  <si>
    <t>DSCR (operating surplus / debt service)</t>
  </si>
  <si>
    <t>Reserve cover</t>
  </si>
  <si>
    <t>SCENARIO (set on Dashboard)</t>
  </si>
  <si>
    <t>STROUD LAND COMMONS — SCENARIO DASHBOARD</t>
  </si>
  <si>
    <t>Scenario</t>
  </si>
  <si>
    <t>Review year (1 – 50)</t>
  </si>
  <si>
    <t>KEY METRICS — REVIEW YEAR</t>
  </si>
  <si>
    <t>Properties in portfolio</t>
  </si>
  <si>
    <t>Portfolio value (HPI-indexed)</t>
  </si>
  <si>
    <t>Net rental income to Land Commons</t>
  </si>
  <si>
    <t>Tontine loan outstanding</t>
  </si>
  <si>
    <t>Commercial mortgage outstanding</t>
  </si>
  <si>
    <t>Community share capital</t>
  </si>
  <si>
    <t>Net assets</t>
  </si>
  <si>
    <t>HEALTH CHECK — REVIEW YEAR</t>
  </si>
  <si>
    <t>Indicator</t>
  </si>
  <si>
    <t>Value</t>
  </si>
  <si>
    <t>Target</t>
  </si>
  <si>
    <t>Status</t>
  </si>
  <si>
    <t>Debt service coverage ratio (DSCR)</t>
  </si>
  <si>
    <t>Reserve cover (months of debt service)</t>
  </si>
  <si>
    <t>Community shares as % of total capital</t>
  </si>
  <si>
    <t>Unfunded acquisition requirement</t>
  </si>
  <si>
    <t>Balance sheet check (must be nil)</t>
  </si>
  <si>
    <t>WORST CASE ACROSS THE FULL 50-YEAR HORIZON</t>
  </si>
  <si>
    <t>Minimum DSCR (years with debt service)</t>
  </si>
  <si>
    <t>Maximum LTV</t>
  </si>
  <si>
    <t>Minimum reserve cover</t>
  </si>
  <si>
    <t>Minimum free cash / reserves</t>
  </si>
  <si>
    <t>Years with an unfunded acquisition requirement</t>
  </si>
  <si>
    <t>Largest balance sheet discrepancy</t>
  </si>
  <si>
    <t>Cumulative retained surplus, Year 50</t>
  </si>
  <si>
    <t>Net assets, Year 50</t>
  </si>
  <si>
    <t>Other capital — opening (total capital ex-shares)</t>
  </si>
  <si>
    <t>Total capital employed (liabilities + reserves)</t>
  </si>
  <si>
    <t>CHART DATA (grouped — expand to inspect)</t>
  </si>
  <si>
    <t>Year</t>
  </si>
  <si>
    <t>Portfolio value</t>
  </si>
  <si>
    <t>Net rental income</t>
  </si>
  <si>
    <t>Free cash / reserves</t>
  </si>
  <si>
    <t>Commercial mortgage is amortised straight-line over its remaining term.</t>
  </si>
  <si>
    <t>1 / 0</t>
  </si>
  <si>
    <t>ACQUISITION FUNDING DISCIPLINE</t>
  </si>
  <si>
    <t>Cap acquisitions at affordable level? (1 = Yes)</t>
  </si>
  <si>
    <t>FUNDING-CONSTRAINED ACQUISITION CAP</t>
  </si>
  <si>
    <t>Unit acquisition cost (price + SDLT + fees + retrofit)</t>
  </si>
  <si>
    <t>Funding capacity excl. new gearing on purchases</t>
  </si>
  <si>
    <t>Affordable properties</t>
  </si>
  <si>
    <t>Growth-curve acquisitions (unconstrained)</t>
  </si>
  <si>
    <t>HOW THE MODEL WORKS</t>
  </si>
  <si>
    <t>1. Control &amp; Parameters holds every assumption. Column C is the live value selected by the scenario dropdown above; columns E–G hold the Base, Optimistic and Stress inputs. All other sheets read column C through named ranges — nothing is hardcoded downstream.</t>
  </si>
  <si>
    <t>2. Macro &amp; Indexation builds independent CPI, rent-inflation and HPI index series. Row 15 is a free time-series override for HPI: type a rate into any year to model a crash or boom for that year alone.</t>
  </si>
  <si>
    <t>4. Asset Register tracks every annual acquisition cohort separately (rows 10–59 for value, 66–115 for gross rent), so each vintage carries its own purchase price, HPI revaluation and rent-inflation path. The CapEx sinking fund sits at rows 131–134.</t>
  </si>
  <si>
    <t>Limit / Min</t>
  </si>
  <si>
    <t>TONTINE FUND — CLOSED-END LIFETIME ANNUITY MUTUAL</t>
  </si>
  <si>
    <t>Indexation basis (principal and coupon)</t>
  </si>
  <si>
    <t>Target investor annuity rate — spread over index</t>
  </si>
  <si>
    <t>Fund operating cost margin</t>
  </si>
  <si>
    <t>Fund regulatory capital charge</t>
  </si>
  <si>
    <t>Implied SLC coupon — spread over index (derived)</t>
  </si>
  <si>
    <t>Tontine maximum raise</t>
  </si>
  <si>
    <t>Investment phase duration</t>
  </si>
  <si>
    <t>Release phase start year</t>
  </si>
  <si>
    <t>Annual release rate</t>
  </si>
  <si>
    <t>% of outstanding balance p.a.</t>
  </si>
  <si>
    <t>Indexation uplift on Tontine principal (non-cash)</t>
  </si>
  <si>
    <t>Tontine principal released to reserves</t>
  </si>
  <si>
    <t>CPI indexation uplift on principal</t>
  </si>
  <si>
    <t>Indexed opening balance</t>
  </si>
  <si>
    <t>Cumulative capital raised — opening</t>
  </si>
  <si>
    <t>Remaining raise capacity</t>
  </si>
  <si>
    <t>Cumulative capital raised — closing</t>
  </si>
  <si>
    <t>Implied SLC coupon rate (index + spread)</t>
  </si>
  <si>
    <t>Progressive release to SLC reserves</t>
  </si>
  <si>
    <t>Transferred to commercial mortgage (refinancing)</t>
  </si>
  <si>
    <t>New Tontine capital available this year? (1 = Yes)</t>
  </si>
  <si>
    <t>STROUD LAND COMMONS — SCENARIO DEFINITIONS</t>
  </si>
  <si>
    <t>BASE</t>
  </si>
  <si>
    <t>OPTIMISTIC</t>
  </si>
  <si>
    <t>STRESS</t>
  </si>
  <si>
    <t>Cumulative Tontine capital raised</t>
  </si>
  <si>
    <t>Cumulative Tontine principal released to reserves</t>
  </si>
  <si>
    <t>5. Capital &amp; Debt runs the three capital sources. The Tontine is a closed-end lifetime annuity mutual: SLC draws capital only during the investment phase and only up to the maximum raise, subject to the LTV limit. The principal is indexed to CPI each year and the coupon — derived from the target investor annuity rate plus the fund's operating cost margin and regulatory capital charge — is charged on the indexed balance. There is no principal repayment: from the release phase start year the fund progressively releases property charges, and the reduction is credited straight to reserves.</t>
  </si>
  <si>
    <t>6. Financial Statements carries the 50-year P&amp;L, balance sheet and cash flow. The CPI uplift on the Tontine principal is a non-cash finance charge (row 22) and the progressive release is a non-cash credit to reserves (row 42), so neither touches the cash flow. Row 46 is the balance-sheet integrity check and must read nil in every year.</t>
  </si>
  <si>
    <t>Bequests from estates (not Gift Aid eligible)</t>
  </si>
  <si>
    <t>Founding capital injection (Year 1 only)</t>
  </si>
  <si>
    <t>Minimum operating cash buffer</t>
  </si>
  <si>
    <t>Sinking fund investment return</t>
  </si>
  <si>
    <t>Rent shock duration following HPI shock</t>
  </si>
  <si>
    <t>Rent inflation during shock</t>
  </si>
  <si>
    <t>Cash gifts from living donors (Gift Aid eligible)</t>
  </si>
  <si>
    <t>MARKET SHOCK OVERRIDES</t>
  </si>
  <si>
    <t>Rent inflation (shock-adjusted)</t>
  </si>
  <si>
    <t>Investment return on fund balance</t>
  </si>
  <si>
    <t>Cash gifts from living donors</t>
  </si>
  <si>
    <t>Bequests from estates</t>
  </si>
  <si>
    <t>Founding capital injection</t>
  </si>
  <si>
    <t>Cumulative gifts, bequests &amp; founding capital</t>
  </si>
  <si>
    <t>Bequests, gifts &amp; founding capital</t>
  </si>
  <si>
    <t>MEMORANDUM — CAPITAL MOVEMENTS AND CASH BUFFER (not P&amp;L items)</t>
  </si>
  <si>
    <t>Community share capital raised in year</t>
  </si>
  <si>
    <t>Tontine capital drawn in year</t>
  </si>
  <si>
    <t>Total capital raised in year</t>
  </si>
  <si>
    <t>Cash buffer shortfall — capital call required</t>
  </si>
  <si>
    <t>Version 2.1 — closed-end Tontine annuity mechanics and independent-review remediation. Last updated 26 July 2026.</t>
  </si>
  <si>
    <t>← type any year from 1 to 50</t>
  </si>
  <si>
    <t>Cash buffer shortfall (capital call required)</t>
  </si>
  <si>
    <t>Years requiring a capital call (cash below buffer)</t>
  </si>
  <si>
    <t>MONTHLY CASH FLOW TIMING (YEARS 1–5)</t>
  </si>
  <si>
    <t>Month in year when acquisitions complete</t>
  </si>
  <si>
    <t>month (1–12)</t>
  </si>
  <si>
    <t>Debt service payments per year</t>
  </si>
  <si>
    <t>payments p.a.</t>
  </si>
  <si>
    <t>Month in year when dividends are paid</t>
  </si>
  <si>
    <t>STROUD LAND COMMONS — MONTHLY CASH FLOW, YEARS 1–5</t>
  </si>
  <si>
    <t>Phasing of the annual cash flow. Rent, gifts, admin, maintenance, issuance costs and share flows accrue evenly each month. Debt service is paid at the frequency set on Control. Acquisitions, the related purchase price and the matching Tontine drawdown all fall in the acquisition month. Dividends and tax are paid in the month set on Control. Row 33 reconciles each year's twelve months back to the annual cash flow statement and must read nil.</t>
  </si>
  <si>
    <t>Month</t>
  </si>
  <si>
    <t>Month in year</t>
  </si>
  <si>
    <t>month</t>
  </si>
  <si>
    <t>RECEIPTS</t>
  </si>
  <si>
    <t>Rental income received</t>
  </si>
  <si>
    <t>Cash gifts, bequests &amp; Gift Aid</t>
  </si>
  <si>
    <t>Tontine capital drawn</t>
  </si>
  <si>
    <t>PAYMENTS</t>
  </si>
  <si>
    <t>Share issuance / marketing costs</t>
  </si>
  <si>
    <t>Property purchases</t>
  </si>
  <si>
    <t>Net movement in cash</t>
  </si>
  <si>
    <t>Less: CapEx sinking fund earmarked (pro-rated)</t>
  </si>
  <si>
    <t>Free cash — closing</t>
  </si>
  <si>
    <t>Below minimum operating cash buffer?</t>
  </si>
  <si>
    <t>CHECK: 12 months vs annual cash flow (nil expected)</t>
  </si>
  <si>
    <t>LIVE MIRROR — every cell below is a formula reading Control &amp; Parameters. Nothing here is an input and nothing here drives the model. To change an assumption, edit the Base, Optimistic or Stress column on Control &amp; Parameters.</t>
  </si>
  <si>
    <t>Stress scenario per brief: void rate +10pts (15%), CPI +2pts (4.5%), community share take-up halved, a one-off −20% HPI shock in Year 5, and rent growth held at 0% for the two years following that shock.</t>
  </si>
  <si>
    <t>4. Asset Register tracks every annual acquisition cohort separately (rows 10–59 for value, 66–115 for gross rent), so each vintage carries its own purchase price, HPI revaluation and rent-inflation path. The CapEx sinking fund sits at rows 130–135 and can earn an investment return.</t>
  </si>
  <si>
    <t>8. Monthly Cash Flow phases Years 1–5 into 60 months using the timing parameters on Control. Row 36 reconciles each year's twelve months back to the annual cash flow and must read nil. Row 34 flags any month where free cash falls below the minimum operating cash buffer.</t>
  </si>
  <si>
    <t>9. Gift Aid is claimed only on cash gifts from living donors. Bequests from estates are excluded, as they fall under inheritance tax rules rather than Gift Aid. The two are separate parameters on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</si>
</sst>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
    <numFmt numFmtId="166" formatCode="0.000"/>
    <numFmt numFmtId="167" formatCode="0.0000"/>
    <numFmt numFmtId="168" formatCode="\£#,##0;\(\£#,##0\);&quot;-&quot;"/>
    <numFmt numFmtId="169" formatCode="0.00\x"/>
    <numFmt numFmtId="170" formatCode="0.0"/>
    <numFmt numFmtId="171" formatCode="\£#,##0;\(\£#,##0\)"/>
    <numFmt numFmtId="172" formatCode="\£#,##0;\(\£#,##0\);\-"/>
  </numFmts>
  <fonts count="21" x14ac:knownFonts="1">
    <font>
      <sz val="11"/>
      <color theme="1"/>
      <name val="Aptos Narrow"/>
      <family val="2"/>
      <scheme val="minor"/>
    </font>
    <font>
      <b/>
      <sz val="11"/>
      <color theme="1"/>
      <name val="Aptos Narrow"/>
      <family val="2"/>
      <scheme val="minor"/>
    </font>
    <font>
      <b/>
      <sz val="14"/>
      <color theme="1"/>
      <name val="Aptos Narrow"/>
      <family val="2"/>
      <scheme val="minor"/>
    </font>
    <font>
      <i/>
      <sz val="9"/>
      <color rgb="FF666666"/>
      <name val="Aptos Narrow"/>
      <family val="2"/>
      <scheme val="minor"/>
    </font>
    <font>
      <sz val="11"/>
      <color rgb="FF0000FF"/>
      <name val="Aptos Narrow"/>
      <family val="2"/>
      <scheme val="minor"/>
    </font>
    <font>
      <b/>
      <sz val="11"/>
      <color rgb="FF0000FF"/>
      <name val="Aptos Narrow"/>
      <family val="2"/>
      <scheme val="minor"/>
    </font>
    <font>
      <sz val="11"/>
      <color rgb="FF008000"/>
      <name val="Aptos Narrow"/>
      <family val="2"/>
      <scheme val="minor"/>
    </font>
    <font>
      <sz val="11"/>
      <color rgb="FF000000"/>
      <name val="Aptos Narrow"/>
      <family val="2"/>
      <scheme val="minor"/>
    </font>
    <font>
      <b/>
      <sz val="11"/>
      <color rgb="FFFFFFFF"/>
      <name val="Aptos Narrow"/>
      <family val="2"/>
      <scheme val="minor"/>
    </font>
    <font>
      <i/>
      <sz val="11"/>
      <color theme="1"/>
      <name val="Aptos Narrow"/>
      <family val="2"/>
      <scheme val="minor"/>
    </font>
    <font>
      <b/>
      <i/>
      <sz val="11"/>
      <color theme="1"/>
      <name val="Aptos Narrow"/>
      <family val="2"/>
      <scheme val="minor"/>
    </font>
    <font>
      <b/>
      <sz val="11"/>
      <color rgb="FF008000"/>
      <name val="Aptos Narrow"/>
      <family val="2"/>
      <scheme val="minor"/>
    </font>
    <font>
      <b/>
      <sz val="16"/>
      <color theme="1"/>
      <name val="Aptos Narrow"/>
      <family val="2"/>
      <scheme val="minor"/>
    </font>
    <font>
      <b/>
      <i/>
      <sz val="11"/>
      <color rgb="FF666666"/>
      <name val="Aptos Narrow"/>
      <family val="2"/>
      <scheme val="minor"/>
    </font>
    <font>
      <b/>
      <sz val="11"/>
      <color rgb="FF000000"/>
      <name val="Aptos Narrow"/>
      <family val="2"/>
      <scheme val="minor"/>
    </font>
    <font>
      <sz val="9"/>
      <color indexed="81"/>
      <name val="Tahoma"/>
      <charset val="1"/>
    </font>
    <font>
      <sz val="9"/>
      <color rgb="FF333333"/>
      <name val="Aptos Narrow"/>
      <family val="2"/>
      <scheme val="minor"/>
    </font>
    <font>
      <i/>
      <sz val="9"/>
      <color rgb="FF9C0006"/>
      <name val="Aptos Narrow"/>
      <family val="2"/>
      <scheme val="minor"/>
    </font>
    <font>
      <b/>
      <sz val="10"/>
      <color rgb="FF9C0006"/>
      <name val="Aptos Narrow"/>
      <family val="2"/>
      <scheme val="minor"/>
    </font>
    <font>
      <sz val="9"/>
      <color rgb="FF9C5700"/>
      <name val="Aptos Narrow"/>
      <family val="2"/>
      <scheme val="minor"/>
    </font>
    <font>
      <b/>
      <i/>
      <sz val="9"/>
      <color rgb="FF9C57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rgb="FF1F3864"/>
        <bgColor indexed="64"/>
      </patternFill>
    </fill>
    <fill>
      <patternFill patternType="solid">
        <fgColor rgb="FFD9E1F2"/>
        <bgColor indexed="64"/>
      </patternFill>
    </fill>
    <fill>
      <patternFill patternType="solid">
        <fgColor rgb="FFFFF7E6"/>
        <bgColor indexed="64"/>
      </patternFill>
    </fill>
    <fill>
      <patternFill patternType="solid">
        <fgColor rgb="FFFFEB9C"/>
        <bgColor indexed="64"/>
      </patternFill>
    </fill>
    <fill>
      <patternFill patternType="solid">
        <fgColor rgb="FFFFC7CE"/>
        <bgColor indexed="64"/>
      </patternFill>
    </fill>
    <fill>
      <patternFill patternType="solid">
        <fgColor rgb="FFFFF2CC"/>
        <bgColor indexed="64"/>
      </patternFill>
    </fill>
  </fills>
  <borders count="2">
    <border>
      <left/>
      <right/>
      <top/>
      <bottom/>
      <diagonal/>
    </border>
    <border>
      <left/>
      <right/>
      <top/>
      <bottom style="thin">
        <color auto="1"/>
      </bottom>
      <diagonal/>
    </border>
  </borders>
  <cellStyleXfs count="1">
    <xf numFmtId="0" fontId="0" fillId="0" borderId="0"/>
  </cellStyleXfs>
  <cellXfs count="87">
    <xf numFmtId="0" fontId="0" fillId="0" borderId="0" xfId="0"/>
    <xf numFmtId="0" fontId="2" fillId="0" borderId="0" xfId="0" applyFont="1"/>
    <xf numFmtId="0" fontId="3" fillId="0" borderId="0" xfId="0" applyFont="1"/>
    <xf numFmtId="0" fontId="1" fillId="0" borderId="0" xfId="0" applyFont="1"/>
    <xf numFmtId="0" fontId="5" fillId="2" borderId="0" xfId="0" applyFont="1" applyFill="1"/>
    <xf numFmtId="0" fontId="6" fillId="0" borderId="0" xfId="0" applyFont="1"/>
    <xf numFmtId="0" fontId="1" fillId="0" borderId="0" xfId="0" applyFont="1" applyAlignment="1">
      <alignment horizontal="center"/>
    </xf>
    <xf numFmtId="0" fontId="1" fillId="0" borderId="1" xfId="0" applyFont="1" applyBorder="1"/>
    <xf numFmtId="0" fontId="1" fillId="0" borderId="1" xfId="0" applyFont="1" applyBorder="1" applyAlignment="1">
      <alignment horizontal="center"/>
    </xf>
    <xf numFmtId="1" fontId="0" fillId="0" borderId="0" xfId="0" applyNumberFormat="1"/>
    <xf numFmtId="49" fontId="0" fillId="0" borderId="0" xfId="0" applyNumberFormat="1"/>
    <xf numFmtId="165" fontId="0" fillId="0" borderId="0" xfId="0" applyNumberFormat="1"/>
    <xf numFmtId="2" fontId="0" fillId="0" borderId="0" xfId="0" applyNumberFormat="1"/>
    <xf numFmtId="164" fontId="6" fillId="0" borderId="0" xfId="0" applyNumberFormat="1" applyFont="1"/>
    <xf numFmtId="1" fontId="6" fillId="0" borderId="0" xfId="0" applyNumberFormat="1" applyFont="1"/>
    <xf numFmtId="49" fontId="6" fillId="0" borderId="0" xfId="0" applyNumberFormat="1" applyFont="1"/>
    <xf numFmtId="165" fontId="6" fillId="0" borderId="0" xfId="0" applyNumberFormat="1" applyFont="1"/>
    <xf numFmtId="2" fontId="6" fillId="0" borderId="0" xfId="0" applyNumberFormat="1" applyFont="1"/>
    <xf numFmtId="1" fontId="4" fillId="0" borderId="0" xfId="0" applyNumberFormat="1" applyFont="1"/>
    <xf numFmtId="49" fontId="4" fillId="0" borderId="0" xfId="0" applyNumberFormat="1" applyFont="1"/>
    <xf numFmtId="165" fontId="4" fillId="0" borderId="0" xfId="0" applyNumberFormat="1" applyFont="1"/>
    <xf numFmtId="2" fontId="4" fillId="0" borderId="0" xfId="0" applyNumberFormat="1" applyFont="1"/>
    <xf numFmtId="0" fontId="7" fillId="0" borderId="0" xfId="0" applyNumberFormat="1" applyFont="1"/>
    <xf numFmtId="1" fontId="7" fillId="0" borderId="0" xfId="0" applyNumberFormat="1" applyFont="1"/>
    <xf numFmtId="49" fontId="7" fillId="0" borderId="0" xfId="0" applyNumberFormat="1" applyFont="1"/>
    <xf numFmtId="165" fontId="7" fillId="0" borderId="0" xfId="0" applyNumberFormat="1" applyFont="1"/>
    <xf numFmtId="0" fontId="8" fillId="3" borderId="0" xfId="0" applyNumberFormat="1" applyFont="1" applyFill="1"/>
    <xf numFmtId="1" fontId="1" fillId="4" borderId="0" xfId="0" applyNumberFormat="1" applyFont="1" applyFill="1"/>
    <xf numFmtId="164" fontId="4" fillId="5" borderId="0" xfId="0" applyNumberFormat="1" applyFont="1" applyFill="1"/>
    <xf numFmtId="1" fontId="1" fillId="4" borderId="0" xfId="0" applyNumberFormat="1" applyFont="1" applyFill="1" applyAlignment="1">
      <alignment horizontal="right"/>
    </xf>
    <xf numFmtId="0" fontId="0" fillId="0" borderId="0" xfId="0" applyAlignment="1">
      <alignment horizontal="right"/>
    </xf>
    <xf numFmtId="164" fontId="0" fillId="0" borderId="0" xfId="0" applyNumberFormat="1" applyAlignment="1">
      <alignment horizontal="right"/>
    </xf>
    <xf numFmtId="166" fontId="0" fillId="0" borderId="0" xfId="0" applyNumberFormat="1" applyAlignment="1">
      <alignment horizontal="right"/>
    </xf>
    <xf numFmtId="164" fontId="4" fillId="5" borderId="0" xfId="0" applyNumberFormat="1" applyFont="1" applyFill="1" applyAlignment="1">
      <alignment horizontal="right"/>
    </xf>
    <xf numFmtId="165" fontId="0" fillId="0" borderId="0" xfId="0" applyNumberFormat="1" applyAlignment="1">
      <alignment horizontal="right"/>
    </xf>
    <xf numFmtId="167" fontId="6" fillId="0" borderId="0" xfId="0" applyNumberFormat="1" applyFont="1"/>
    <xf numFmtId="3" fontId="0" fillId="0" borderId="0" xfId="0" applyNumberFormat="1"/>
    <xf numFmtId="0" fontId="8" fillId="3" borderId="0" xfId="0" applyFont="1" applyFill="1"/>
    <xf numFmtId="165" fontId="1" fillId="0" borderId="0" xfId="0" applyNumberFormat="1" applyFont="1"/>
    <xf numFmtId="3" fontId="1" fillId="0" borderId="0" xfId="0" applyNumberFormat="1" applyFont="1"/>
    <xf numFmtId="168" fontId="0" fillId="0" borderId="0" xfId="0" applyNumberFormat="1"/>
    <xf numFmtId="168" fontId="1" fillId="0" borderId="0" xfId="0" applyNumberFormat="1" applyFont="1"/>
    <xf numFmtId="0" fontId="9" fillId="0" borderId="0" xfId="0" applyFont="1"/>
    <xf numFmtId="0" fontId="10" fillId="0" borderId="0" xfId="0" applyFont="1"/>
    <xf numFmtId="168" fontId="10" fillId="0" borderId="0" xfId="0" applyNumberFormat="1" applyFont="1"/>
    <xf numFmtId="169" fontId="1" fillId="0" borderId="0" xfId="0" applyNumberFormat="1" applyFont="1"/>
    <xf numFmtId="170" fontId="1" fillId="0" borderId="0" xfId="0" applyNumberFormat="1" applyFont="1"/>
    <xf numFmtId="0" fontId="11" fillId="0" borderId="0" xfId="0" applyFont="1" applyFill="1"/>
    <xf numFmtId="0" fontId="12" fillId="0" borderId="0" xfId="0" applyFont="1"/>
    <xf numFmtId="3" fontId="6" fillId="0" borderId="0" xfId="0" applyNumberFormat="1" applyFont="1"/>
    <xf numFmtId="171" fontId="6" fillId="0" borderId="0" xfId="0" applyNumberFormat="1" applyFont="1"/>
    <xf numFmtId="169" fontId="6" fillId="0" borderId="0" xfId="0" applyNumberFormat="1" applyFont="1"/>
    <xf numFmtId="170" fontId="6" fillId="0" borderId="0" xfId="0" applyNumberFormat="1" applyFont="1"/>
    <xf numFmtId="0" fontId="13" fillId="0" borderId="0" xfId="0" applyFont="1"/>
    <xf numFmtId="49" fontId="8" fillId="3" borderId="0" xfId="0" applyNumberFormat="1" applyFont="1" applyFill="1"/>
    <xf numFmtId="1" fontId="6" fillId="8" borderId="0" xfId="0" applyNumberFormat="1" applyFont="1" applyFill="1"/>
    <xf numFmtId="0" fontId="16" fillId="0" borderId="0" xfId="0" applyFont="1" applyAlignment="1">
      <alignment vertical="top" wrapText="1"/>
    </xf>
    <xf numFmtId="10" fontId="0" fillId="0" borderId="0" xfId="0" applyNumberFormat="1"/>
    <xf numFmtId="10" fontId="7" fillId="0" borderId="0" xfId="0" applyNumberFormat="1" applyFont="1"/>
    <xf numFmtId="10" fontId="6" fillId="0" borderId="0" xfId="0" applyNumberFormat="1" applyFont="1"/>
    <xf numFmtId="10" fontId="4" fillId="0" borderId="0" xfId="0" applyNumberFormat="1" applyFont="1"/>
    <xf numFmtId="10" fontId="14" fillId="0" borderId="0" xfId="0" applyNumberFormat="1" applyFont="1"/>
    <xf numFmtId="172" fontId="0" fillId="0" borderId="0" xfId="0" applyNumberFormat="1"/>
    <xf numFmtId="172" fontId="1" fillId="0" borderId="0" xfId="0" applyNumberFormat="1" applyFont="1"/>
    <xf numFmtId="172" fontId="9" fillId="0" borderId="0" xfId="0" applyNumberFormat="1" applyFont="1"/>
    <xf numFmtId="0" fontId="17" fillId="0" borderId="0" xfId="0" applyFont="1"/>
    <xf numFmtId="0" fontId="7" fillId="0" borderId="0" xfId="0" applyFont="1" applyFill="1"/>
    <xf numFmtId="10" fontId="7" fillId="0" borderId="0" xfId="0" applyNumberFormat="1" applyFont="1" applyFill="1"/>
    <xf numFmtId="1" fontId="7" fillId="0" borderId="0" xfId="0" applyNumberFormat="1" applyFont="1" applyFill="1"/>
    <xf numFmtId="49" fontId="7" fillId="0" borderId="0" xfId="0" applyNumberFormat="1" applyFont="1" applyFill="1"/>
    <xf numFmtId="165" fontId="7" fillId="0" borderId="0" xfId="0" applyNumberFormat="1" applyFont="1" applyFill="1"/>
    <xf numFmtId="2" fontId="7" fillId="0" borderId="0" xfId="0" applyNumberFormat="1" applyFont="1" applyFill="1"/>
    <xf numFmtId="10" fontId="6" fillId="8" borderId="0" xfId="0" applyNumberFormat="1" applyFont="1" applyFill="1"/>
    <xf numFmtId="165" fontId="6" fillId="8" borderId="0" xfId="0" applyNumberFormat="1" applyFont="1" applyFill="1"/>
    <xf numFmtId="165" fontId="8" fillId="3" borderId="0" xfId="0" applyNumberFormat="1" applyFont="1" applyFill="1"/>
    <xf numFmtId="0" fontId="18" fillId="7" borderId="0" xfId="0" applyFont="1" applyFill="1" applyAlignment="1">
      <alignment vertical="top" wrapText="1"/>
    </xf>
    <xf numFmtId="0" fontId="0" fillId="7" borderId="0" xfId="0" applyFill="1" applyAlignment="1">
      <alignment vertical="top" wrapText="1"/>
    </xf>
    <xf numFmtId="0" fontId="19" fillId="6" borderId="0" xfId="0" applyFont="1" applyFill="1" applyAlignment="1">
      <alignment vertical="top" wrapText="1"/>
    </xf>
    <xf numFmtId="0" fontId="0" fillId="6" borderId="0" xfId="0" applyFill="1" applyAlignment="1">
      <alignment vertical="top" wrapText="1"/>
    </xf>
    <xf numFmtId="0" fontId="3" fillId="0" borderId="0" xfId="0" applyFont="1" applyAlignment="1">
      <alignment wrapText="1"/>
    </xf>
    <xf numFmtId="0" fontId="0" fillId="0" borderId="0" xfId="0" applyAlignment="1">
      <alignment horizontal="center"/>
    </xf>
    <xf numFmtId="0" fontId="20" fillId="0" borderId="0" xfId="0" applyFont="1"/>
    <xf numFmtId="0" fontId="8" fillId="0" borderId="0" xfId="0" applyFont="1" applyFill="1"/>
    <xf numFmtId="165" fontId="11" fillId="0" borderId="0" xfId="0" applyNumberFormat="1" applyFont="1" applyFill="1"/>
    <xf numFmtId="0" fontId="7" fillId="0" borderId="0" xfId="0" applyFont="1" applyFill="1" applyBorder="1"/>
    <xf numFmtId="165" fontId="6" fillId="0" borderId="0" xfId="0" applyNumberFormat="1" applyFont="1" applyFill="1" applyBorder="1"/>
    <xf numFmtId="165" fontId="7" fillId="0" borderId="0" xfId="0" applyNumberFormat="1" applyFont="1" applyFill="1" applyBorder="1"/>
  </cellXfs>
  <cellStyles count="1">
    <cellStyle name="Normal" xfId="0" builtinId="0"/>
  </cellStyles>
  <dxfs count="7">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value vs total debt outstanding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Dashboard!$A$68</c:f>
              <c:strCache>
                <c:ptCount val="1"/>
                <c:pt idx="0">
                  <c:v>Portfolio value</c:v>
                </c:pt>
              </c:strCache>
            </c:strRef>
          </c:tx>
          <c:spPr>
            <a:ln w="28575" cap="rnd">
              <a:solidFill>
                <a:schemeClr val="accent1"/>
              </a:solidFill>
              <a:round/>
            </a:ln>
            <a:effectLst/>
          </c:spPr>
          <c:marker>
            <c:symbol val="none"/>
          </c:marker>
          <c:cat>
            <c:numRef>
              <c:f>Dashboard!$B$67:$AY$67</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Dashboard!$B$68:$AY$68</c:f>
              <c:numCache>
                <c:formatCode>\£#,##0</c:formatCode>
                <c:ptCount val="50"/>
                <c:pt idx="0">
                  <c:v>280000</c:v>
                </c:pt>
                <c:pt idx="1">
                  <c:v>869400</c:v>
                </c:pt>
                <c:pt idx="2">
                  <c:v>1799657.9999999998</c:v>
                </c:pt>
                <c:pt idx="3">
                  <c:v>2793969.0449999999</c:v>
                </c:pt>
                <c:pt idx="4">
                  <c:v>3855677.2820999995</c:v>
                </c:pt>
                <c:pt idx="5">
                  <c:v>4988282.4837168735</c:v>
                </c:pt>
                <c:pt idx="6">
                  <c:v>6195446.8447763566</c:v>
                </c:pt>
                <c:pt idx="7">
                  <c:v>7481002.0650674496</c:v>
                </c:pt>
                <c:pt idx="8">
                  <c:v>8848956.7283940688</c:v>
                </c:pt>
                <c:pt idx="9">
                  <c:v>10303503.990623841</c:v>
                </c:pt>
                <c:pt idx="10">
                  <c:v>11059094.28326959</c:v>
                </c:pt>
                <c:pt idx="11">
                  <c:v>11446162.583184026</c:v>
                </c:pt>
                <c:pt idx="12">
                  <c:v>11846778.273595465</c:v>
                </c:pt>
                <c:pt idx="13">
                  <c:v>12261415.513171304</c:v>
                </c:pt>
                <c:pt idx="14">
                  <c:v>12690565.056132298</c:v>
                </c:pt>
                <c:pt idx="15">
                  <c:v>13134734.833096929</c:v>
                </c:pt>
                <c:pt idx="16">
                  <c:v>13594450.552255319</c:v>
                </c:pt>
                <c:pt idx="17">
                  <c:v>14070256.321584258</c:v>
                </c:pt>
                <c:pt idx="18">
                  <c:v>14562715.292839706</c:v>
                </c:pt>
                <c:pt idx="19">
                  <c:v>15072410.328089094</c:v>
                </c:pt>
                <c:pt idx="20">
                  <c:v>15599944.689572208</c:v>
                </c:pt>
                <c:pt idx="21">
                  <c:v>16145942.753707234</c:v>
                </c:pt>
                <c:pt idx="22">
                  <c:v>17307873.991161525</c:v>
                </c:pt>
                <c:pt idx="23">
                  <c:v>17913649.580852173</c:v>
                </c:pt>
                <c:pt idx="24">
                  <c:v>18540627.316181999</c:v>
                </c:pt>
                <c:pt idx="25">
                  <c:v>19189549.272248365</c:v>
                </c:pt>
                <c:pt idx="26">
                  <c:v>20546051.893217642</c:v>
                </c:pt>
                <c:pt idx="27">
                  <c:v>21265163.709480256</c:v>
                </c:pt>
                <c:pt idx="28">
                  <c:v>22009444.439312071</c:v>
                </c:pt>
                <c:pt idx="29">
                  <c:v>23539100.827844255</c:v>
                </c:pt>
                <c:pt idx="30">
                  <c:v>24362969.356818803</c:v>
                </c:pt>
                <c:pt idx="31">
                  <c:v>26029082.099930286</c:v>
                </c:pt>
                <c:pt idx="32">
                  <c:v>27781978.097597472</c:v>
                </c:pt>
                <c:pt idx="33">
                  <c:v>28754347.331013374</c:v>
                </c:pt>
                <c:pt idx="34">
                  <c:v>30662590.381162442</c:v>
                </c:pt>
                <c:pt idx="35">
                  <c:v>32669186.369341429</c:v>
                </c:pt>
                <c:pt idx="36">
                  <c:v>33812607.892268404</c:v>
                </c:pt>
                <c:pt idx="37">
                  <c:v>35995936.287597723</c:v>
                </c:pt>
                <c:pt idx="38">
                  <c:v>38290677.225932077</c:v>
                </c:pt>
                <c:pt idx="39">
                  <c:v>40701955.007997513</c:v>
                </c:pt>
                <c:pt idx="40">
                  <c:v>43235116.155205756</c:v>
                </c:pt>
                <c:pt idx="41">
                  <c:v>45895738.687833838</c:v>
                </c:pt>
                <c:pt idx="42">
                  <c:v>48689641.780455679</c:v>
                </c:pt>
                <c:pt idx="43">
                  <c:v>51622895.809668534</c:v>
                </c:pt>
                <c:pt idx="44">
                  <c:v>54701832.809745185</c:v>
                </c:pt>
                <c:pt idx="45">
                  <c:v>57933057.352460392</c:v>
                </c:pt>
                <c:pt idx="46">
                  <c:v>62686201.376150817</c:v>
                </c:pt>
                <c:pt idx="47">
                  <c:v>66290657.955279455</c:v>
                </c:pt>
                <c:pt idx="48">
                  <c:v>70070635.898261458</c:v>
                </c:pt>
                <c:pt idx="49">
                  <c:v>74034006.241256818</c:v>
                </c:pt>
              </c:numCache>
            </c:numRef>
          </c:val>
          <c:smooth val="0"/>
          <c:extLst>
            <c:ext xmlns:c16="http://schemas.microsoft.com/office/drawing/2014/chart" uri="{C3380CC4-5D6E-409C-BE32-E72D297353CC}">
              <c16:uniqueId val="{00000000-6827-47EB-A684-ECAEA11D5E75}"/>
            </c:ext>
          </c:extLst>
        </c:ser>
        <c:ser>
          <c:idx val="1"/>
          <c:order val="1"/>
          <c:tx>
            <c:strRef>
              <c:f>Dashboard!$A$69</c:f>
              <c:strCache>
                <c:ptCount val="1"/>
                <c:pt idx="0">
                  <c:v>Total debt outstanding</c:v>
                </c:pt>
              </c:strCache>
            </c:strRef>
          </c:tx>
          <c:spPr>
            <a:ln w="28575" cap="rnd">
              <a:solidFill>
                <a:schemeClr val="accent2"/>
              </a:solidFill>
              <a:round/>
            </a:ln>
            <a:effectLst/>
          </c:spPr>
          <c:marker>
            <c:symbol val="none"/>
          </c:marker>
          <c:cat>
            <c:numRef>
              <c:f>Dashboard!$B$67:$AY$67</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Dashboard!$B$69:$AY$69</c:f>
              <c:numCache>
                <c:formatCode>\£#,##0</c:formatCode>
                <c:ptCount val="50"/>
                <c:pt idx="0">
                  <c:v>53300</c:v>
                </c:pt>
                <c:pt idx="1">
                  <c:v>465436.7109375</c:v>
                </c:pt>
                <c:pt idx="2">
                  <c:v>1165356.977776489</c:v>
                </c:pt>
                <c:pt idx="3">
                  <c:v>1860651.4576776596</c:v>
                </c:pt>
                <c:pt idx="4">
                  <c:v>2631621.5852154121</c:v>
                </c:pt>
                <c:pt idx="5">
                  <c:v>3451190.3387635429</c:v>
                </c:pt>
                <c:pt idx="6">
                  <c:v>4336812.7913434496</c:v>
                </c:pt>
                <c:pt idx="7">
                  <c:v>5236701.4455472147</c:v>
                </c:pt>
                <c:pt idx="8">
                  <c:v>6194269.7098758481</c:v>
                </c:pt>
                <c:pt idx="9">
                  <c:v>7212452.7934366884</c:v>
                </c:pt>
                <c:pt idx="10">
                  <c:v>7392764.1132726055</c:v>
                </c:pt>
                <c:pt idx="11">
                  <c:v>7577583.2161044208</c:v>
                </c:pt>
                <c:pt idx="12">
                  <c:v>7767022.7965070317</c:v>
                </c:pt>
                <c:pt idx="13">
                  <c:v>7961198.3664197074</c:v>
                </c:pt>
                <c:pt idx="14">
                  <c:v>8160228.3255802002</c:v>
                </c:pt>
                <c:pt idx="15">
                  <c:v>8364234.0337197054</c:v>
                </c:pt>
                <c:pt idx="16">
                  <c:v>8573339.8845626973</c:v>
                </c:pt>
                <c:pt idx="17">
                  <c:v>8787673.3816767652</c:v>
                </c:pt>
                <c:pt idx="18">
                  <c:v>9007365.2162186839</c:v>
                </c:pt>
                <c:pt idx="19">
                  <c:v>9232549.3466241509</c:v>
                </c:pt>
                <c:pt idx="20">
                  <c:v>9463363.080289755</c:v>
                </c:pt>
                <c:pt idx="21">
                  <c:v>9699947.1572969984</c:v>
                </c:pt>
                <c:pt idx="22">
                  <c:v>9942445.8362294231</c:v>
                </c:pt>
                <c:pt idx="23">
                  <c:v>10191006.982135158</c:v>
                </c:pt>
                <c:pt idx="24">
                  <c:v>9819035.2272872254</c:v>
                </c:pt>
                <c:pt idx="25">
                  <c:v>9460640.4414912425</c:v>
                </c:pt>
                <c:pt idx="26">
                  <c:v>9115327.0653768126</c:v>
                </c:pt>
                <c:pt idx="27">
                  <c:v>8782617.6274905577</c:v>
                </c:pt>
                <c:pt idx="28">
                  <c:v>8462052.084087152</c:v>
                </c:pt>
                <c:pt idx="29">
                  <c:v>8153187.183017971</c:v>
                </c:pt>
                <c:pt idx="30">
                  <c:v>7855595.8508378146</c:v>
                </c:pt>
                <c:pt idx="31">
                  <c:v>7568866.6022822345</c:v>
                </c:pt>
                <c:pt idx="32">
                  <c:v>7292602.971298933</c:v>
                </c:pt>
                <c:pt idx="33">
                  <c:v>7026422.9628465213</c:v>
                </c:pt>
                <c:pt idx="34">
                  <c:v>6769958.5247026235</c:v>
                </c:pt>
                <c:pt idx="35">
                  <c:v>6522855.0385509785</c:v>
                </c:pt>
                <c:pt idx="36">
                  <c:v>6284770.8296438679</c:v>
                </c:pt>
                <c:pt idx="37">
                  <c:v>6055376.6943618665</c:v>
                </c:pt>
                <c:pt idx="38">
                  <c:v>5834355.4450176582</c:v>
                </c:pt>
                <c:pt idx="39">
                  <c:v>5621401.4712745138</c:v>
                </c:pt>
                <c:pt idx="40">
                  <c:v>5416220.3175729932</c:v>
                </c:pt>
                <c:pt idx="41">
                  <c:v>5218528.275981579</c:v>
                </c:pt>
                <c:pt idx="42">
                  <c:v>5028051.9939082516</c:v>
                </c:pt>
                <c:pt idx="43">
                  <c:v>4844528.0961306002</c:v>
                </c:pt>
                <c:pt idx="44">
                  <c:v>4667702.8206218332</c:v>
                </c:pt>
                <c:pt idx="45">
                  <c:v>4497331.6676691361</c:v>
                </c:pt>
                <c:pt idx="46">
                  <c:v>4333179.0617992124</c:v>
                </c:pt>
                <c:pt idx="47">
                  <c:v>4175018.0260435408</c:v>
                </c:pt>
                <c:pt idx="48">
                  <c:v>4022629.8680929518</c:v>
                </c:pt>
                <c:pt idx="49">
                  <c:v>3875803.8779075588</c:v>
                </c:pt>
              </c:numCache>
            </c:numRef>
          </c:val>
          <c:smooth val="0"/>
          <c:extLst>
            <c:ext xmlns:c16="http://schemas.microsoft.com/office/drawing/2014/chart" uri="{C3380CC4-5D6E-409C-BE32-E72D297353CC}">
              <c16:uniqueId val="{00000001-6827-47EB-A684-ECAEA11D5E75}"/>
            </c:ext>
          </c:extLst>
        </c:ser>
        <c:dLbls>
          <c:showLegendKey val="0"/>
          <c:showVal val="0"/>
          <c:showCatName val="0"/>
          <c:showSerName val="0"/>
          <c:showPercent val="0"/>
          <c:showBubbleSize val="0"/>
        </c:dLbls>
        <c:smooth val="0"/>
        <c:axId val="1481194991"/>
        <c:axId val="1481193551"/>
      </c:lineChart>
      <c:catAx>
        <c:axId val="1481194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Model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93551"/>
        <c:crosses val="autoZero"/>
        <c:auto val="1"/>
        <c:lblAlgn val="ctr"/>
        <c:lblOffset val="100"/>
        <c:noMultiLvlLbl val="0"/>
      </c:catAx>
      <c:valAx>
        <c:axId val="148119355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94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rental income, debt service and free reserves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Dashboard!$A$72</c:f>
              <c:strCache>
                <c:ptCount val="1"/>
                <c:pt idx="0">
                  <c:v>Net rental income</c:v>
                </c:pt>
              </c:strCache>
            </c:strRef>
          </c:tx>
          <c:spPr>
            <a:ln w="28575" cap="rnd">
              <a:solidFill>
                <a:schemeClr val="accent1"/>
              </a:solidFill>
              <a:round/>
            </a:ln>
            <a:effectLst/>
          </c:spPr>
          <c:marker>
            <c:symbol val="none"/>
          </c:marker>
          <c:cat>
            <c:numRef>
              <c:f>Dashboard!$B$71:$AY$71</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Dashboard!$B$72:$AY$72</c:f>
              <c:numCache>
                <c:formatCode>\£#,##0</c:formatCode>
                <c:ptCount val="50"/>
                <c:pt idx="0">
                  <c:v>10640</c:v>
                </c:pt>
                <c:pt idx="1">
                  <c:v>32930.799999999996</c:v>
                </c:pt>
                <c:pt idx="2">
                  <c:v>67947.571999999986</c:v>
                </c:pt>
                <c:pt idx="3">
                  <c:v>105036.53586999999</c:v>
                </c:pt>
                <c:pt idx="4">
                  <c:v>144291.38344669994</c:v>
                </c:pt>
                <c:pt idx="5">
                  <c:v>185809.61490911571</c:v>
                </c:pt>
                <c:pt idx="6">
                  <c:v>229692.68529876048</c:v>
                </c:pt>
                <c:pt idx="7">
                  <c:v>276046.15649873856</c:v>
                </c:pt>
                <c:pt idx="8">
                  <c:v>324979.8548710788</c:v>
                </c:pt>
                <c:pt idx="9">
                  <c:v>376608.03475882305</c:v>
                </c:pt>
                <c:pt idx="10">
                  <c:v>401032.00644080224</c:v>
                </c:pt>
                <c:pt idx="11">
                  <c:v>411057.80660182226</c:v>
                </c:pt>
                <c:pt idx="12">
                  <c:v>421334.25176686782</c:v>
                </c:pt>
                <c:pt idx="13">
                  <c:v>431867.60806103947</c:v>
                </c:pt>
                <c:pt idx="14">
                  <c:v>442664.2982625654</c:v>
                </c:pt>
                <c:pt idx="15">
                  <c:v>453730.9057191296</c:v>
                </c:pt>
                <c:pt idx="16">
                  <c:v>465074.17836210766</c:v>
                </c:pt>
                <c:pt idx="17">
                  <c:v>476701.03282116039</c:v>
                </c:pt>
                <c:pt idx="18">
                  <c:v>488618.55864168925</c:v>
                </c:pt>
                <c:pt idx="19">
                  <c:v>500834.02260773152</c:v>
                </c:pt>
                <c:pt idx="20">
                  <c:v>513354.87317292474</c:v>
                </c:pt>
                <c:pt idx="21">
                  <c:v>526188.74500224786</c:v>
                </c:pt>
                <c:pt idx="22">
                  <c:v>562022.74678813643</c:v>
                </c:pt>
                <c:pt idx="23">
                  <c:v>576073.31545783975</c:v>
                </c:pt>
                <c:pt idx="24">
                  <c:v>590475.14834428579</c:v>
                </c:pt>
                <c:pt idx="25">
                  <c:v>605237.02705289272</c:v>
                </c:pt>
                <c:pt idx="26">
                  <c:v>646392.95179395739</c:v>
                </c:pt>
                <c:pt idx="27">
                  <c:v>662552.77558880625</c:v>
                </c:pt>
                <c:pt idx="28">
                  <c:v>679116.59497852635</c:v>
                </c:pt>
                <c:pt idx="29">
                  <c:v>724948.8915129276</c:v>
                </c:pt>
                <c:pt idx="30">
                  <c:v>743072.6138007507</c:v>
                </c:pt>
                <c:pt idx="31">
                  <c:v>792558.96413943649</c:v>
                </c:pt>
                <c:pt idx="32">
                  <c:v>844364.30696136795</c:v>
                </c:pt>
                <c:pt idx="33">
                  <c:v>865473.41463540192</c:v>
                </c:pt>
                <c:pt idx="34">
                  <c:v>921380.20395670389</c:v>
                </c:pt>
                <c:pt idx="35">
                  <c:v>979884.1113994777</c:v>
                </c:pt>
                <c:pt idx="36">
                  <c:v>1004381.2141844645</c:v>
                </c:pt>
                <c:pt idx="37">
                  <c:v>1067486.4550648741</c:v>
                </c:pt>
                <c:pt idx="38">
                  <c:v>1133499.1768356962</c:v>
                </c:pt>
                <c:pt idx="39">
                  <c:v>1202538.6112645862</c:v>
                </c:pt>
                <c:pt idx="40">
                  <c:v>1274728.5999794777</c:v>
                </c:pt>
                <c:pt idx="41">
                  <c:v>1350197.7667324068</c:v>
                </c:pt>
                <c:pt idx="42">
                  <c:v>1429079.6959655292</c:v>
                </c:pt>
                <c:pt idx="43">
                  <c:v>1511513.117906749</c:v>
                </c:pt>
                <c:pt idx="44">
                  <c:v>1597642.1004304711</c:v>
                </c:pt>
                <c:pt idx="45">
                  <c:v>1687616.2479274482</c:v>
                </c:pt>
                <c:pt idx="46">
                  <c:v>1833375.1607471011</c:v>
                </c:pt>
                <c:pt idx="47">
                  <c:v>1932806.2419423875</c:v>
                </c:pt>
                <c:pt idx="48">
                  <c:v>2036598.9847437365</c:v>
                </c:pt>
                <c:pt idx="49">
                  <c:v>2144928.0866514682</c:v>
                </c:pt>
              </c:numCache>
            </c:numRef>
          </c:val>
          <c:smooth val="0"/>
          <c:extLst>
            <c:ext xmlns:c16="http://schemas.microsoft.com/office/drawing/2014/chart" uri="{C3380CC4-5D6E-409C-BE32-E72D297353CC}">
              <c16:uniqueId val="{00000000-FF8C-42A3-8FDD-6B76FF01C3EA}"/>
            </c:ext>
          </c:extLst>
        </c:ser>
        <c:ser>
          <c:idx val="1"/>
          <c:order val="1"/>
          <c:tx>
            <c:strRef>
              <c:f>Dashboard!$A$73</c:f>
              <c:strCache>
                <c:ptCount val="1"/>
                <c:pt idx="0">
                  <c:v>Total debt service</c:v>
                </c:pt>
              </c:strCache>
            </c:strRef>
          </c:tx>
          <c:spPr>
            <a:ln w="28575" cap="rnd">
              <a:solidFill>
                <a:schemeClr val="accent2"/>
              </a:solidFill>
              <a:round/>
            </a:ln>
            <a:effectLst/>
          </c:spPr>
          <c:marker>
            <c:symbol val="none"/>
          </c:marker>
          <c:cat>
            <c:numRef>
              <c:f>Dashboard!$B$71:$AY$71</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Dashboard!$B$73:$AY$73</c:f>
              <c:numCache>
                <c:formatCode>\£#,##0</c:formatCode>
                <c:ptCount val="50"/>
                <c:pt idx="0">
                  <c:v>1665.625</c:v>
                </c:pt>
                <c:pt idx="1">
                  <c:v>16252.162841796875</c:v>
                </c:pt>
                <c:pt idx="2">
                  <c:v>51325.925202732076</c:v>
                </c:pt>
                <c:pt idx="3">
                  <c:v>95473.198746830021</c:v>
                </c:pt>
                <c:pt idx="4">
                  <c:v>141837.16654171917</c:v>
                </c:pt>
                <c:pt idx="5">
                  <c:v>192143.82698779189</c:v>
                </c:pt>
                <c:pt idx="6">
                  <c:v>246071.34026800253</c:v>
                </c:pt>
                <c:pt idx="7">
                  <c:v>302560.4548960703</c:v>
                </c:pt>
                <c:pt idx="8">
                  <c:v>361309.02161130449</c:v>
                </c:pt>
                <c:pt idx="9">
                  <c:v>423799.35143935727</c:v>
                </c:pt>
                <c:pt idx="10">
                  <c:v>462047.75707953784</c:v>
                </c:pt>
                <c:pt idx="11">
                  <c:v>473598.9510065263</c:v>
                </c:pt>
                <c:pt idx="12">
                  <c:v>485438.92478168948</c:v>
                </c:pt>
                <c:pt idx="13">
                  <c:v>497574.89790123171</c:v>
                </c:pt>
                <c:pt idx="14">
                  <c:v>510014.27034876251</c:v>
                </c:pt>
                <c:pt idx="15">
                  <c:v>522764.62710748159</c:v>
                </c:pt>
                <c:pt idx="16">
                  <c:v>535833.74278516858</c:v>
                </c:pt>
                <c:pt idx="17">
                  <c:v>549229.58635479782</c:v>
                </c:pt>
                <c:pt idx="18">
                  <c:v>562960.32601366774</c:v>
                </c:pt>
                <c:pt idx="19">
                  <c:v>577034.33416400943</c:v>
                </c:pt>
                <c:pt idx="20">
                  <c:v>591460.19251810969</c:v>
                </c:pt>
                <c:pt idx="21">
                  <c:v>606246.6973310624</c:v>
                </c:pt>
                <c:pt idx="22">
                  <c:v>621402.86476433894</c:v>
                </c:pt>
                <c:pt idx="23">
                  <c:v>636937.93638344738</c:v>
                </c:pt>
                <c:pt idx="24">
                  <c:v>652861.38479303359</c:v>
                </c:pt>
                <c:pt idx="25">
                  <c:v>629031.94424808794</c:v>
                </c:pt>
                <c:pt idx="26">
                  <c:v>606072.27828303271</c:v>
                </c:pt>
                <c:pt idx="27">
                  <c:v>583950.64012570202</c:v>
                </c:pt>
                <c:pt idx="28">
                  <c:v>562636.44176111382</c:v>
                </c:pt>
                <c:pt idx="29">
                  <c:v>542100.21163683315</c:v>
                </c:pt>
                <c:pt idx="30">
                  <c:v>522313.55391208874</c:v>
                </c:pt>
                <c:pt idx="31">
                  <c:v>503249.10919429752</c:v>
                </c:pt>
                <c:pt idx="32">
                  <c:v>484880.51670870563</c:v>
                </c:pt>
                <c:pt idx="33">
                  <c:v>467182.37784883787</c:v>
                </c:pt>
                <c:pt idx="34">
                  <c:v>450130.22105735529</c:v>
                </c:pt>
                <c:pt idx="35">
                  <c:v>433700.46798876184</c:v>
                </c:pt>
                <c:pt idx="36">
                  <c:v>417870.40090717206</c:v>
                </c:pt>
                <c:pt idx="37">
                  <c:v>402618.13127406029</c:v>
                </c:pt>
                <c:pt idx="38">
                  <c:v>387922.56948255707</c:v>
                </c:pt>
                <c:pt idx="39">
                  <c:v>373763.39569644374</c:v>
                </c:pt>
                <c:pt idx="40">
                  <c:v>360121.03175352351</c:v>
                </c:pt>
                <c:pt idx="41">
                  <c:v>346976.61409451987</c:v>
                </c:pt>
                <c:pt idx="42">
                  <c:v>334311.96768006991</c:v>
                </c:pt>
                <c:pt idx="43">
                  <c:v>322109.58085974737</c:v>
                </c:pt>
                <c:pt idx="44">
                  <c:v>310352.58115836658</c:v>
                </c:pt>
                <c:pt idx="45">
                  <c:v>299024.7119460862</c:v>
                </c:pt>
                <c:pt idx="46">
                  <c:v>288110.309960054</c:v>
                </c:pt>
                <c:pt idx="47">
                  <c:v>277594.28364651202</c:v>
                </c:pt>
                <c:pt idx="48">
                  <c:v>267462.09229341435</c:v>
                </c:pt>
                <c:pt idx="49">
                  <c:v>257699.72592470472</c:v>
                </c:pt>
              </c:numCache>
            </c:numRef>
          </c:val>
          <c:smooth val="0"/>
          <c:extLst>
            <c:ext xmlns:c16="http://schemas.microsoft.com/office/drawing/2014/chart" uri="{C3380CC4-5D6E-409C-BE32-E72D297353CC}">
              <c16:uniqueId val="{00000001-FF8C-42A3-8FDD-6B76FF01C3EA}"/>
            </c:ext>
          </c:extLst>
        </c:ser>
        <c:ser>
          <c:idx val="2"/>
          <c:order val="2"/>
          <c:tx>
            <c:strRef>
              <c:f>Dashboard!$A$74</c:f>
              <c:strCache>
                <c:ptCount val="1"/>
                <c:pt idx="0">
                  <c:v>Free cash / reserves</c:v>
                </c:pt>
              </c:strCache>
            </c:strRef>
          </c:tx>
          <c:spPr>
            <a:ln w="28575" cap="rnd">
              <a:solidFill>
                <a:schemeClr val="accent3"/>
              </a:solidFill>
              <a:round/>
            </a:ln>
            <a:effectLst/>
          </c:spPr>
          <c:marker>
            <c:symbol val="none"/>
          </c:marker>
          <c:cat>
            <c:numRef>
              <c:f>Dashboard!$B$71:$AY$71</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Dashboard!$B$74:$AY$74</c:f>
              <c:numCache>
                <c:formatCode>\£#,##0</c:formatCode>
                <c:ptCount val="50"/>
                <c:pt idx="0">
                  <c:v>26824.375</c:v>
                </c:pt>
                <c:pt idx="1">
                  <c:v>26129.262158203113</c:v>
                </c:pt>
                <c:pt idx="2">
                  <c:v>10605.97614297102</c:v>
                </c:pt>
                <c:pt idx="3">
                  <c:v>-14514.878046141717</c:v>
                </c:pt>
                <c:pt idx="4">
                  <c:v>-23275.537432712274</c:v>
                </c:pt>
                <c:pt idx="5">
                  <c:v>-27162.479034554788</c:v>
                </c:pt>
                <c:pt idx="6">
                  <c:v>-23343.824067585563</c:v>
                </c:pt>
                <c:pt idx="7">
                  <c:v>-62488.727635740041</c:v>
                </c:pt>
                <c:pt idx="8">
                  <c:v>-115347.99220129132</c:v>
                </c:pt>
                <c:pt idx="9">
                  <c:v>-170626.02291606166</c:v>
                </c:pt>
                <c:pt idx="10">
                  <c:v>-317425.33328612219</c:v>
                </c:pt>
                <c:pt idx="11">
                  <c:v>-250808.81169438013</c:v>
                </c:pt>
                <c:pt idx="12">
                  <c:v>-173808.05807388973</c:v>
                </c:pt>
                <c:pt idx="13">
                  <c:v>-94304.423787103035</c:v>
                </c:pt>
                <c:pt idx="14">
                  <c:v>-12358.542692436138</c:v>
                </c:pt>
                <c:pt idx="15">
                  <c:v>72117.904604430893</c:v>
                </c:pt>
                <c:pt idx="16">
                  <c:v>163597.15593106713</c:v>
                </c:pt>
                <c:pt idx="17">
                  <c:v>258130.12040037801</c:v>
                </c:pt>
                <c:pt idx="18">
                  <c:v>356041.28623375943</c:v>
                </c:pt>
                <c:pt idx="19">
                  <c:v>457451.53862987389</c:v>
                </c:pt>
                <c:pt idx="20">
                  <c:v>562485.75520874024</c:v>
                </c:pt>
                <c:pt idx="21">
                  <c:v>671185.63039411162</c:v>
                </c:pt>
                <c:pt idx="22">
                  <c:v>192492.34211194422</c:v>
                </c:pt>
                <c:pt idx="23">
                  <c:v>331065.89356024261</c:v>
                </c:pt>
                <c:pt idx="24">
                  <c:v>482764.50695753889</c:v>
                </c:pt>
                <c:pt idx="25">
                  <c:v>679636.83754380164</c:v>
                </c:pt>
                <c:pt idx="26">
                  <c:v>253286.43186413613</c:v>
                </c:pt>
                <c:pt idx="27">
                  <c:v>584259.10158614698</c:v>
                </c:pt>
                <c:pt idx="28">
                  <c:v>978111.57499822741</c:v>
                </c:pt>
                <c:pt idx="29">
                  <c:v>617391.00439548225</c:v>
                </c:pt>
                <c:pt idx="30">
                  <c:v>1011408.8754308277</c:v>
                </c:pt>
                <c:pt idx="31">
                  <c:v>625491.6136231717</c:v>
                </c:pt>
                <c:pt idx="32">
                  <c:v>283663.0674810753</c:v>
                </c:pt>
                <c:pt idx="33">
                  <c:v>862481.8204558224</c:v>
                </c:pt>
                <c:pt idx="34">
                  <c:v>608257.706750846</c:v>
                </c:pt>
                <c:pt idx="35">
                  <c:v>403284.13107580948</c:v>
                </c:pt>
                <c:pt idx="36">
                  <c:v>1213829.1492717296</c:v>
                </c:pt>
                <c:pt idx="37">
                  <c:v>1096712.1791282389</c:v>
                </c:pt>
                <c:pt idx="38">
                  <c:v>1029517.7814767694</c:v>
                </c:pt>
                <c:pt idx="39">
                  <c:v>1026589.6348409238</c:v>
                </c:pt>
                <c:pt idx="40">
                  <c:v>1089351.2703504201</c:v>
                </c:pt>
                <c:pt idx="41">
                  <c:v>1218994.0296322971</c:v>
                </c:pt>
                <c:pt idx="42">
                  <c:v>1400990.4129516319</c:v>
                </c:pt>
                <c:pt idx="43">
                  <c:v>1623332.1769162412</c:v>
                </c:pt>
                <c:pt idx="44">
                  <c:v>1887027.7354710945</c:v>
                </c:pt>
                <c:pt idx="45">
                  <c:v>2193182.3780982317</c:v>
                </c:pt>
                <c:pt idx="46">
                  <c:v>1201065.7900676671</c:v>
                </c:pt>
                <c:pt idx="47">
                  <c:v>1644029.0753206639</c:v>
                </c:pt>
                <c:pt idx="48">
                  <c:v>2135563.0721118827</c:v>
                </c:pt>
                <c:pt idx="49">
                  <c:v>2677875.3401039341</c:v>
                </c:pt>
              </c:numCache>
            </c:numRef>
          </c:val>
          <c:smooth val="0"/>
          <c:extLst>
            <c:ext xmlns:c16="http://schemas.microsoft.com/office/drawing/2014/chart" uri="{C3380CC4-5D6E-409C-BE32-E72D297353CC}">
              <c16:uniqueId val="{00000002-FF8C-42A3-8FDD-6B76FF01C3EA}"/>
            </c:ext>
          </c:extLst>
        </c:ser>
        <c:dLbls>
          <c:showLegendKey val="0"/>
          <c:showVal val="0"/>
          <c:showCatName val="0"/>
          <c:showSerName val="0"/>
          <c:showPercent val="0"/>
          <c:showBubbleSize val="0"/>
        </c:dLbls>
        <c:smooth val="0"/>
        <c:axId val="1551742511"/>
        <c:axId val="1551742991"/>
      </c:lineChart>
      <c:catAx>
        <c:axId val="155174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Model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742991"/>
        <c:crosses val="autoZero"/>
        <c:auto val="1"/>
        <c:lblAlgn val="ctr"/>
        <c:lblOffset val="100"/>
        <c:noMultiLvlLbl val="0"/>
      </c:catAx>
      <c:valAx>
        <c:axId val="155174299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742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19</xdr:col>
      <xdr:colOff>0</xdr:colOff>
      <xdr:row>24</xdr:row>
      <xdr:rowOff>0</xdr:rowOff>
    </xdr:to>
    <xdr:graphicFrame macro="">
      <xdr:nvGraphicFramePr>
        <xdr:cNvPr id="4" name="PortfolioVsDebt">
          <a:extLst>
            <a:ext uri="{FF2B5EF4-FFF2-40B4-BE49-F238E27FC236}">
              <a16:creationId xmlns:a16="http://schemas.microsoft.com/office/drawing/2014/main" id="{FB1ED190-602B-8AF6-712F-FE72149CD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28</xdr:row>
      <xdr:rowOff>0</xdr:rowOff>
    </xdr:from>
    <xdr:to>
      <xdr:col>19</xdr:col>
      <xdr:colOff>0</xdr:colOff>
      <xdr:row>50</xdr:row>
      <xdr:rowOff>0</xdr:rowOff>
    </xdr:to>
    <xdr:graphicFrame macro="">
      <xdr:nvGraphicFramePr>
        <xdr:cNvPr id="5" name="IncomeVsDebtService">
          <a:extLst>
            <a:ext uri="{FF2B5EF4-FFF2-40B4-BE49-F238E27FC236}">
              <a16:creationId xmlns:a16="http://schemas.microsoft.com/office/drawing/2014/main" id="{56676354-C0C1-D6F8-4E1D-2BB6681F0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hikara Shimasaki" id="{90865C61-A893-4B3F-845D-02A3CF0CBB68}" userId="fc5fe3829241cee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4" dT="2026-07-26T18:50:02.04" personId="{90865C61-A893-4B3F-845D-02A3CF0CBB68}" id="{916826AC-12B9-4413-92CC-596B552540A4}">
    <text>The rate the Tontine fund must offer retail annuitants to attract capital, expressed as a spread over the index. The coupon SLC pays is derived from this, not set independently.</text>
  </threadedComment>
  <threadedComment ref="C17" dT="2026-07-26T18:50:02.07" personId="{90865C61-A893-4B3F-845D-02A3CF0CBB68}" id="{31954D5A-9F4A-4B31-9297-451B72B60BBD}">
    <text>Derived: target investor annuity rate + fund operating cost margin + fund regulatory capital charge. This is the spread over the index used for all Tontine debt service.</text>
  </threadedComment>
  <threadedComment ref="C18" dT="2026-07-26T18:50:02.07" personId="{90865C61-A893-4B3F-845D-02A3CF0CBB68}" id="{FC3EF8A7-E20F-43CB-98A4-F8F9DF34925C}">
    <text>The closed-end fund accepts capital only up to this total. Once cumulative drawdowns reach it, no further Tontine capital is available (Capital &amp; Debt rows 32 and 36).</text>
  </threadedComment>
  <threadedComment ref="C19" dT="2026-07-26T18:50:02.07" personId="{90865C61-A893-4B3F-845D-02A3CF0CBB68}" id="{813EB32F-D7D4-48E7-8510-583ED741F4EB}">
    <text>The fund is closed-end: SLC can draw only during this many years from Year 1. After that no further Tontine capital can be raised regardless of remaining raise capacity or LTV headroom.</text>
  </threadedComment>
  <threadedComment ref="C20" dT="2026-07-26T18:50:02.08" personId="{90865C61-A893-4B3F-845D-02A3CF0CBB68}" id="{288BA592-7D95-4DB9-B333-C970252E135A}">
    <text>From this year onwards the fund progressively releases property charges as member annuity obligations fall away. There is no principal repayment and no maturity date.</text>
  </threadedComment>
  <threadedComment ref="C21" dT="2026-07-26T18:50:02.08" personId="{90865C61-A893-4B3F-845D-02A3CF0CBB68}" id="{E2520AF3-BE94-4814-AC80-590EBC17F438}">
    <text>Each year in the release phase the outstanding Tontine balance is reduced by this proportion. The reduction is credited directly to SLC reserves (Financial Statements row 42) — it is not P&amp;L income, and no cash changes hands.</text>
  </threadedComment>
  <threadedComment ref="C22" dT="2026-07-26T18:50:02.08" personId="{90865C61-A893-4B3F-845D-02A3CF0CBB68}" id="{FC5F73F5-5827-4D24-9044-2DC56AD10C9D}">
    <text>Caps cumulative Tontine drawdowns against the indexed balance plus any commercial mortgage.</text>
  </threadedComment>
  <threadedComment ref="C23" dT="2026-07-26T18:50:02.08" personId="{90865C61-A893-4B3F-845D-02A3CF0CBB68}" id="{DF395FAD-BFCA-463F-8644-F9E62A1A3B7A}">
    <text>1 = at the refinancing year the whole outstanding Tontine balance transfers to a commercial mortgage amortised straight-line, and no further Tontine capital may be drawn. 0 = the Tontine runs in perpetuity under the progressive release mechanism.</text>
  </threadedComment>
  <threadedComment ref="C36" dT="2026-07-26T19:14:13.38" personId="{90865C61-A893-4B3F-845D-02A3CF0CBB68}" id="{BBDCCEBC-4A4D-43FC-B45C-C910BC3CABE3}">
    <text>Gift Aid is claimed only on this line. Cash donations from UK taxpayers qualify for Gift Aid recovery; the split from bequests is deliberate.</text>
  </threadedComment>
  <threadedComment ref="C37" dT="2026-07-26T19:14:13.39" personId="{90865C61-A893-4B3F-845D-02A3CF0CBB68}" id="{6DFB1102-59AB-4F39-96E8-49CDBC7196E6}">
    <text>Bequests from estates are NOT Gift Aid eligible — they fall under inheritance tax rules. No Gift Aid is claimed on this line.</text>
  </threadedComment>
  <threadedComment ref="C38" dT="2026-07-26T19:14:13.39" personId="{90865C61-A893-4B3F-845D-02A3CF0CBB68}" id="{E13C8E67-8ED0-437C-9B4B-DE208848D329}">
    <text>A one-off founding grant or seed gift received in Year 1 only. Raise this to relieve the early-year cash position (see the capital call flag on Financial Statements row 71).</text>
  </threadedComment>
  <threadedComment ref="C65" dT="2026-07-26T19:14:13.39" personId="{90865C61-A893-4B3F-845D-02A3CF0CBB68}" id="{6EF41EF9-39C1-46F4-A1B3-DDE0FF9A1C10}">
    <text>The floor below which free cash should not fall. Any year where free cash drops below this level is reported as a required capital call on Financial Statements row 71 and flagged on the Dashboard. The acquisition funding requirement on Capital &amp; Debt row 36 draws Tontine capital to maintain this buffer where capacity allows.</text>
  </threadedComment>
  <threadedComment ref="C77" dT="2026-07-26T19:14:13.40" personId="{90865C61-A893-4B3F-845D-02A3CF0CBB68}" id="{64737115-1C13-4278-9C40-A30F7330FDC5}">
    <text>Investment return earned on the CapEx sinking fund balance. Default 0% so the fund is modelled as non-interest-bearing cash; a positive return reduces the contribution needed to reach any given target.</text>
  </threadedComment>
  <threadedComment ref="C79" dT="2026-07-26T18:50:02.08" personId="{90865C61-A893-4B3F-845D-02A3CF0CBB68}" id="{6F428CEE-A626-40B2-BB49-7B3CD7E60907}">
    <text>Set the model year of a one-off house-price shock, or 0 for none. A full time-series override sits on Macro &amp; Indexation row 15 — type a rate into any year to override HPI for that year alone.</text>
  </threadedComment>
  <threadedComment ref="C81" dT="2026-07-26T19:14:13.40" personId="{90865C61-A893-4B3F-845D-02A3CF0CBB68}" id="{E608C1DF-0C9E-4C7A-A7A3-942EFD1B024D}">
    <text>Number of years, starting at the HPI shock year, during which rent inflation is replaced by the shock rate below. Set to 0 to disable. This lets a house price crash be paired with a rent freeze, which a pure HPI shock does not capture.</text>
  </threadedComment>
  <threadedComment ref="C82" dT="2026-07-26T19:14:13.40" personId="{90865C61-A893-4B3F-845D-02A3CF0CBB68}" id="{6A51281A-9704-4F9C-9BDD-A63DDF3FD2C8}">
    <text>Rent inflation applied during the rent shock window.</text>
  </threadedComment>
  <threadedComment ref="C89" dT="2026-07-26T18:50:02.08" personId="{90865C61-A893-4B3F-845D-02A3CF0CBB68}" id="{45FD23A6-6CAD-499F-85F4-B76C66E7CB23}">
    <text>1 = acquisitions are capped at what can actually be funded each year from Tontine capacity, retained free cash above the reserve target, gifts and net share proceeds. 0 = the growth curve runs unconstrained and any gap is reported on Capital &amp; Debt row 60.</text>
  </threadedComment>
  <threadedComment ref="C91" dT="2026-07-26T19:14:13.41" personId="{90865C61-A893-4B3F-845D-02A3CF0CBB68}" id="{A961529F-355C-422C-BD46-C0D138B42672}">
    <text>Acquisitions, the related transaction costs, the purchase price and the matching Tontine drawdown are all assumed to complete in this month of each year on the Monthly Cash Flow sheet.</text>
  </threadedComment>
  <threadedComment ref="C92" dT="2026-07-26T19:14:13.41" personId="{90865C61-A893-4B3F-845D-02A3CF0CBB68}" id="{D9C678BE-CE9E-4FF1-A1F9-DF2054CFF40D}">
    <text>Number of debt service payments per year on the Monthly Cash Flow sheet. 4 = quarterly, 12 = monthly, 1 = annually in month 12.</text>
  </threadedComment>
</ThreadedComments>
</file>

<file path=xl/threadedComments/threadedComment2.xml><?xml version="1.0" encoding="utf-8"?>
<ThreadedComments xmlns="http://schemas.microsoft.com/office/spreadsheetml/2018/threadedcomments" xmlns:x="http://schemas.openxmlformats.org/spreadsheetml/2006/main">
  <threadedComment ref="A16" dT="2026-07-26T19:10:14.01" personId="{90865C61-A893-4B3F-845D-02A3CF0CBB68}" id="{05E5E902-AD91-4275-95DD-16F14E026D8E}">
    <text>Structural maintenance and the CapEx sinking fund contribution are both charged on the full portfolio, including void properties. This is deliberate and conservative: a void property still incurs maintenance and still needs a sinking fund provision. Neither line is reduced by the void rate.</text>
  </threadedComment>
  <threadedComment ref="A17" dT="2026-07-26T19:10:13.99" personId="{90865C61-A893-4B3F-845D-02A3CF0CBB68}" id="{1DF3D29C-23E4-48DC-9D6F-85C9C49584D5}">
    <text>Community share issuance costs are expensed through the P&amp;L, which is the correct treatment for a BENCOM under UK GAAP. The share proceeds themselves are not income — they are a capital movement and appear only on the balance sheet and in financing cash flow. The memorandum block at rows 67–70 restates capital raised in each year so the P&amp;L can be read without that asymmetry causing confusion.</text>
  </threadedComment>
  <threadedComment ref="A22" dT="2026-07-26T19:10:14.01" personId="{90865C61-A893-4B3F-845D-02A3CF0CBB68}" id="{B980C10D-D632-4024-A75B-6B33D7437CB8}">
    <text>Non-cash. The Tontine principal is index-linked, so it inflates by CPI each year (Capital &amp; Debt row 31). That uplift is a real finance cost and is charged here, but no cash leaves the organisation, so it is excluded from the cash flow statement below.</text>
  </threadedComment>
  <threadedComment ref="A42" dT="2026-07-26T19:10:14.01" personId="{90865C61-A893-4B3F-845D-02A3CF0CBB68}" id="{833DECEE-329F-441C-8E92-20F9EA73871F}">
    <text>Non-cash. From the release phase start year the Tontine fund progressively releases property charges as member annuity obligations fall away. The reduction in the liability is credited directly to reserves — it is not P&amp;L income and no cash changes hands.</text>
  </threadedComment>
  <threadedComment ref="A71" dT="2026-07-26T19:10:14.01" personId="{90865C61-A893-4B3F-845D-02A3CF0CBB68}" id="{648A7441-FCEB-436F-854F-8B0C2FEE0273}">
    <text>Any year showing a figure here means free cash has fallen below the minimum operating cash buffer and a capital call, bridging facility or overdraft would be required. The model does not silently fund the gap.</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38EA19-2ECE-4CA2-A12B-7495852511ED}">
  <we:reference id="wa200010725" version="1.0.0.1" store="en-US" storeType="OMEX"/>
  <we:alternateReferences>
    <we:reference id="WA200010725" version="1.0.0.1" store="" storeType="OMEX"/>
  </we:alternateReferences>
  <we:properties>
    <we:property name="claude.fileId" value="&quot;22f2f710-a317-41c7-8092-aea6e330629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44C1-0616-456B-8DA1-BB82BBD2CD72}">
  <dimension ref="A1:G93"/>
  <sheetViews>
    <sheetView topLeftCell="N1" workbookViewId="0">
      <pane ySplit="6" topLeftCell="A71" activePane="bottomLeft" state="frozen"/>
      <selection pane="bottomLeft"/>
    </sheetView>
  </sheetViews>
  <sheetFormatPr defaultRowHeight="14.4" x14ac:dyDescent="0.3"/>
  <cols>
    <col min="1" max="1" width="63" customWidth="1"/>
    <col min="2" max="2" width="27.77734375" customWidth="1"/>
    <col min="3" max="3" width="17.5546875" customWidth="1"/>
    <col min="4" max="4" width="3.33203125" customWidth="1"/>
    <col min="5" max="7" width="17.5546875" customWidth="1"/>
  </cols>
  <sheetData>
    <row r="1" spans="1:7" ht="18" x14ac:dyDescent="0.35">
      <c r="A1" s="1" t="s">
        <v>0</v>
      </c>
    </row>
    <row r="2" spans="1:7" x14ac:dyDescent="0.3">
      <c r="A2" s="2" t="s">
        <v>3</v>
      </c>
    </row>
    <row r="3" spans="1:7" x14ac:dyDescent="0.3">
      <c r="A3" s="2" t="s">
        <v>371</v>
      </c>
    </row>
    <row r="4" spans="1:7" x14ac:dyDescent="0.3">
      <c r="A4" s="3" t="s">
        <v>269</v>
      </c>
      <c r="C4" s="47" t="str">
        <f>Dashboard!$C$3</f>
        <v>Base</v>
      </c>
    </row>
    <row r="5" spans="1:7" x14ac:dyDescent="0.3">
      <c r="A5" t="s">
        <v>2</v>
      </c>
      <c r="C5" s="5">
        <f>MATCH($C$4,{"Base";"Optimistic";"Stress"},0)</f>
        <v>1</v>
      </c>
    </row>
    <row r="6" spans="1:7" x14ac:dyDescent="0.3">
      <c r="A6" s="7" t="s">
        <v>4</v>
      </c>
      <c r="B6" s="7" t="s">
        <v>5</v>
      </c>
      <c r="C6" s="8" t="s">
        <v>6</v>
      </c>
      <c r="D6" s="8"/>
      <c r="E6" s="8" t="s">
        <v>1</v>
      </c>
      <c r="F6" s="8" t="s">
        <v>7</v>
      </c>
      <c r="G6" s="8" t="s">
        <v>8</v>
      </c>
    </row>
    <row r="7" spans="1:7" x14ac:dyDescent="0.3">
      <c r="A7" s="26" t="s">
        <v>9</v>
      </c>
      <c r="B7" s="54"/>
      <c r="C7" s="26"/>
      <c r="D7" s="26"/>
      <c r="E7" s="26"/>
      <c r="F7" s="26"/>
      <c r="G7" s="26"/>
    </row>
    <row r="8" spans="1:7" x14ac:dyDescent="0.3">
      <c r="A8" s="22" t="s">
        <v>10</v>
      </c>
      <c r="B8" s="24" t="s">
        <v>11</v>
      </c>
      <c r="C8" s="59">
        <f>CHOOSE($C$5,E8,F8,G8)</f>
        <v>2.5000000000000001E-2</v>
      </c>
      <c r="D8" s="22"/>
      <c r="E8" s="60">
        <v>2.5000000000000001E-2</v>
      </c>
      <c r="F8" s="60">
        <v>0.02</v>
      </c>
      <c r="G8" s="60">
        <v>4.4999999999999998E-2</v>
      </c>
    </row>
    <row r="9" spans="1:7" x14ac:dyDescent="0.3">
      <c r="A9" s="22" t="s">
        <v>12</v>
      </c>
      <c r="B9" s="24" t="s">
        <v>11</v>
      </c>
      <c r="C9" s="59">
        <f>CHOOSE($C$5,E9,F9,G9)</f>
        <v>2.5000000000000001E-2</v>
      </c>
      <c r="D9" s="22"/>
      <c r="E9" s="60">
        <v>2.5000000000000001E-2</v>
      </c>
      <c r="F9" s="60">
        <v>0.03</v>
      </c>
      <c r="G9" s="58">
        <f>$E9</f>
        <v>2.5000000000000001E-2</v>
      </c>
    </row>
    <row r="10" spans="1:7" x14ac:dyDescent="0.3">
      <c r="A10" s="22" t="s">
        <v>13</v>
      </c>
      <c r="B10" s="24" t="s">
        <v>11</v>
      </c>
      <c r="C10" s="59">
        <f>CHOOSE($C$5,E10,F10,G10)</f>
        <v>0.01</v>
      </c>
      <c r="D10" s="22"/>
      <c r="E10" s="60">
        <v>0.01</v>
      </c>
      <c r="F10" s="60">
        <v>0.02</v>
      </c>
      <c r="G10" s="58">
        <f>$E10</f>
        <v>0.01</v>
      </c>
    </row>
    <row r="11" spans="1:7" x14ac:dyDescent="0.3">
      <c r="A11" s="22" t="s">
        <v>14</v>
      </c>
      <c r="B11" s="24" t="s">
        <v>15</v>
      </c>
      <c r="C11" s="14">
        <f>CHOOSE($C$5,E11,F11,G11)</f>
        <v>2026</v>
      </c>
      <c r="D11" s="22"/>
      <c r="E11" s="18">
        <v>2026</v>
      </c>
      <c r="F11" s="23">
        <f>$E11</f>
        <v>2026</v>
      </c>
      <c r="G11" s="23">
        <f>$E11</f>
        <v>2026</v>
      </c>
    </row>
    <row r="12" spans="1:7" x14ac:dyDescent="0.3">
      <c r="A12" s="26" t="s">
        <v>321</v>
      </c>
      <c r="B12" s="54"/>
      <c r="C12" s="26"/>
      <c r="D12" s="26"/>
      <c r="E12" s="26"/>
      <c r="F12" s="26"/>
      <c r="G12" s="26"/>
    </row>
    <row r="13" spans="1:7" x14ac:dyDescent="0.3">
      <c r="A13" s="22" t="s">
        <v>322</v>
      </c>
      <c r="B13" s="24" t="s">
        <v>16</v>
      </c>
      <c r="C13" s="15" t="str">
        <f t="shared" ref="C13:C26" si="0">CHOOSE($C$5,E13,F13,G13)</f>
        <v>CPI</v>
      </c>
      <c r="D13" s="22"/>
      <c r="E13" s="19" t="s">
        <v>17</v>
      </c>
      <c r="F13" s="24" t="str">
        <f>$E13</f>
        <v>CPI</v>
      </c>
      <c r="G13" s="24" t="str">
        <f>$E13</f>
        <v>CPI</v>
      </c>
    </row>
    <row r="14" spans="1:7" x14ac:dyDescent="0.3">
      <c r="A14" s="22" t="s">
        <v>323</v>
      </c>
      <c r="B14" s="24" t="s">
        <v>11</v>
      </c>
      <c r="C14" s="72">
        <f t="shared" si="0"/>
        <v>0.03</v>
      </c>
      <c r="D14" s="22"/>
      <c r="E14" s="60">
        <v>0.03</v>
      </c>
      <c r="F14" s="60">
        <v>0.03</v>
      </c>
      <c r="G14" s="60">
        <v>0.03</v>
      </c>
    </row>
    <row r="15" spans="1:7" x14ac:dyDescent="0.3">
      <c r="A15" s="22" t="s">
        <v>324</v>
      </c>
      <c r="B15" s="24" t="s">
        <v>11</v>
      </c>
      <c r="C15" s="59">
        <f t="shared" si="0"/>
        <v>5.0000000000000001E-3</v>
      </c>
      <c r="D15" s="22"/>
      <c r="E15" s="60">
        <v>5.0000000000000001E-3</v>
      </c>
      <c r="F15" s="58">
        <f>$E15</f>
        <v>5.0000000000000001E-3</v>
      </c>
      <c r="G15" s="58">
        <f>$E15</f>
        <v>5.0000000000000001E-3</v>
      </c>
    </row>
    <row r="16" spans="1:7" x14ac:dyDescent="0.3">
      <c r="A16" s="22" t="s">
        <v>325</v>
      </c>
      <c r="B16" s="24" t="s">
        <v>11</v>
      </c>
      <c r="C16" s="59">
        <f t="shared" si="0"/>
        <v>2.5000000000000001E-3</v>
      </c>
      <c r="D16" s="22"/>
      <c r="E16" s="60">
        <v>2.5000000000000001E-3</v>
      </c>
      <c r="F16" s="58">
        <f>$E16</f>
        <v>2.5000000000000001E-3</v>
      </c>
      <c r="G16" s="58">
        <f>$E16</f>
        <v>2.5000000000000001E-3</v>
      </c>
    </row>
    <row r="17" spans="1:7" x14ac:dyDescent="0.3">
      <c r="A17" s="22" t="s">
        <v>326</v>
      </c>
      <c r="B17" s="24" t="s">
        <v>11</v>
      </c>
      <c r="C17" s="72">
        <f t="shared" si="0"/>
        <v>3.7499999999999999E-2</v>
      </c>
      <c r="D17" s="22"/>
      <c r="E17" s="61">
        <f>SUM(E14:E16)</f>
        <v>3.7499999999999999E-2</v>
      </c>
      <c r="F17" s="61">
        <f>SUM(F14:F16)</f>
        <v>3.7499999999999999E-2</v>
      </c>
      <c r="G17" s="61">
        <f>SUM(G14:G16)</f>
        <v>3.7499999999999999E-2</v>
      </c>
    </row>
    <row r="18" spans="1:7" x14ac:dyDescent="0.3">
      <c r="A18" s="22" t="s">
        <v>327</v>
      </c>
      <c r="B18" s="24" t="s">
        <v>48</v>
      </c>
      <c r="C18" s="73">
        <f t="shared" si="0"/>
        <v>50000000</v>
      </c>
      <c r="D18" s="22"/>
      <c r="E18" s="20">
        <v>50000000</v>
      </c>
      <c r="F18" s="25">
        <f t="shared" ref="F18:G21" si="1">$E18</f>
        <v>50000000</v>
      </c>
      <c r="G18" s="25">
        <f t="shared" si="1"/>
        <v>50000000</v>
      </c>
    </row>
    <row r="19" spans="1:7" x14ac:dyDescent="0.3">
      <c r="A19" s="22" t="s">
        <v>328</v>
      </c>
      <c r="B19" s="24" t="s">
        <v>18</v>
      </c>
      <c r="C19" s="55">
        <f t="shared" si="0"/>
        <v>10</v>
      </c>
      <c r="D19" s="22"/>
      <c r="E19" s="18">
        <v>10</v>
      </c>
      <c r="F19" s="23">
        <f t="shared" si="1"/>
        <v>10</v>
      </c>
      <c r="G19" s="23">
        <f t="shared" si="1"/>
        <v>10</v>
      </c>
    </row>
    <row r="20" spans="1:7" x14ac:dyDescent="0.3">
      <c r="A20" s="22" t="s">
        <v>329</v>
      </c>
      <c r="B20" s="24" t="s">
        <v>23</v>
      </c>
      <c r="C20" s="55">
        <f t="shared" si="0"/>
        <v>25</v>
      </c>
      <c r="D20" s="22"/>
      <c r="E20" s="18">
        <v>25</v>
      </c>
      <c r="F20" s="23">
        <f t="shared" si="1"/>
        <v>25</v>
      </c>
      <c r="G20" s="23">
        <f t="shared" si="1"/>
        <v>25</v>
      </c>
    </row>
    <row r="21" spans="1:7" x14ac:dyDescent="0.3">
      <c r="A21" s="22" t="s">
        <v>330</v>
      </c>
      <c r="B21" s="24" t="s">
        <v>331</v>
      </c>
      <c r="C21" s="72">
        <f t="shared" si="0"/>
        <v>0.06</v>
      </c>
      <c r="D21" s="22"/>
      <c r="E21" s="60">
        <v>0.06</v>
      </c>
      <c r="F21" s="58">
        <f t="shared" si="1"/>
        <v>0.06</v>
      </c>
      <c r="G21" s="58">
        <f t="shared" si="1"/>
        <v>0.06</v>
      </c>
    </row>
    <row r="22" spans="1:7" x14ac:dyDescent="0.3">
      <c r="A22" s="22" t="s">
        <v>19</v>
      </c>
      <c r="B22" s="24" t="s">
        <v>20</v>
      </c>
      <c r="C22" s="72">
        <f t="shared" si="0"/>
        <v>0.7</v>
      </c>
      <c r="D22" s="22"/>
      <c r="E22" s="60">
        <v>0.7</v>
      </c>
      <c r="F22" s="60">
        <v>0.75</v>
      </c>
      <c r="G22" s="58">
        <f>$E22</f>
        <v>0.7</v>
      </c>
    </row>
    <row r="23" spans="1:7" x14ac:dyDescent="0.3">
      <c r="A23" s="22" t="s">
        <v>21</v>
      </c>
      <c r="B23" s="24" t="s">
        <v>308</v>
      </c>
      <c r="C23" s="55">
        <f t="shared" si="0"/>
        <v>0</v>
      </c>
      <c r="D23" s="22"/>
      <c r="E23" s="18">
        <v>0</v>
      </c>
      <c r="F23" s="23">
        <f>$E23</f>
        <v>0</v>
      </c>
      <c r="G23" s="23">
        <f>$E23</f>
        <v>0</v>
      </c>
    </row>
    <row r="24" spans="1:7" x14ac:dyDescent="0.3">
      <c r="A24" s="22" t="s">
        <v>22</v>
      </c>
      <c r="B24" s="24" t="s">
        <v>23</v>
      </c>
      <c r="C24" s="14">
        <f t="shared" si="0"/>
        <v>26</v>
      </c>
      <c r="D24" s="22"/>
      <c r="E24" s="18">
        <v>26</v>
      </c>
      <c r="F24" s="23">
        <f>$E24</f>
        <v>26</v>
      </c>
      <c r="G24" s="23">
        <f>$E24</f>
        <v>26</v>
      </c>
    </row>
    <row r="25" spans="1:7" x14ac:dyDescent="0.3">
      <c r="A25" s="22" t="s">
        <v>24</v>
      </c>
      <c r="B25" s="24" t="s">
        <v>11</v>
      </c>
      <c r="C25" s="59">
        <f t="shared" si="0"/>
        <v>5.5E-2</v>
      </c>
      <c r="D25" s="22"/>
      <c r="E25" s="60">
        <v>5.5E-2</v>
      </c>
      <c r="F25" s="60">
        <v>4.4999999999999998E-2</v>
      </c>
      <c r="G25" s="58">
        <f>$E25</f>
        <v>5.5E-2</v>
      </c>
    </row>
    <row r="26" spans="1:7" x14ac:dyDescent="0.3">
      <c r="A26" s="22" t="s">
        <v>25</v>
      </c>
      <c r="B26" s="24" t="s">
        <v>18</v>
      </c>
      <c r="C26" s="14">
        <f t="shared" si="0"/>
        <v>25</v>
      </c>
      <c r="D26" s="22"/>
      <c r="E26" s="18">
        <v>25</v>
      </c>
      <c r="F26" s="23">
        <f>$E26</f>
        <v>25</v>
      </c>
      <c r="G26" s="23">
        <f>$E26</f>
        <v>25</v>
      </c>
    </row>
    <row r="27" spans="1:7" x14ac:dyDescent="0.3">
      <c r="A27" s="26" t="s">
        <v>26</v>
      </c>
      <c r="B27" s="54"/>
      <c r="C27" s="26"/>
      <c r="D27" s="26"/>
      <c r="E27" s="26"/>
      <c r="F27" s="26"/>
      <c r="G27" s="26"/>
    </row>
    <row r="28" spans="1:7" x14ac:dyDescent="0.3">
      <c r="A28" s="22" t="s">
        <v>27</v>
      </c>
      <c r="B28" s="24" t="s">
        <v>11</v>
      </c>
      <c r="C28" s="59">
        <f t="shared" ref="C28:C34" si="2">CHOOSE($C$5,E28,F28,G28)</f>
        <v>0.03</v>
      </c>
      <c r="D28" s="22"/>
      <c r="E28" s="60">
        <v>0.03</v>
      </c>
      <c r="F28" s="58">
        <f t="shared" ref="F28:G30" si="3">$E28</f>
        <v>0.03</v>
      </c>
      <c r="G28" s="58">
        <f t="shared" si="3"/>
        <v>0.03</v>
      </c>
    </row>
    <row r="29" spans="1:7" x14ac:dyDescent="0.3">
      <c r="A29" s="22" t="s">
        <v>28</v>
      </c>
      <c r="B29" s="24" t="s">
        <v>29</v>
      </c>
      <c r="C29" s="59">
        <f t="shared" si="2"/>
        <v>0.2</v>
      </c>
      <c r="D29" s="22"/>
      <c r="E29" s="60">
        <v>0.2</v>
      </c>
      <c r="F29" s="58">
        <f t="shared" si="3"/>
        <v>0.2</v>
      </c>
      <c r="G29" s="58">
        <f t="shared" si="3"/>
        <v>0.2</v>
      </c>
    </row>
    <row r="30" spans="1:7" x14ac:dyDescent="0.3">
      <c r="A30" s="22" t="s">
        <v>30</v>
      </c>
      <c r="B30" s="24" t="s">
        <v>18</v>
      </c>
      <c r="C30" s="14">
        <f t="shared" si="2"/>
        <v>5</v>
      </c>
      <c r="D30" s="22"/>
      <c r="E30" s="18">
        <v>5</v>
      </c>
      <c r="F30" s="23">
        <f t="shared" si="3"/>
        <v>5</v>
      </c>
      <c r="G30" s="23">
        <f t="shared" si="3"/>
        <v>5</v>
      </c>
    </row>
    <row r="31" spans="1:7" x14ac:dyDescent="0.3">
      <c r="A31" s="22" t="s">
        <v>31</v>
      </c>
      <c r="B31" s="24" t="s">
        <v>32</v>
      </c>
      <c r="C31" s="59">
        <f t="shared" si="2"/>
        <v>0.05</v>
      </c>
      <c r="D31" s="22"/>
      <c r="E31" s="60">
        <v>0.05</v>
      </c>
      <c r="F31" s="60">
        <v>0.04</v>
      </c>
      <c r="G31" s="58">
        <f>$E31</f>
        <v>0.05</v>
      </c>
    </row>
    <row r="32" spans="1:7" x14ac:dyDescent="0.3">
      <c r="A32" s="22" t="s">
        <v>33</v>
      </c>
      <c r="B32" s="24" t="s">
        <v>34</v>
      </c>
      <c r="C32" s="16">
        <f t="shared" si="2"/>
        <v>250000</v>
      </c>
      <c r="D32" s="22"/>
      <c r="E32" s="20">
        <v>250000</v>
      </c>
      <c r="F32" s="25">
        <f>$E32</f>
        <v>250000</v>
      </c>
      <c r="G32" s="25">
        <f>$E32</f>
        <v>250000</v>
      </c>
    </row>
    <row r="33" spans="1:7" x14ac:dyDescent="0.3">
      <c r="A33" s="22" t="s">
        <v>35</v>
      </c>
      <c r="B33" s="24" t="s">
        <v>36</v>
      </c>
      <c r="C33" s="17">
        <f t="shared" si="2"/>
        <v>1</v>
      </c>
      <c r="D33" s="22"/>
      <c r="E33" s="21">
        <v>1</v>
      </c>
      <c r="F33" s="21">
        <v>1.5</v>
      </c>
      <c r="G33" s="21">
        <v>0.5</v>
      </c>
    </row>
    <row r="34" spans="1:7" x14ac:dyDescent="0.3">
      <c r="A34" s="22" t="s">
        <v>37</v>
      </c>
      <c r="B34" s="24" t="s">
        <v>11</v>
      </c>
      <c r="C34" s="59">
        <f t="shared" si="2"/>
        <v>0.02</v>
      </c>
      <c r="D34" s="22"/>
      <c r="E34" s="60">
        <v>0.02</v>
      </c>
      <c r="F34" s="60">
        <v>0.01</v>
      </c>
      <c r="G34" s="58">
        <f>$E34</f>
        <v>0.02</v>
      </c>
    </row>
    <row r="35" spans="1:7" x14ac:dyDescent="0.3">
      <c r="A35" s="26" t="s">
        <v>38</v>
      </c>
      <c r="B35" s="54"/>
      <c r="C35" s="26"/>
      <c r="D35" s="26"/>
      <c r="E35" s="26"/>
      <c r="F35" s="26"/>
      <c r="G35" s="26"/>
    </row>
    <row r="36" spans="1:7" x14ac:dyDescent="0.3">
      <c r="A36" s="22" t="s">
        <v>357</v>
      </c>
      <c r="B36" s="24" t="s">
        <v>34</v>
      </c>
      <c r="C36" s="73">
        <f>CHOOSE($C$5,E36,F36,G36)</f>
        <v>40000</v>
      </c>
      <c r="D36" s="22"/>
      <c r="E36" s="20">
        <v>40000</v>
      </c>
      <c r="F36" s="20">
        <v>60000</v>
      </c>
      <c r="G36" s="25">
        <f>$E36</f>
        <v>40000</v>
      </c>
    </row>
    <row r="37" spans="1:7" x14ac:dyDescent="0.3">
      <c r="A37" s="22" t="s">
        <v>351</v>
      </c>
      <c r="B37" s="10" t="s">
        <v>34</v>
      </c>
      <c r="C37" s="73">
        <f>CHOOSE($C$5,E37,F37,G37)</f>
        <v>60000</v>
      </c>
      <c r="E37" s="20">
        <v>60000</v>
      </c>
      <c r="F37" s="20">
        <v>90000</v>
      </c>
      <c r="G37" s="25">
        <f>$E37</f>
        <v>60000</v>
      </c>
    </row>
    <row r="38" spans="1:7" x14ac:dyDescent="0.3">
      <c r="A38" s="22" t="s">
        <v>352</v>
      </c>
      <c r="B38" s="10" t="s">
        <v>48</v>
      </c>
      <c r="C38" s="73">
        <f>CHOOSE($C$5,E38,F38,G38)</f>
        <v>150000</v>
      </c>
      <c r="E38" s="20">
        <v>150000</v>
      </c>
      <c r="F38" s="25">
        <f>$E38</f>
        <v>150000</v>
      </c>
      <c r="G38" s="25">
        <f>$E38</f>
        <v>150000</v>
      </c>
    </row>
    <row r="39" spans="1:7" x14ac:dyDescent="0.3">
      <c r="A39" s="22" t="s">
        <v>39</v>
      </c>
      <c r="B39" s="24" t="s">
        <v>11</v>
      </c>
      <c r="C39" s="59">
        <f>CHOOSE($C$5,E39,F39,G39)</f>
        <v>0</v>
      </c>
      <c r="D39" s="22"/>
      <c r="E39" s="60">
        <v>0</v>
      </c>
      <c r="F39" s="60">
        <v>0.02</v>
      </c>
      <c r="G39" s="58">
        <f>$E39</f>
        <v>0</v>
      </c>
    </row>
    <row r="40" spans="1:7" x14ac:dyDescent="0.3">
      <c r="A40" s="26" t="s">
        <v>40</v>
      </c>
      <c r="B40" s="54"/>
      <c r="C40" s="26"/>
      <c r="D40" s="26"/>
      <c r="E40" s="26"/>
      <c r="F40" s="26"/>
      <c r="G40" s="26"/>
    </row>
    <row r="41" spans="1:7" x14ac:dyDescent="0.3">
      <c r="A41" s="22" t="s">
        <v>41</v>
      </c>
      <c r="B41" s="24" t="s">
        <v>42</v>
      </c>
      <c r="C41" s="59">
        <f>CHOOSE($C$5,E41,F41,G41)</f>
        <v>0.05</v>
      </c>
      <c r="D41" s="22"/>
      <c r="E41" s="60">
        <v>0.05</v>
      </c>
      <c r="F41" s="60">
        <v>5.5E-2</v>
      </c>
      <c r="G41" s="58">
        <f>$E41</f>
        <v>0.05</v>
      </c>
    </row>
    <row r="42" spans="1:7" x14ac:dyDescent="0.3">
      <c r="A42" s="22" t="s">
        <v>43</v>
      </c>
      <c r="B42" s="24" t="s">
        <v>44</v>
      </c>
      <c r="C42" s="59">
        <f>CHOOSE($C$5,E42,F42,G42)</f>
        <v>0.8</v>
      </c>
      <c r="D42" s="22"/>
      <c r="E42" s="60">
        <v>0.8</v>
      </c>
      <c r="F42" s="60">
        <v>0.85</v>
      </c>
      <c r="G42" s="58">
        <f>$E42</f>
        <v>0.8</v>
      </c>
    </row>
    <row r="43" spans="1:7" x14ac:dyDescent="0.3">
      <c r="A43" s="22" t="s">
        <v>45</v>
      </c>
      <c r="B43" s="24" t="s">
        <v>44</v>
      </c>
      <c r="C43" s="59">
        <f>CHOOSE($C$5,E43,F43,G43)</f>
        <v>0.05</v>
      </c>
      <c r="D43" s="22"/>
      <c r="E43" s="60">
        <v>0.05</v>
      </c>
      <c r="F43" s="60">
        <v>0.03</v>
      </c>
      <c r="G43" s="60">
        <v>0.15</v>
      </c>
    </row>
    <row r="44" spans="1:7" x14ac:dyDescent="0.3">
      <c r="A44" s="26" t="s">
        <v>46</v>
      </c>
      <c r="B44" s="54"/>
      <c r="C44" s="26"/>
      <c r="D44" s="26"/>
      <c r="E44" s="26"/>
      <c r="F44" s="26"/>
      <c r="G44" s="26"/>
    </row>
    <row r="45" spans="1:7" x14ac:dyDescent="0.3">
      <c r="A45" s="22" t="s">
        <v>47</v>
      </c>
      <c r="B45" s="24" t="s">
        <v>48</v>
      </c>
      <c r="C45" s="16">
        <f>CHOOSE($C$5,E45,F45,G45)</f>
        <v>280000</v>
      </c>
      <c r="D45" s="22"/>
      <c r="E45" s="20">
        <v>280000</v>
      </c>
      <c r="F45" s="25">
        <f t="shared" ref="F45:G49" si="4">$E45</f>
        <v>280000</v>
      </c>
      <c r="G45" s="25">
        <f t="shared" si="4"/>
        <v>280000</v>
      </c>
    </row>
    <row r="46" spans="1:7" x14ac:dyDescent="0.3">
      <c r="A46" s="22" t="s">
        <v>49</v>
      </c>
      <c r="B46" s="24" t="s">
        <v>50</v>
      </c>
      <c r="C46" s="59">
        <f>CHOOSE($C$5,E46,F46,G46)</f>
        <v>0</v>
      </c>
      <c r="D46" s="22"/>
      <c r="E46" s="60">
        <v>0</v>
      </c>
      <c r="F46" s="58">
        <f t="shared" si="4"/>
        <v>0</v>
      </c>
      <c r="G46" s="58">
        <f t="shared" si="4"/>
        <v>0</v>
      </c>
    </row>
    <row r="47" spans="1:7" x14ac:dyDescent="0.3">
      <c r="A47" s="22" t="s">
        <v>51</v>
      </c>
      <c r="B47" s="24" t="s">
        <v>48</v>
      </c>
      <c r="C47" s="16">
        <f>CHOOSE($C$5,E47,F47,G47)</f>
        <v>2500</v>
      </c>
      <c r="D47" s="22"/>
      <c r="E47" s="20">
        <v>2500</v>
      </c>
      <c r="F47" s="25">
        <f t="shared" si="4"/>
        <v>2500</v>
      </c>
      <c r="G47" s="25">
        <f t="shared" si="4"/>
        <v>2500</v>
      </c>
    </row>
    <row r="48" spans="1:7" x14ac:dyDescent="0.3">
      <c r="A48" s="22" t="s">
        <v>52</v>
      </c>
      <c r="B48" s="24" t="s">
        <v>48</v>
      </c>
      <c r="C48" s="16">
        <f>CHOOSE($C$5,E48,F48,G48)</f>
        <v>800</v>
      </c>
      <c r="D48" s="22"/>
      <c r="E48" s="20">
        <v>800</v>
      </c>
      <c r="F48" s="25">
        <f t="shared" si="4"/>
        <v>800</v>
      </c>
      <c r="G48" s="25">
        <f t="shared" si="4"/>
        <v>800</v>
      </c>
    </row>
    <row r="49" spans="1:7" x14ac:dyDescent="0.3">
      <c r="A49" s="22" t="s">
        <v>53</v>
      </c>
      <c r="B49" s="24" t="s">
        <v>48</v>
      </c>
      <c r="C49" s="16">
        <f>CHOOSE($C$5,E49,F49,G49)</f>
        <v>5000</v>
      </c>
      <c r="D49" s="22"/>
      <c r="E49" s="20">
        <v>5000</v>
      </c>
      <c r="F49" s="25">
        <f t="shared" si="4"/>
        <v>5000</v>
      </c>
      <c r="G49" s="25">
        <f t="shared" si="4"/>
        <v>5000</v>
      </c>
    </row>
    <row r="50" spans="1:7" x14ac:dyDescent="0.3">
      <c r="A50" s="26" t="s">
        <v>54</v>
      </c>
      <c r="B50" s="54"/>
      <c r="C50" s="26"/>
      <c r="D50" s="26"/>
      <c r="E50" s="26"/>
      <c r="F50" s="26"/>
      <c r="G50" s="26"/>
    </row>
    <row r="51" spans="1:7" x14ac:dyDescent="0.3">
      <c r="A51" s="22" t="s">
        <v>55</v>
      </c>
      <c r="B51" s="24" t="s">
        <v>34</v>
      </c>
      <c r="C51" s="16">
        <f>CHOOSE($C$5,E51,F51,G51)</f>
        <v>0</v>
      </c>
      <c r="D51" s="22"/>
      <c r="E51" s="20">
        <v>0</v>
      </c>
      <c r="F51" s="25">
        <f t="shared" ref="F51:G54" si="5">$E51</f>
        <v>0</v>
      </c>
      <c r="G51" s="25">
        <f t="shared" si="5"/>
        <v>0</v>
      </c>
    </row>
    <row r="52" spans="1:7" x14ac:dyDescent="0.3">
      <c r="A52" s="22" t="s">
        <v>56</v>
      </c>
      <c r="B52" s="24" t="s">
        <v>34</v>
      </c>
      <c r="C52" s="16">
        <f>CHOOSE($C$5,E52,F52,G52)</f>
        <v>3000</v>
      </c>
      <c r="D52" s="22"/>
      <c r="E52" s="20">
        <v>3000</v>
      </c>
      <c r="F52" s="25">
        <f t="shared" si="5"/>
        <v>3000</v>
      </c>
      <c r="G52" s="25">
        <f t="shared" si="5"/>
        <v>3000</v>
      </c>
    </row>
    <row r="53" spans="1:7" x14ac:dyDescent="0.3">
      <c r="A53" s="22" t="s">
        <v>57</v>
      </c>
      <c r="B53" s="24" t="s">
        <v>34</v>
      </c>
      <c r="C53" s="16">
        <f>CHOOSE($C$5,E53,F53,G53)</f>
        <v>1500</v>
      </c>
      <c r="D53" s="22"/>
      <c r="E53" s="20">
        <v>1500</v>
      </c>
      <c r="F53" s="25">
        <f t="shared" si="5"/>
        <v>1500</v>
      </c>
      <c r="G53" s="25">
        <f t="shared" si="5"/>
        <v>1500</v>
      </c>
    </row>
    <row r="54" spans="1:7" x14ac:dyDescent="0.3">
      <c r="A54" s="22" t="s">
        <v>58</v>
      </c>
      <c r="B54" s="24" t="s">
        <v>34</v>
      </c>
      <c r="C54" s="16">
        <f>CHOOSE($C$5,E54,F54,G54)</f>
        <v>1000</v>
      </c>
      <c r="D54" s="22"/>
      <c r="E54" s="20">
        <v>1000</v>
      </c>
      <c r="F54" s="25">
        <f t="shared" si="5"/>
        <v>1000</v>
      </c>
      <c r="G54" s="25">
        <f t="shared" si="5"/>
        <v>1000</v>
      </c>
    </row>
    <row r="55" spans="1:7" x14ac:dyDescent="0.3">
      <c r="A55" s="26" t="s">
        <v>59</v>
      </c>
      <c r="B55" s="54"/>
      <c r="C55" s="26"/>
      <c r="D55" s="26"/>
      <c r="E55" s="26"/>
      <c r="F55" s="26"/>
      <c r="G55" s="26"/>
    </row>
    <row r="56" spans="1:7" x14ac:dyDescent="0.3">
      <c r="A56" s="22" t="s">
        <v>55</v>
      </c>
      <c r="B56" s="24" t="s">
        <v>34</v>
      </c>
      <c r="C56" s="16">
        <f>CHOOSE($C$5,E56,F56,G56)</f>
        <v>12000</v>
      </c>
      <c r="D56" s="22"/>
      <c r="E56" s="20">
        <v>12000</v>
      </c>
      <c r="F56" s="25">
        <f t="shared" ref="F56:G60" si="6">$E56</f>
        <v>12000</v>
      </c>
      <c r="G56" s="25">
        <f t="shared" si="6"/>
        <v>12000</v>
      </c>
    </row>
    <row r="57" spans="1:7" x14ac:dyDescent="0.3">
      <c r="A57" s="22" t="s">
        <v>56</v>
      </c>
      <c r="B57" s="24" t="s">
        <v>34</v>
      </c>
      <c r="C57" s="16">
        <f>CHOOSE($C$5,E57,F57,G57)</f>
        <v>8000</v>
      </c>
      <c r="D57" s="22"/>
      <c r="E57" s="20">
        <v>8000</v>
      </c>
      <c r="F57" s="25">
        <f t="shared" si="6"/>
        <v>8000</v>
      </c>
      <c r="G57" s="25">
        <f t="shared" si="6"/>
        <v>8000</v>
      </c>
    </row>
    <row r="58" spans="1:7" x14ac:dyDescent="0.3">
      <c r="A58" s="22" t="s">
        <v>57</v>
      </c>
      <c r="B58" s="24" t="s">
        <v>34</v>
      </c>
      <c r="C58" s="16">
        <f>CHOOSE($C$5,E58,F58,G58)</f>
        <v>3000</v>
      </c>
      <c r="D58" s="22"/>
      <c r="E58" s="20">
        <v>3000</v>
      </c>
      <c r="F58" s="25">
        <f t="shared" si="6"/>
        <v>3000</v>
      </c>
      <c r="G58" s="25">
        <f t="shared" si="6"/>
        <v>3000</v>
      </c>
    </row>
    <row r="59" spans="1:7" x14ac:dyDescent="0.3">
      <c r="A59" s="22" t="s">
        <v>58</v>
      </c>
      <c r="B59" s="24" t="s">
        <v>34</v>
      </c>
      <c r="C59" s="16">
        <f>CHOOSE($C$5,E59,F59,G59)</f>
        <v>2000</v>
      </c>
      <c r="D59" s="22"/>
      <c r="E59" s="20">
        <v>2000</v>
      </c>
      <c r="F59" s="25">
        <f t="shared" si="6"/>
        <v>2000</v>
      </c>
      <c r="G59" s="25">
        <f t="shared" si="6"/>
        <v>2000</v>
      </c>
    </row>
    <row r="60" spans="1:7" x14ac:dyDescent="0.3">
      <c r="A60" s="22" t="s">
        <v>60</v>
      </c>
      <c r="B60" s="24" t="s">
        <v>61</v>
      </c>
      <c r="C60" s="16">
        <f>CHOOSE($C$5,E60,F60,G60)</f>
        <v>150</v>
      </c>
      <c r="D60" s="22"/>
      <c r="E60" s="20">
        <v>150</v>
      </c>
      <c r="F60" s="25">
        <f t="shared" si="6"/>
        <v>150</v>
      </c>
      <c r="G60" s="25">
        <f t="shared" si="6"/>
        <v>150</v>
      </c>
    </row>
    <row r="61" spans="1:7" x14ac:dyDescent="0.3">
      <c r="A61" s="26" t="s">
        <v>62</v>
      </c>
      <c r="B61" s="54"/>
      <c r="C61" s="26"/>
      <c r="D61" s="26"/>
      <c r="E61" s="26"/>
      <c r="F61" s="26"/>
      <c r="G61" s="26"/>
    </row>
    <row r="62" spans="1:7" x14ac:dyDescent="0.3">
      <c r="A62" s="22" t="s">
        <v>63</v>
      </c>
      <c r="B62" s="24" t="s">
        <v>64</v>
      </c>
      <c r="C62" s="14">
        <f>CHOOSE($C$5,E62,F62,G62)</f>
        <v>6</v>
      </c>
      <c r="D62" s="22"/>
      <c r="E62" s="18">
        <v>6</v>
      </c>
      <c r="F62" s="23">
        <f t="shared" ref="F62:G65" si="7">$E62</f>
        <v>6</v>
      </c>
      <c r="G62" s="23">
        <f t="shared" si="7"/>
        <v>6</v>
      </c>
    </row>
    <row r="63" spans="1:7" x14ac:dyDescent="0.3">
      <c r="A63" s="22" t="s">
        <v>65</v>
      </c>
      <c r="B63" s="24" t="s">
        <v>64</v>
      </c>
      <c r="C63" s="14">
        <f>CHOOSE($C$5,E63,F63,G63)</f>
        <v>3</v>
      </c>
      <c r="D63" s="22"/>
      <c r="E63" s="18">
        <v>3</v>
      </c>
      <c r="F63" s="23">
        <f t="shared" si="7"/>
        <v>3</v>
      </c>
      <c r="G63" s="23">
        <f t="shared" si="7"/>
        <v>3</v>
      </c>
    </row>
    <row r="64" spans="1:7" x14ac:dyDescent="0.3">
      <c r="A64" s="22" t="s">
        <v>66</v>
      </c>
      <c r="B64" s="24" t="s">
        <v>23</v>
      </c>
      <c r="C64" s="14">
        <f>CHOOSE($C$5,E64,F64,G64)</f>
        <v>10</v>
      </c>
      <c r="D64" s="22"/>
      <c r="E64" s="18">
        <v>10</v>
      </c>
      <c r="F64" s="23">
        <f t="shared" si="7"/>
        <v>10</v>
      </c>
      <c r="G64" s="23">
        <f t="shared" si="7"/>
        <v>10</v>
      </c>
    </row>
    <row r="65" spans="1:7" x14ac:dyDescent="0.3">
      <c r="A65" s="22" t="s">
        <v>353</v>
      </c>
      <c r="B65" s="10" t="s">
        <v>48</v>
      </c>
      <c r="C65" s="73">
        <f>CHOOSE($C$5,E65,F65,G65)</f>
        <v>25000</v>
      </c>
      <c r="E65" s="20">
        <v>25000</v>
      </c>
      <c r="F65" s="25">
        <f>$E65</f>
        <v>25000</v>
      </c>
      <c r="G65" s="25">
        <f>$E65</f>
        <v>25000</v>
      </c>
    </row>
    <row r="66" spans="1:7" x14ac:dyDescent="0.3">
      <c r="A66" s="26" t="s">
        <v>67</v>
      </c>
      <c r="B66" s="54"/>
      <c r="C66" s="26"/>
      <c r="D66" s="26"/>
      <c r="E66" s="26"/>
      <c r="F66" s="26"/>
      <c r="G66" s="26"/>
    </row>
    <row r="67" spans="1:7" x14ac:dyDescent="0.3">
      <c r="A67" s="22" t="s">
        <v>68</v>
      </c>
      <c r="B67" s="24" t="s">
        <v>69</v>
      </c>
      <c r="C67" s="14">
        <f t="shared" ref="C67:C73" si="8">CHOOSE($C$5,E67,F67,G67)</f>
        <v>1</v>
      </c>
      <c r="D67" s="22"/>
      <c r="E67" s="18">
        <v>1</v>
      </c>
      <c r="F67" s="23">
        <f t="shared" ref="F67:G71" si="9">$E67</f>
        <v>1</v>
      </c>
      <c r="G67" s="23">
        <f t="shared" si="9"/>
        <v>1</v>
      </c>
    </row>
    <row r="68" spans="1:7" x14ac:dyDescent="0.3">
      <c r="A68" s="22" t="s">
        <v>70</v>
      </c>
      <c r="B68" s="24" t="s">
        <v>69</v>
      </c>
      <c r="C68" s="14">
        <f t="shared" si="8"/>
        <v>2</v>
      </c>
      <c r="D68" s="22"/>
      <c r="E68" s="18">
        <v>2</v>
      </c>
      <c r="F68" s="23">
        <f t="shared" si="9"/>
        <v>2</v>
      </c>
      <c r="G68" s="23">
        <f t="shared" si="9"/>
        <v>2</v>
      </c>
    </row>
    <row r="69" spans="1:7" x14ac:dyDescent="0.3">
      <c r="A69" s="22" t="s">
        <v>71</v>
      </c>
      <c r="B69" s="24" t="s">
        <v>69</v>
      </c>
      <c r="C69" s="14">
        <f t="shared" si="8"/>
        <v>3</v>
      </c>
      <c r="D69" s="22"/>
      <c r="E69" s="18">
        <v>3</v>
      </c>
      <c r="F69" s="23">
        <f t="shared" si="9"/>
        <v>3</v>
      </c>
      <c r="G69" s="23">
        <f t="shared" si="9"/>
        <v>3</v>
      </c>
    </row>
    <row r="70" spans="1:7" x14ac:dyDescent="0.3">
      <c r="A70" s="22" t="s">
        <v>72</v>
      </c>
      <c r="B70" s="24" t="s">
        <v>23</v>
      </c>
      <c r="C70" s="14">
        <f t="shared" si="8"/>
        <v>4</v>
      </c>
      <c r="D70" s="22"/>
      <c r="E70" s="18">
        <v>4</v>
      </c>
      <c r="F70" s="23">
        <f t="shared" si="9"/>
        <v>4</v>
      </c>
      <c r="G70" s="23">
        <f t="shared" si="9"/>
        <v>4</v>
      </c>
    </row>
    <row r="71" spans="1:7" x14ac:dyDescent="0.3">
      <c r="A71" s="22" t="s">
        <v>73</v>
      </c>
      <c r="B71" s="24" t="s">
        <v>69</v>
      </c>
      <c r="C71" s="14">
        <f t="shared" si="8"/>
        <v>3</v>
      </c>
      <c r="D71" s="22"/>
      <c r="E71" s="18">
        <v>3</v>
      </c>
      <c r="F71" s="23">
        <f t="shared" si="9"/>
        <v>3</v>
      </c>
      <c r="G71" s="23">
        <f t="shared" si="9"/>
        <v>3</v>
      </c>
    </row>
    <row r="72" spans="1:7" x14ac:dyDescent="0.3">
      <c r="A72" s="22" t="s">
        <v>74</v>
      </c>
      <c r="B72" s="24" t="s">
        <v>69</v>
      </c>
      <c r="C72" s="14">
        <f t="shared" si="8"/>
        <v>200</v>
      </c>
      <c r="D72" s="22"/>
      <c r="E72" s="18">
        <v>200</v>
      </c>
      <c r="F72" s="18">
        <v>250</v>
      </c>
      <c r="G72" s="23">
        <f>$E72</f>
        <v>200</v>
      </c>
    </row>
    <row r="73" spans="1:7" x14ac:dyDescent="0.3">
      <c r="A73" s="22" t="s">
        <v>75</v>
      </c>
      <c r="B73" s="24" t="s">
        <v>18</v>
      </c>
      <c r="C73" s="14">
        <f t="shared" si="8"/>
        <v>4</v>
      </c>
      <c r="D73" s="22"/>
      <c r="E73" s="18">
        <v>4</v>
      </c>
      <c r="F73" s="18">
        <v>3</v>
      </c>
      <c r="G73" s="23">
        <f>$E73</f>
        <v>4</v>
      </c>
    </row>
    <row r="74" spans="1:7" x14ac:dyDescent="0.3">
      <c r="A74" s="26" t="s">
        <v>76</v>
      </c>
      <c r="B74" s="54"/>
      <c r="C74" s="26"/>
      <c r="D74" s="26"/>
      <c r="E74" s="26"/>
      <c r="F74" s="26"/>
      <c r="G74" s="26"/>
    </row>
    <row r="75" spans="1:7" x14ac:dyDescent="0.3">
      <c r="A75" s="22" t="s">
        <v>77</v>
      </c>
      <c r="B75" s="24" t="s">
        <v>61</v>
      </c>
      <c r="C75" s="16">
        <f>CHOOSE($C$5,E75,F75,G75)</f>
        <v>1500</v>
      </c>
      <c r="D75" s="22"/>
      <c r="E75" s="20">
        <v>1500</v>
      </c>
      <c r="F75" s="25">
        <f>$E75</f>
        <v>1500</v>
      </c>
      <c r="G75" s="25">
        <f>$E75</f>
        <v>1500</v>
      </c>
    </row>
    <row r="76" spans="1:7" x14ac:dyDescent="0.3">
      <c r="A76" s="22" t="s">
        <v>78</v>
      </c>
      <c r="B76" s="24" t="s">
        <v>61</v>
      </c>
      <c r="C76" s="16">
        <f>CHOOSE($C$5,E76,F76,G76)</f>
        <v>700</v>
      </c>
      <c r="D76" s="22"/>
      <c r="E76" s="20">
        <v>700</v>
      </c>
      <c r="F76" s="25">
        <f>$E76</f>
        <v>700</v>
      </c>
      <c r="G76" s="25">
        <f>$E76</f>
        <v>700</v>
      </c>
    </row>
    <row r="77" spans="1:7" x14ac:dyDescent="0.3">
      <c r="A77" s="22" t="s">
        <v>354</v>
      </c>
      <c r="B77" s="10" t="s">
        <v>11</v>
      </c>
      <c r="C77" s="72">
        <f>CHOOSE($C$5,E77,F77,G77)</f>
        <v>0</v>
      </c>
      <c r="E77" s="60">
        <v>0</v>
      </c>
      <c r="F77" s="60">
        <v>0.02</v>
      </c>
      <c r="G77" s="58">
        <f>$E77</f>
        <v>0</v>
      </c>
    </row>
    <row r="78" spans="1:7" x14ac:dyDescent="0.3">
      <c r="A78" s="26" t="s">
        <v>358</v>
      </c>
      <c r="B78" s="54"/>
      <c r="C78" s="26"/>
      <c r="D78" s="26"/>
      <c r="E78" s="26"/>
      <c r="F78" s="26"/>
      <c r="G78" s="26"/>
    </row>
    <row r="79" spans="1:7" x14ac:dyDescent="0.3">
      <c r="A79" s="22" t="s">
        <v>79</v>
      </c>
      <c r="B79" s="24" t="s">
        <v>23</v>
      </c>
      <c r="C79" s="55">
        <f>CHOOSE($C$5,E79,F79,G79)</f>
        <v>0</v>
      </c>
      <c r="D79" s="22"/>
      <c r="E79" s="18">
        <v>0</v>
      </c>
      <c r="F79" s="18">
        <v>0</v>
      </c>
      <c r="G79" s="18">
        <v>5</v>
      </c>
    </row>
    <row r="80" spans="1:7" x14ac:dyDescent="0.3">
      <c r="A80" s="22" t="s">
        <v>80</v>
      </c>
      <c r="B80" s="24" t="s">
        <v>44</v>
      </c>
      <c r="C80" s="59">
        <f>CHOOSE($C$5,E80,F80,G80)</f>
        <v>-0.2</v>
      </c>
      <c r="D80" s="22"/>
      <c r="E80" s="60">
        <v>-0.2</v>
      </c>
      <c r="F80" s="60">
        <v>0.1</v>
      </c>
      <c r="G80" s="58">
        <f>$E80</f>
        <v>-0.2</v>
      </c>
    </row>
    <row r="81" spans="1:7" x14ac:dyDescent="0.3">
      <c r="A81" s="22" t="s">
        <v>355</v>
      </c>
      <c r="B81" s="10" t="s">
        <v>18</v>
      </c>
      <c r="C81" s="55">
        <f>CHOOSE($C$5,E81,F81,G81)</f>
        <v>0</v>
      </c>
      <c r="E81" s="18">
        <v>0</v>
      </c>
      <c r="F81" s="23">
        <f>$E81</f>
        <v>0</v>
      </c>
      <c r="G81" s="18">
        <v>2</v>
      </c>
    </row>
    <row r="82" spans="1:7" x14ac:dyDescent="0.3">
      <c r="A82" s="22" t="s">
        <v>356</v>
      </c>
      <c r="B82" s="10" t="s">
        <v>11</v>
      </c>
      <c r="C82" s="72">
        <f>CHOOSE($C$5,E82,F82,G82)</f>
        <v>0</v>
      </c>
      <c r="E82" s="60">
        <v>0</v>
      </c>
      <c r="F82" s="58">
        <f>$E82</f>
        <v>0</v>
      </c>
      <c r="G82" s="58">
        <f>$E82</f>
        <v>0</v>
      </c>
    </row>
    <row r="83" spans="1:7" x14ac:dyDescent="0.3">
      <c r="A83" s="26" t="s">
        <v>81</v>
      </c>
      <c r="B83" s="54"/>
      <c r="C83" s="26"/>
      <c r="D83" s="26"/>
      <c r="E83" s="26"/>
      <c r="F83" s="26"/>
      <c r="G83" s="26"/>
    </row>
    <row r="84" spans="1:7" x14ac:dyDescent="0.3">
      <c r="A84" s="22" t="s">
        <v>82</v>
      </c>
      <c r="B84" s="24" t="s">
        <v>308</v>
      </c>
      <c r="C84" s="14">
        <f>CHOOSE($C$5,E84,F84,G84)</f>
        <v>1</v>
      </c>
      <c r="D84" s="22"/>
      <c r="E84" s="18">
        <v>1</v>
      </c>
      <c r="F84" s="23">
        <f t="shared" ref="F84:G87" si="10">$E84</f>
        <v>1</v>
      </c>
      <c r="G84" s="23">
        <f t="shared" si="10"/>
        <v>1</v>
      </c>
    </row>
    <row r="85" spans="1:7" x14ac:dyDescent="0.3">
      <c r="A85" s="22" t="s">
        <v>83</v>
      </c>
      <c r="B85" s="24" t="s">
        <v>44</v>
      </c>
      <c r="C85" s="59">
        <f>CHOOSE($C$5,E85,F85,G85)</f>
        <v>0.25</v>
      </c>
      <c r="D85" s="22"/>
      <c r="E85" s="60">
        <v>0.25</v>
      </c>
      <c r="F85" s="58">
        <f t="shared" si="10"/>
        <v>0.25</v>
      </c>
      <c r="G85" s="58">
        <f t="shared" si="10"/>
        <v>0.25</v>
      </c>
    </row>
    <row r="86" spans="1:7" x14ac:dyDescent="0.3">
      <c r="A86" s="22" t="s">
        <v>84</v>
      </c>
      <c r="B86" s="24" t="s">
        <v>308</v>
      </c>
      <c r="C86" s="14">
        <f>CHOOSE($C$5,E86,F86,G86)</f>
        <v>1</v>
      </c>
      <c r="D86" s="22"/>
      <c r="E86" s="18">
        <v>1</v>
      </c>
      <c r="F86" s="23">
        <f t="shared" si="10"/>
        <v>1</v>
      </c>
      <c r="G86" s="23">
        <f t="shared" si="10"/>
        <v>1</v>
      </c>
    </row>
    <row r="87" spans="1:7" x14ac:dyDescent="0.3">
      <c r="A87" s="22" t="s">
        <v>85</v>
      </c>
      <c r="B87" s="24" t="s">
        <v>86</v>
      </c>
      <c r="C87" s="59">
        <f>CHOOSE($C$5,E87,F87,G87)</f>
        <v>0.25</v>
      </c>
      <c r="D87" s="22"/>
      <c r="E87" s="60">
        <v>0.25</v>
      </c>
      <c r="F87" s="58">
        <f t="shared" si="10"/>
        <v>0.25</v>
      </c>
      <c r="G87" s="58">
        <f t="shared" si="10"/>
        <v>0.25</v>
      </c>
    </row>
    <row r="88" spans="1:7" x14ac:dyDescent="0.3">
      <c r="A88" s="26" t="s">
        <v>309</v>
      </c>
      <c r="B88" s="54"/>
      <c r="C88" s="26"/>
      <c r="D88" s="26"/>
      <c r="E88" s="26"/>
      <c r="F88" s="26"/>
      <c r="G88" s="26"/>
    </row>
    <row r="89" spans="1:7" x14ac:dyDescent="0.3">
      <c r="A89" s="22" t="s">
        <v>310</v>
      </c>
      <c r="B89" s="24" t="s">
        <v>308</v>
      </c>
      <c r="C89" s="55">
        <f>CHOOSE($C$5,E89,F89,G89)</f>
        <v>1</v>
      </c>
      <c r="D89" s="22"/>
      <c r="E89" s="18">
        <v>1</v>
      </c>
      <c r="F89" s="23">
        <f>$E89</f>
        <v>1</v>
      </c>
      <c r="G89" s="23">
        <f>$E89</f>
        <v>1</v>
      </c>
    </row>
    <row r="90" spans="1:7" x14ac:dyDescent="0.3">
      <c r="A90" s="37" t="s">
        <v>375</v>
      </c>
      <c r="B90" s="37"/>
      <c r="C90" s="37"/>
      <c r="D90" s="37"/>
      <c r="E90" s="37"/>
      <c r="F90" s="37"/>
      <c r="G90" s="37"/>
    </row>
    <row r="91" spans="1:7" x14ac:dyDescent="0.3">
      <c r="A91" s="22" t="s">
        <v>376</v>
      </c>
      <c r="B91" s="10" t="s">
        <v>377</v>
      </c>
      <c r="C91" s="55">
        <f>CHOOSE($C$5,E91,F91,G91)</f>
        <v>12</v>
      </c>
      <c r="D91" s="9"/>
      <c r="E91" s="18">
        <v>12</v>
      </c>
      <c r="F91" s="23">
        <f t="shared" ref="F91:G93" si="11">$E91</f>
        <v>12</v>
      </c>
      <c r="G91" s="23">
        <f t="shared" si="11"/>
        <v>12</v>
      </c>
    </row>
    <row r="92" spans="1:7" x14ac:dyDescent="0.3">
      <c r="A92" s="37" t="s">
        <v>378</v>
      </c>
      <c r="B92" s="10" t="s">
        <v>379</v>
      </c>
      <c r="C92" s="55">
        <f>CHOOSE($C$5,E92,F92,G92)</f>
        <v>4</v>
      </c>
      <c r="D92" s="9"/>
      <c r="E92" s="18">
        <v>4</v>
      </c>
      <c r="F92" s="23">
        <f t="shared" si="11"/>
        <v>4</v>
      </c>
      <c r="G92" s="23">
        <f t="shared" si="11"/>
        <v>4</v>
      </c>
    </row>
    <row r="93" spans="1:7" x14ac:dyDescent="0.3">
      <c r="A93" s="22" t="s">
        <v>380</v>
      </c>
      <c r="B93" s="10" t="s">
        <v>377</v>
      </c>
      <c r="C93" s="14">
        <f>CHOOSE($C$5,E93,F93,G93)</f>
        <v>12</v>
      </c>
      <c r="D93" s="9"/>
      <c r="E93" s="18">
        <v>12</v>
      </c>
      <c r="F93" s="23">
        <f t="shared" si="11"/>
        <v>12</v>
      </c>
      <c r="G93" s="23">
        <f t="shared" si="11"/>
        <v>12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C5D6-3108-4762-AD10-64122F4B1F2A}">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08CE-EC6B-416C-8799-059C33E13BF3}">
  <dimension ref="A1:E93"/>
  <sheetViews>
    <sheetView workbookViewId="0">
      <pane ySplit="6" topLeftCell="A7" activePane="bottomLeft" state="frozen"/>
      <selection pane="bottomLeft"/>
    </sheetView>
  </sheetViews>
  <sheetFormatPr defaultRowHeight="14.4" x14ac:dyDescent="0.3"/>
  <cols>
    <col min="1" max="1" width="63" customWidth="1"/>
    <col min="2" max="2" width="27.77734375" customWidth="1"/>
    <col min="3" max="5" width="19.44140625" customWidth="1"/>
  </cols>
  <sheetData>
    <row r="1" spans="1:5" ht="18" x14ac:dyDescent="0.35">
      <c r="A1" s="1" t="s">
        <v>343</v>
      </c>
    </row>
    <row r="2" spans="1:5" x14ac:dyDescent="0.3">
      <c r="A2" s="81" t="s">
        <v>398</v>
      </c>
    </row>
    <row r="4" spans="1:5" x14ac:dyDescent="0.3">
      <c r="A4" s="65" t="s">
        <v>399</v>
      </c>
    </row>
    <row r="6" spans="1:5" x14ac:dyDescent="0.3">
      <c r="A6" s="7" t="s">
        <v>4</v>
      </c>
      <c r="B6" s="7" t="s">
        <v>5</v>
      </c>
      <c r="C6" s="7" t="s">
        <v>344</v>
      </c>
      <c r="D6" s="7" t="s">
        <v>345</v>
      </c>
      <c r="E6" s="7" t="s">
        <v>346</v>
      </c>
    </row>
    <row r="7" spans="1:5" x14ac:dyDescent="0.3">
      <c r="A7" s="37" t="str">
        <f>IF('Control &amp; Parameters'!A7="","",'Control &amp; Parameters'!A7)</f>
        <v>MACRO &amp; INDEXATION</v>
      </c>
      <c r="B7" s="54" t="str">
        <f>IF('Control &amp; Parameters'!B7="","",'Control &amp; Parameters'!B7)</f>
        <v/>
      </c>
      <c r="C7" s="26" t="str">
        <f>IF('Control &amp; Parameters'!E7="","",'Control &amp; Parameters'!E7)</f>
        <v/>
      </c>
      <c r="D7" s="26" t="str">
        <f>IF('Control &amp; Parameters'!F7="","",'Control &amp; Parameters'!F7)</f>
        <v/>
      </c>
      <c r="E7" s="26" t="str">
        <f>IF('Control &amp; Parameters'!G7="","",'Control &amp; Parameters'!G7)</f>
        <v/>
      </c>
    </row>
    <row r="8" spans="1:5" x14ac:dyDescent="0.3">
      <c r="A8" s="66" t="str">
        <f>IF('Control &amp; Parameters'!A8="","",'Control &amp; Parameters'!A8)</f>
        <v>General CPI inflation</v>
      </c>
      <c r="B8" s="69" t="str">
        <f>IF('Control &amp; Parameters'!B8="","",'Control &amp; Parameters'!B8)</f>
        <v>% p.a.</v>
      </c>
      <c r="C8" s="67">
        <f>IF('Control &amp; Parameters'!E8="","",'Control &amp; Parameters'!E8)</f>
        <v>2.5000000000000001E-2</v>
      </c>
      <c r="D8" s="67">
        <f>IF('Control &amp; Parameters'!F8="","",'Control &amp; Parameters'!F8)</f>
        <v>0.02</v>
      </c>
      <c r="E8" s="67">
        <f>IF('Control &amp; Parameters'!G8="","",'Control &amp; Parameters'!G8)</f>
        <v>4.4999999999999998E-2</v>
      </c>
    </row>
    <row r="9" spans="1:5" x14ac:dyDescent="0.3">
      <c r="A9" s="66" t="str">
        <f>IF('Control &amp; Parameters'!A9="","",'Control &amp; Parameters'!A9)</f>
        <v>Rent inflation</v>
      </c>
      <c r="B9" s="69" t="str">
        <f>IF('Control &amp; Parameters'!B9="","",'Control &amp; Parameters'!B9)</f>
        <v>% p.a.</v>
      </c>
      <c r="C9" s="67">
        <f>IF('Control &amp; Parameters'!E9="","",'Control &amp; Parameters'!E9)</f>
        <v>2.5000000000000001E-2</v>
      </c>
      <c r="D9" s="67">
        <f>IF('Control &amp; Parameters'!F9="","",'Control &amp; Parameters'!F9)</f>
        <v>0.03</v>
      </c>
      <c r="E9" s="67">
        <f>IF('Control &amp; Parameters'!G9="","",'Control &amp; Parameters'!G9)</f>
        <v>2.5000000000000001E-2</v>
      </c>
    </row>
    <row r="10" spans="1:5" x14ac:dyDescent="0.3">
      <c r="A10" s="66" t="str">
        <f>IF('Control &amp; Parameters'!A10="","",'Control &amp; Parameters'!A10)</f>
        <v>HPI premium over CPI</v>
      </c>
      <c r="B10" s="69" t="str">
        <f>IF('Control &amp; Parameters'!B10="","",'Control &amp; Parameters'!B10)</f>
        <v>% p.a.</v>
      </c>
      <c r="C10" s="67">
        <f>IF('Control &amp; Parameters'!E10="","",'Control &amp; Parameters'!E10)</f>
        <v>0.01</v>
      </c>
      <c r="D10" s="67">
        <f>IF('Control &amp; Parameters'!F10="","",'Control &amp; Parameters'!F10)</f>
        <v>0.02</v>
      </c>
      <c r="E10" s="67">
        <f>IF('Control &amp; Parameters'!G10="","",'Control &amp; Parameters'!G10)</f>
        <v>0.01</v>
      </c>
    </row>
    <row r="11" spans="1:5" x14ac:dyDescent="0.3">
      <c r="A11" s="66" t="str">
        <f>IF('Control &amp; Parameters'!A11="","",'Control &amp; Parameters'!A11)</f>
        <v>Base calendar year (Year 1)</v>
      </c>
      <c r="B11" s="69" t="str">
        <f>IF('Control &amp; Parameters'!B11="","",'Control &amp; Parameters'!B11)</f>
        <v>year</v>
      </c>
      <c r="C11" s="68">
        <f>IF('Control &amp; Parameters'!E11="","",'Control &amp; Parameters'!E11)</f>
        <v>2026</v>
      </c>
      <c r="D11" s="68">
        <f>IF('Control &amp; Parameters'!F11="","",'Control &amp; Parameters'!F11)</f>
        <v>2026</v>
      </c>
      <c r="E11" s="68">
        <f>IF('Control &amp; Parameters'!G11="","",'Control &amp; Parameters'!G11)</f>
        <v>2026</v>
      </c>
    </row>
    <row r="12" spans="1:5" x14ac:dyDescent="0.3">
      <c r="A12" s="37" t="str">
        <f>IF('Control &amp; Parameters'!A12="","",'Control &amp; Parameters'!A12)</f>
        <v>TONTINE FUND — CLOSED-END LIFETIME ANNUITY MUTUAL</v>
      </c>
      <c r="B12" s="54" t="str">
        <f>IF('Control &amp; Parameters'!B12="","",'Control &amp; Parameters'!B12)</f>
        <v/>
      </c>
      <c r="C12" s="26" t="str">
        <f>IF('Control &amp; Parameters'!E12="","",'Control &amp; Parameters'!E12)</f>
        <v/>
      </c>
      <c r="D12" s="26" t="str">
        <f>IF('Control &amp; Parameters'!F12="","",'Control &amp; Parameters'!F12)</f>
        <v/>
      </c>
      <c r="E12" s="26" t="str">
        <f>IF('Control &amp; Parameters'!G12="","",'Control &amp; Parameters'!G12)</f>
        <v/>
      </c>
    </row>
    <row r="13" spans="1:5" x14ac:dyDescent="0.3">
      <c r="A13" s="66" t="str">
        <f>IF('Control &amp; Parameters'!A13="","",'Control &amp; Parameters'!A13)</f>
        <v>Indexation basis (principal and coupon)</v>
      </c>
      <c r="B13" s="69" t="str">
        <f>IF('Control &amp; Parameters'!B13="","",'Control &amp; Parameters'!B13)</f>
        <v>text</v>
      </c>
      <c r="C13" s="69" t="str">
        <f>IF('Control &amp; Parameters'!E13="","",'Control &amp; Parameters'!E13)</f>
        <v>CPI</v>
      </c>
      <c r="D13" s="69" t="str">
        <f>IF('Control &amp; Parameters'!F13="","",'Control &amp; Parameters'!F13)</f>
        <v>CPI</v>
      </c>
      <c r="E13" s="69" t="str">
        <f>IF('Control &amp; Parameters'!G13="","",'Control &amp; Parameters'!G13)</f>
        <v>CPI</v>
      </c>
    </row>
    <row r="14" spans="1:5" x14ac:dyDescent="0.3">
      <c r="A14" s="66" t="str">
        <f>IF('Control &amp; Parameters'!A14="","",'Control &amp; Parameters'!A14)</f>
        <v>Target investor annuity rate — spread over index</v>
      </c>
      <c r="B14" s="69" t="str">
        <f>IF('Control &amp; Parameters'!B14="","",'Control &amp; Parameters'!B14)</f>
        <v>% p.a.</v>
      </c>
      <c r="C14" s="67">
        <f>IF('Control &amp; Parameters'!E14="","",'Control &amp; Parameters'!E14)</f>
        <v>0.03</v>
      </c>
      <c r="D14" s="67">
        <f>IF('Control &amp; Parameters'!F14="","",'Control &amp; Parameters'!F14)</f>
        <v>0.03</v>
      </c>
      <c r="E14" s="67">
        <f>IF('Control &amp; Parameters'!G14="","",'Control &amp; Parameters'!G14)</f>
        <v>0.03</v>
      </c>
    </row>
    <row r="15" spans="1:5" x14ac:dyDescent="0.3">
      <c r="A15" s="66" t="str">
        <f>IF('Control &amp; Parameters'!A15="","",'Control &amp; Parameters'!A15)</f>
        <v>Fund operating cost margin</v>
      </c>
      <c r="B15" s="69" t="str">
        <f>IF('Control &amp; Parameters'!B15="","",'Control &amp; Parameters'!B15)</f>
        <v>% p.a.</v>
      </c>
      <c r="C15" s="67">
        <f>IF('Control &amp; Parameters'!E15="","",'Control &amp; Parameters'!E15)</f>
        <v>5.0000000000000001E-3</v>
      </c>
      <c r="D15" s="67">
        <f>IF('Control &amp; Parameters'!F15="","",'Control &amp; Parameters'!F15)</f>
        <v>5.0000000000000001E-3</v>
      </c>
      <c r="E15" s="67">
        <f>IF('Control &amp; Parameters'!G15="","",'Control &amp; Parameters'!G15)</f>
        <v>5.0000000000000001E-3</v>
      </c>
    </row>
    <row r="16" spans="1:5" x14ac:dyDescent="0.3">
      <c r="A16" s="66" t="str">
        <f>IF('Control &amp; Parameters'!A16="","",'Control &amp; Parameters'!A16)</f>
        <v>Fund regulatory capital charge</v>
      </c>
      <c r="B16" s="69" t="str">
        <f>IF('Control &amp; Parameters'!B16="","",'Control &amp; Parameters'!B16)</f>
        <v>% p.a.</v>
      </c>
      <c r="C16" s="67">
        <f>IF('Control &amp; Parameters'!E16="","",'Control &amp; Parameters'!E16)</f>
        <v>2.5000000000000001E-3</v>
      </c>
      <c r="D16" s="67">
        <f>IF('Control &amp; Parameters'!F16="","",'Control &amp; Parameters'!F16)</f>
        <v>2.5000000000000001E-3</v>
      </c>
      <c r="E16" s="67">
        <f>IF('Control &amp; Parameters'!G16="","",'Control &amp; Parameters'!G16)</f>
        <v>2.5000000000000001E-3</v>
      </c>
    </row>
    <row r="17" spans="1:5" x14ac:dyDescent="0.3">
      <c r="A17" s="66" t="str">
        <f>IF('Control &amp; Parameters'!A17="","",'Control &amp; Parameters'!A17)</f>
        <v>Implied SLC coupon — spread over index (derived)</v>
      </c>
      <c r="B17" s="69" t="str">
        <f>IF('Control &amp; Parameters'!B17="","",'Control &amp; Parameters'!B17)</f>
        <v>% p.a.</v>
      </c>
      <c r="C17" s="67">
        <f>IF('Control &amp; Parameters'!E17="","",'Control &amp; Parameters'!E17)</f>
        <v>3.7499999999999999E-2</v>
      </c>
      <c r="D17" s="67">
        <f>IF('Control &amp; Parameters'!F17="","",'Control &amp; Parameters'!F17)</f>
        <v>3.7499999999999999E-2</v>
      </c>
      <c r="E17" s="67">
        <f>IF('Control &amp; Parameters'!G17="","",'Control &amp; Parameters'!G17)</f>
        <v>3.7499999999999999E-2</v>
      </c>
    </row>
    <row r="18" spans="1:5" x14ac:dyDescent="0.3">
      <c r="A18" s="66" t="str">
        <f>IF('Control &amp; Parameters'!A18="","",'Control &amp; Parameters'!A18)</f>
        <v>Tontine maximum raise</v>
      </c>
      <c r="B18" s="69" t="str">
        <f>IF('Control &amp; Parameters'!B18="","",'Control &amp; Parameters'!B18)</f>
        <v>£</v>
      </c>
      <c r="C18" s="70">
        <f>IF('Control &amp; Parameters'!E18="","",'Control &amp; Parameters'!E18)</f>
        <v>50000000</v>
      </c>
      <c r="D18" s="70">
        <f>IF('Control &amp; Parameters'!F18="","",'Control &amp; Parameters'!F18)</f>
        <v>50000000</v>
      </c>
      <c r="E18" s="70">
        <f>IF('Control &amp; Parameters'!G18="","",'Control &amp; Parameters'!G18)</f>
        <v>50000000</v>
      </c>
    </row>
    <row r="19" spans="1:5" x14ac:dyDescent="0.3">
      <c r="A19" s="66" t="str">
        <f>IF('Control &amp; Parameters'!A19="","",'Control &amp; Parameters'!A19)</f>
        <v>Investment phase duration</v>
      </c>
      <c r="B19" s="69" t="str">
        <f>IF('Control &amp; Parameters'!B19="","",'Control &amp; Parameters'!B19)</f>
        <v>years</v>
      </c>
      <c r="C19" s="68">
        <f>IF('Control &amp; Parameters'!E19="","",'Control &amp; Parameters'!E19)</f>
        <v>10</v>
      </c>
      <c r="D19" s="68">
        <f>IF('Control &amp; Parameters'!F19="","",'Control &amp; Parameters'!F19)</f>
        <v>10</v>
      </c>
      <c r="E19" s="68">
        <f>IF('Control &amp; Parameters'!G19="","",'Control &amp; Parameters'!G19)</f>
        <v>10</v>
      </c>
    </row>
    <row r="20" spans="1:5" x14ac:dyDescent="0.3">
      <c r="A20" s="66" t="str">
        <f>IF('Control &amp; Parameters'!A20="","",'Control &amp; Parameters'!A20)</f>
        <v>Release phase start year</v>
      </c>
      <c r="B20" s="69" t="str">
        <f>IF('Control &amp; Parameters'!B20="","",'Control &amp; Parameters'!B20)</f>
        <v>model year</v>
      </c>
      <c r="C20" s="68">
        <f>IF('Control &amp; Parameters'!E20="","",'Control &amp; Parameters'!E20)</f>
        <v>25</v>
      </c>
      <c r="D20" s="68">
        <f>IF('Control &amp; Parameters'!F20="","",'Control &amp; Parameters'!F20)</f>
        <v>25</v>
      </c>
      <c r="E20" s="68">
        <f>IF('Control &amp; Parameters'!G20="","",'Control &amp; Parameters'!G20)</f>
        <v>25</v>
      </c>
    </row>
    <row r="21" spans="1:5" x14ac:dyDescent="0.3">
      <c r="A21" s="66" t="str">
        <f>IF('Control &amp; Parameters'!A21="","",'Control &amp; Parameters'!A21)</f>
        <v>Annual release rate</v>
      </c>
      <c r="B21" s="69" t="str">
        <f>IF('Control &amp; Parameters'!B21="","",'Control &amp; Parameters'!B21)</f>
        <v>% of outstanding balance p.a.</v>
      </c>
      <c r="C21" s="67">
        <f>IF('Control &amp; Parameters'!E21="","",'Control &amp; Parameters'!E21)</f>
        <v>0.06</v>
      </c>
      <c r="D21" s="67">
        <f>IF('Control &amp; Parameters'!F21="","",'Control &amp; Parameters'!F21)</f>
        <v>0.06</v>
      </c>
      <c r="E21" s="67">
        <f>IF('Control &amp; Parameters'!G21="","",'Control &amp; Parameters'!G21)</f>
        <v>0.06</v>
      </c>
    </row>
    <row r="22" spans="1:5" x14ac:dyDescent="0.3">
      <c r="A22" s="66" t="str">
        <f>IF('Control &amp; Parameters'!A22="","",'Control &amp; Parameters'!A22)</f>
        <v>LTV limit</v>
      </c>
      <c r="B22" s="69" t="str">
        <f>IF('Control &amp; Parameters'!B22="","",'Control &amp; Parameters'!B22)</f>
        <v>% of portfolio value</v>
      </c>
      <c r="C22" s="67">
        <f>IF('Control &amp; Parameters'!E22="","",'Control &amp; Parameters'!E22)</f>
        <v>0.7</v>
      </c>
      <c r="D22" s="67">
        <f>IF('Control &amp; Parameters'!F22="","",'Control &amp; Parameters'!F22)</f>
        <v>0.75</v>
      </c>
      <c r="E22" s="67">
        <f>IF('Control &amp; Parameters'!G22="","",'Control &amp; Parameters'!G22)</f>
        <v>0.7</v>
      </c>
    </row>
    <row r="23" spans="1:5" x14ac:dyDescent="0.3">
      <c r="A23" s="66" t="str">
        <f>IF('Control &amp; Parameters'!A23="","",'Control &amp; Parameters'!A23)</f>
        <v>Refinance into commercial mortgage? (1 = Yes)</v>
      </c>
      <c r="B23" s="69" t="str">
        <f>IF('Control &amp; Parameters'!B23="","",'Control &amp; Parameters'!B23)</f>
        <v>1 / 0</v>
      </c>
      <c r="C23" s="68">
        <f>IF('Control &amp; Parameters'!E23="","",'Control &amp; Parameters'!E23)</f>
        <v>0</v>
      </c>
      <c r="D23" s="68">
        <f>IF('Control &amp; Parameters'!F23="","",'Control &amp; Parameters'!F23)</f>
        <v>0</v>
      </c>
      <c r="E23" s="68">
        <f>IF('Control &amp; Parameters'!G23="","",'Control &amp; Parameters'!G23)</f>
        <v>0</v>
      </c>
    </row>
    <row r="24" spans="1:5" x14ac:dyDescent="0.3">
      <c r="A24" s="66" t="str">
        <f>IF('Control &amp; Parameters'!A24="","",'Control &amp; Parameters'!A24)</f>
        <v>Refinancing year</v>
      </c>
      <c r="B24" s="69" t="str">
        <f>IF('Control &amp; Parameters'!B24="","",'Control &amp; Parameters'!B24)</f>
        <v>model year</v>
      </c>
      <c r="C24" s="68">
        <f>IF('Control &amp; Parameters'!E24="","",'Control &amp; Parameters'!E24)</f>
        <v>26</v>
      </c>
      <c r="D24" s="68">
        <f>IF('Control &amp; Parameters'!F24="","",'Control &amp; Parameters'!F24)</f>
        <v>26</v>
      </c>
      <c r="E24" s="68">
        <f>IF('Control &amp; Parameters'!G24="","",'Control &amp; Parameters'!G24)</f>
        <v>26</v>
      </c>
    </row>
    <row r="25" spans="1:5" x14ac:dyDescent="0.3">
      <c r="A25" s="66" t="str">
        <f>IF('Control &amp; Parameters'!A25="","",'Control &amp; Parameters'!A25)</f>
        <v>Commercial mortgage rate</v>
      </c>
      <c r="B25" s="69" t="str">
        <f>IF('Control &amp; Parameters'!B25="","",'Control &amp; Parameters'!B25)</f>
        <v>% p.a.</v>
      </c>
      <c r="C25" s="67">
        <f>IF('Control &amp; Parameters'!E25="","",'Control &amp; Parameters'!E25)</f>
        <v>5.5E-2</v>
      </c>
      <c r="D25" s="67">
        <f>IF('Control &amp; Parameters'!F25="","",'Control &amp; Parameters'!F25)</f>
        <v>4.4999999999999998E-2</v>
      </c>
      <c r="E25" s="67">
        <f>IF('Control &amp; Parameters'!G25="","",'Control &amp; Parameters'!G25)</f>
        <v>5.5E-2</v>
      </c>
    </row>
    <row r="26" spans="1:5" x14ac:dyDescent="0.3">
      <c r="A26" s="66" t="str">
        <f>IF('Control &amp; Parameters'!A26="","",'Control &amp; Parameters'!A26)</f>
        <v>Commercial mortgage amortisation</v>
      </c>
      <c r="B26" s="69" t="str">
        <f>IF('Control &amp; Parameters'!B26="","",'Control &amp; Parameters'!B26)</f>
        <v>years</v>
      </c>
      <c r="C26" s="68">
        <f>IF('Control &amp; Parameters'!E26="","",'Control &amp; Parameters'!E26)</f>
        <v>25</v>
      </c>
      <c r="D26" s="68">
        <f>IF('Control &amp; Parameters'!F26="","",'Control &amp; Parameters'!F26)</f>
        <v>25</v>
      </c>
      <c r="E26" s="68">
        <f>IF('Control &amp; Parameters'!G26="","",'Control &amp; Parameters'!G26)</f>
        <v>25</v>
      </c>
    </row>
    <row r="27" spans="1:5" x14ac:dyDescent="0.3">
      <c r="A27" s="37" t="str">
        <f>IF('Control &amp; Parameters'!A27="","",'Control &amp; Parameters'!A27)</f>
        <v>COMMUNITY SHARES (JUNIOR DEBT)</v>
      </c>
      <c r="B27" s="54" t="str">
        <f>IF('Control &amp; Parameters'!B27="","",'Control &amp; Parameters'!B27)</f>
        <v/>
      </c>
      <c r="C27" s="26" t="str">
        <f>IF('Control &amp; Parameters'!E27="","",'Control &amp; Parameters'!E27)</f>
        <v/>
      </c>
      <c r="D27" s="26" t="str">
        <f>IF('Control &amp; Parameters'!F27="","",'Control &amp; Parameters'!F27)</f>
        <v/>
      </c>
      <c r="E27" s="26" t="str">
        <f>IF('Control &amp; Parameters'!G27="","",'Control &amp; Parameters'!G27)</f>
        <v/>
      </c>
    </row>
    <row r="28" spans="1:5" x14ac:dyDescent="0.3">
      <c r="A28" s="66" t="str">
        <f>IF('Control &amp; Parameters'!A28="","",'Control &amp; Parameters'!A28)</f>
        <v>Default dividend rate (override per year on Capital &amp; Debt)</v>
      </c>
      <c r="B28" s="69" t="str">
        <f>IF('Control &amp; Parameters'!B28="","",'Control &amp; Parameters'!B28)</f>
        <v>% p.a.</v>
      </c>
      <c r="C28" s="67">
        <f>IF('Control &amp; Parameters'!E28="","",'Control &amp; Parameters'!E28)</f>
        <v>0.03</v>
      </c>
      <c r="D28" s="67">
        <f>IF('Control &amp; Parameters'!F28="","",'Control &amp; Parameters'!F28)</f>
        <v>0.03</v>
      </c>
      <c r="E28" s="67">
        <f>IF('Control &amp; Parameters'!G28="","",'Control &amp; Parameters'!G28)</f>
        <v>0.03</v>
      </c>
    </row>
    <row r="29" spans="1:5" x14ac:dyDescent="0.3">
      <c r="A29" s="66" t="str">
        <f>IF('Control &amp; Parameters'!A29="","",'Control &amp; Parameters'!A29)</f>
        <v>Maximum issuance cap</v>
      </c>
      <c r="B29" s="69" t="str">
        <f>IF('Control &amp; Parameters'!B29="","",'Control &amp; Parameters'!B29)</f>
        <v>% of total capital</v>
      </c>
      <c r="C29" s="67">
        <f>IF('Control &amp; Parameters'!E29="","",'Control &amp; Parameters'!E29)</f>
        <v>0.2</v>
      </c>
      <c r="D29" s="67">
        <f>IF('Control &amp; Parameters'!F29="","",'Control &amp; Parameters'!F29)</f>
        <v>0.2</v>
      </c>
      <c r="E29" s="67">
        <f>IF('Control &amp; Parameters'!G29="","",'Control &amp; Parameters'!G29)</f>
        <v>0.2</v>
      </c>
    </row>
    <row r="30" spans="1:5" x14ac:dyDescent="0.3">
      <c r="A30" s="66" t="str">
        <f>IF('Control &amp; Parameters'!A30="","",'Control &amp; Parameters'!A30)</f>
        <v>Withdrawal restriction period</v>
      </c>
      <c r="B30" s="69" t="str">
        <f>IF('Control &amp; Parameters'!B30="","",'Control &amp; Parameters'!B30)</f>
        <v>years</v>
      </c>
      <c r="C30" s="68">
        <f>IF('Control &amp; Parameters'!E30="","",'Control &amp; Parameters'!E30)</f>
        <v>5</v>
      </c>
      <c r="D30" s="68">
        <f>IF('Control &amp; Parameters'!F30="","",'Control &amp; Parameters'!F30)</f>
        <v>5</v>
      </c>
      <c r="E30" s="68">
        <f>IF('Control &amp; Parameters'!G30="","",'Control &amp; Parameters'!G30)</f>
        <v>5</v>
      </c>
    </row>
    <row r="31" spans="1:5" x14ac:dyDescent="0.3">
      <c r="A31" s="66" t="str">
        <f>IF('Control &amp; Parameters'!A31="","",'Control &amp; Parameters'!A31)</f>
        <v>Issuance / marketing cost</v>
      </c>
      <c r="B31" s="69" t="str">
        <f>IF('Control &amp; Parameters'!B31="","",'Control &amp; Parameters'!B31)</f>
        <v>% of proceeds</v>
      </c>
      <c r="C31" s="67">
        <f>IF('Control &amp; Parameters'!E31="","",'Control &amp; Parameters'!E31)</f>
        <v>0.05</v>
      </c>
      <c r="D31" s="67">
        <f>IF('Control &amp; Parameters'!F31="","",'Control &amp; Parameters'!F31)</f>
        <v>0.04</v>
      </c>
      <c r="E31" s="67">
        <f>IF('Control &amp; Parameters'!G31="","",'Control &amp; Parameters'!G31)</f>
        <v>0.05</v>
      </c>
    </row>
    <row r="32" spans="1:5" x14ac:dyDescent="0.3">
      <c r="A32" s="66" t="str">
        <f>IF('Control &amp; Parameters'!A32="","",'Control &amp; Parameters'!A32)</f>
        <v>Baseline annual issuance (real)</v>
      </c>
      <c r="B32" s="69" t="str">
        <f>IF('Control &amp; Parameters'!B32="","",'Control &amp; Parameters'!B32)</f>
        <v>£ p.a.</v>
      </c>
      <c r="C32" s="70">
        <f>IF('Control &amp; Parameters'!E32="","",'Control &amp; Parameters'!E32)</f>
        <v>250000</v>
      </c>
      <c r="D32" s="70">
        <f>IF('Control &amp; Parameters'!F32="","",'Control &amp; Parameters'!F32)</f>
        <v>250000</v>
      </c>
      <c r="E32" s="70">
        <f>IF('Control &amp; Parameters'!G32="","",'Control &amp; Parameters'!G32)</f>
        <v>250000</v>
      </c>
    </row>
    <row r="33" spans="1:5" x14ac:dyDescent="0.3">
      <c r="A33" s="66" t="str">
        <f>IF('Control &amp; Parameters'!A33="","",'Control &amp; Parameters'!A33)</f>
        <v>Take-up multiplier</v>
      </c>
      <c r="B33" s="69" t="str">
        <f>IF('Control &amp; Parameters'!B33="","",'Control &amp; Parameters'!B33)</f>
        <v>x</v>
      </c>
      <c r="C33" s="71">
        <f>IF('Control &amp; Parameters'!E33="","",'Control &amp; Parameters'!E33)</f>
        <v>1</v>
      </c>
      <c r="D33" s="71">
        <f>IF('Control &amp; Parameters'!F33="","",'Control &amp; Parameters'!F33)</f>
        <v>1.5</v>
      </c>
      <c r="E33" s="71">
        <f>IF('Control &amp; Parameters'!G33="","",'Control &amp; Parameters'!G33)</f>
        <v>0.5</v>
      </c>
    </row>
    <row r="34" spans="1:5" x14ac:dyDescent="0.3">
      <c r="A34" s="66" t="str">
        <f>IF('Control &amp; Parameters'!A34="","",'Control &amp; Parameters'!A34)</f>
        <v>Annual withdrawal rate on eligible shares</v>
      </c>
      <c r="B34" s="69" t="str">
        <f>IF('Control &amp; Parameters'!B34="","",'Control &amp; Parameters'!B34)</f>
        <v>% p.a.</v>
      </c>
      <c r="C34" s="67">
        <f>IF('Control &amp; Parameters'!E34="","",'Control &amp; Parameters'!E34)</f>
        <v>0.02</v>
      </c>
      <c r="D34" s="67">
        <f>IF('Control &amp; Parameters'!F34="","",'Control &amp; Parameters'!F34)</f>
        <v>0.01</v>
      </c>
      <c r="E34" s="67">
        <f>IF('Control &amp; Parameters'!G34="","",'Control &amp; Parameters'!G34)</f>
        <v>0.02</v>
      </c>
    </row>
    <row r="35" spans="1:5" x14ac:dyDescent="0.3">
      <c r="A35" s="37" t="str">
        <f>IF('Control &amp; Parameters'!A35="","",'Control &amp; Parameters'!A35)</f>
        <v>BEQUESTS &amp; GIFTS</v>
      </c>
      <c r="B35" s="54" t="str">
        <f>IF('Control &amp; Parameters'!B35="","",'Control &amp; Parameters'!B35)</f>
        <v/>
      </c>
      <c r="C35" s="26" t="str">
        <f>IF('Control &amp; Parameters'!E35="","",'Control &amp; Parameters'!E35)</f>
        <v/>
      </c>
      <c r="D35" s="26" t="str">
        <f>IF('Control &amp; Parameters'!F35="","",'Control &amp; Parameters'!F35)</f>
        <v/>
      </c>
      <c r="E35" s="26" t="str">
        <f>IF('Control &amp; Parameters'!G35="","",'Control &amp; Parameters'!G35)</f>
        <v/>
      </c>
    </row>
    <row r="36" spans="1:5" x14ac:dyDescent="0.3">
      <c r="A36" s="66" t="str">
        <f>IF('Control &amp; Parameters'!A36="","",'Control &amp; Parameters'!A36)</f>
        <v>Cash gifts from living donors (Gift Aid eligible)</v>
      </c>
      <c r="B36" s="69" t="str">
        <f>IF('Control &amp; Parameters'!B36="","",'Control &amp; Parameters'!B36)</f>
        <v>£ p.a.</v>
      </c>
      <c r="C36" s="70">
        <f>IF('Control &amp; Parameters'!E36="","",'Control &amp; Parameters'!E36)</f>
        <v>40000</v>
      </c>
      <c r="D36" s="70">
        <f>IF('Control &amp; Parameters'!F36="","",'Control &amp; Parameters'!F36)</f>
        <v>60000</v>
      </c>
      <c r="E36" s="70">
        <f>IF('Control &amp; Parameters'!G36="","",'Control &amp; Parameters'!G36)</f>
        <v>40000</v>
      </c>
    </row>
    <row r="37" spans="1:5" x14ac:dyDescent="0.3">
      <c r="A37" s="66" t="str">
        <f>IF('Control &amp; Parameters'!A37="","",'Control &amp; Parameters'!A37)</f>
        <v>Bequests from estates (not Gift Aid eligible)</v>
      </c>
      <c r="B37" s="69" t="str">
        <f>IF('Control &amp; Parameters'!B37="","",'Control &amp; Parameters'!B37)</f>
        <v>£ p.a.</v>
      </c>
      <c r="C37" s="70">
        <f>IF('Control &amp; Parameters'!E37="","",'Control &amp; Parameters'!E37)</f>
        <v>60000</v>
      </c>
      <c r="D37" s="70">
        <f>IF('Control &amp; Parameters'!F37="","",'Control &amp; Parameters'!F37)</f>
        <v>90000</v>
      </c>
      <c r="E37" s="70">
        <f>IF('Control &amp; Parameters'!G37="","",'Control &amp; Parameters'!G37)</f>
        <v>60000</v>
      </c>
    </row>
    <row r="38" spans="1:5" x14ac:dyDescent="0.3">
      <c r="A38" s="66" t="str">
        <f>IF('Control &amp; Parameters'!A38="","",'Control &amp; Parameters'!A38)</f>
        <v>Founding capital injection (Year 1 only)</v>
      </c>
      <c r="B38" s="69" t="str">
        <f>IF('Control &amp; Parameters'!B38="","",'Control &amp; Parameters'!B38)</f>
        <v>£</v>
      </c>
      <c r="C38" s="70">
        <f>IF('Control &amp; Parameters'!E38="","",'Control &amp; Parameters'!E38)</f>
        <v>150000</v>
      </c>
      <c r="D38" s="70">
        <f>IF('Control &amp; Parameters'!F38="","",'Control &amp; Parameters'!F38)</f>
        <v>150000</v>
      </c>
      <c r="E38" s="70">
        <f>IF('Control &amp; Parameters'!G38="","",'Control &amp; Parameters'!G38)</f>
        <v>150000</v>
      </c>
    </row>
    <row r="39" spans="1:5" x14ac:dyDescent="0.3">
      <c r="A39" s="66" t="str">
        <f>IF('Control &amp; Parameters'!A39="","",'Control &amp; Parameters'!A39)</f>
        <v>Real growth multiplier</v>
      </c>
      <c r="B39" s="69" t="str">
        <f>IF('Control &amp; Parameters'!B39="","",'Control &amp; Parameters'!B39)</f>
        <v>% p.a.</v>
      </c>
      <c r="C39" s="67">
        <f>IF('Control &amp; Parameters'!E39="","",'Control &amp; Parameters'!E39)</f>
        <v>0</v>
      </c>
      <c r="D39" s="67">
        <f>IF('Control &amp; Parameters'!F39="","",'Control &amp; Parameters'!F39)</f>
        <v>0.02</v>
      </c>
      <c r="E39" s="67">
        <f>IF('Control &amp; Parameters'!G39="","",'Control &amp; Parameters'!G39)</f>
        <v>0</v>
      </c>
    </row>
    <row r="40" spans="1:5" x14ac:dyDescent="0.3">
      <c r="A40" s="37" t="str">
        <f>IF('Control &amp; Parameters'!A40="","",'Control &amp; Parameters'!A40)</f>
        <v>RENT &amp; YIELD</v>
      </c>
      <c r="B40" s="54" t="str">
        <f>IF('Control &amp; Parameters'!B40="","",'Control &amp; Parameters'!B40)</f>
        <v/>
      </c>
      <c r="C40" s="26" t="str">
        <f>IF('Control &amp; Parameters'!E40="","",'Control &amp; Parameters'!E40)</f>
        <v/>
      </c>
      <c r="D40" s="26" t="str">
        <f>IF('Control &amp; Parameters'!F40="","",'Control &amp; Parameters'!F40)</f>
        <v/>
      </c>
      <c r="E40" s="26" t="str">
        <f>IF('Control &amp; Parameters'!G40="","",'Control &amp; Parameters'!G40)</f>
        <v/>
      </c>
    </row>
    <row r="41" spans="1:5" x14ac:dyDescent="0.3">
      <c r="A41" s="66" t="str">
        <f>IF('Control &amp; Parameters'!A41="","",'Control &amp; Parameters'!A41)</f>
        <v>Gross rental yield</v>
      </c>
      <c r="B41" s="69" t="str">
        <f>IF('Control &amp; Parameters'!B41="","",'Control &amp; Parameters'!B41)</f>
        <v>% of purchase price</v>
      </c>
      <c r="C41" s="67">
        <f>IF('Control &amp; Parameters'!E41="","",'Control &amp; Parameters'!E41)</f>
        <v>0.05</v>
      </c>
      <c r="D41" s="67">
        <f>IF('Control &amp; Parameters'!F41="","",'Control &amp; Parameters'!F41)</f>
        <v>5.5E-2</v>
      </c>
      <c r="E41" s="67">
        <f>IF('Control &amp; Parameters'!G41="","",'Control &amp; Parameters'!G41)</f>
        <v>0.05</v>
      </c>
    </row>
    <row r="42" spans="1:5" x14ac:dyDescent="0.3">
      <c r="A42" s="66" t="str">
        <f>IF('Control &amp; Parameters'!A42="","",'Control &amp; Parameters'!A42)</f>
        <v>Land Commons share of gross rent</v>
      </c>
      <c r="B42" s="69" t="str">
        <f>IF('Control &amp; Parameters'!B42="","",'Control &amp; Parameters'!B42)</f>
        <v>%</v>
      </c>
      <c r="C42" s="67">
        <f>IF('Control &amp; Parameters'!E42="","",'Control &amp; Parameters'!E42)</f>
        <v>0.8</v>
      </c>
      <c r="D42" s="67">
        <f>IF('Control &amp; Parameters'!F42="","",'Control &amp; Parameters'!F42)</f>
        <v>0.85</v>
      </c>
      <c r="E42" s="67">
        <f>IF('Control &amp; Parameters'!G42="","",'Control &amp; Parameters'!G42)</f>
        <v>0.8</v>
      </c>
    </row>
    <row r="43" spans="1:5" x14ac:dyDescent="0.3">
      <c r="A43" s="66" t="str">
        <f>IF('Control &amp; Parameters'!A43="","",'Control &amp; Parameters'!A43)</f>
        <v>Void rate</v>
      </c>
      <c r="B43" s="69" t="str">
        <f>IF('Control &amp; Parameters'!B43="","",'Control &amp; Parameters'!B43)</f>
        <v>%</v>
      </c>
      <c r="C43" s="67">
        <f>IF('Control &amp; Parameters'!E43="","",'Control &amp; Parameters'!E43)</f>
        <v>0.05</v>
      </c>
      <c r="D43" s="67">
        <f>IF('Control &amp; Parameters'!F43="","",'Control &amp; Parameters'!F43)</f>
        <v>0.03</v>
      </c>
      <c r="E43" s="67">
        <f>IF('Control &amp; Parameters'!G43="","",'Control &amp; Parameters'!G43)</f>
        <v>0.15</v>
      </c>
    </row>
    <row r="44" spans="1:5" x14ac:dyDescent="0.3">
      <c r="A44" s="37" t="str">
        <f>IF('Control &amp; Parameters'!A44="","",'Control &amp; Parameters'!A44)</f>
        <v>ACQUISITION</v>
      </c>
      <c r="B44" s="54" t="str">
        <f>IF('Control &amp; Parameters'!B44="","",'Control &amp; Parameters'!B44)</f>
        <v/>
      </c>
      <c r="C44" s="26" t="str">
        <f>IF('Control &amp; Parameters'!E44="","",'Control &amp; Parameters'!E44)</f>
        <v/>
      </c>
      <c r="D44" s="26" t="str">
        <f>IF('Control &amp; Parameters'!F44="","",'Control &amp; Parameters'!F44)</f>
        <v/>
      </c>
      <c r="E44" s="26" t="str">
        <f>IF('Control &amp; Parameters'!G44="","",'Control &amp; Parameters'!G44)</f>
        <v/>
      </c>
    </row>
    <row r="45" spans="1:5" x14ac:dyDescent="0.3">
      <c r="A45" s="66" t="str">
        <f>IF('Control &amp; Parameters'!A45="","",'Control &amp; Parameters'!A45)</f>
        <v>Average property price (real, Year 1)</v>
      </c>
      <c r="B45" s="69" t="str">
        <f>IF('Control &amp; Parameters'!B45="","",'Control &amp; Parameters'!B45)</f>
        <v>£</v>
      </c>
      <c r="C45" s="70">
        <f>IF('Control &amp; Parameters'!E45="","",'Control &amp; Parameters'!E45)</f>
        <v>280000</v>
      </c>
      <c r="D45" s="70">
        <f>IF('Control &amp; Parameters'!F45="","",'Control &amp; Parameters'!F45)</f>
        <v>280000</v>
      </c>
      <c r="E45" s="70">
        <f>IF('Control &amp; Parameters'!G45="","",'Control &amp; Parameters'!G45)</f>
        <v>280000</v>
      </c>
    </row>
    <row r="46" spans="1:5" x14ac:dyDescent="0.3">
      <c r="A46" s="66" t="str">
        <f>IF('Control &amp; Parameters'!A46="","",'Control &amp; Parameters'!A46)</f>
        <v>SDLT rate (charitable relief)</v>
      </c>
      <c r="B46" s="69" t="str">
        <f>IF('Control &amp; Parameters'!B46="","",'Control &amp; Parameters'!B46)</f>
        <v>% of price</v>
      </c>
      <c r="C46" s="67">
        <f>IF('Control &amp; Parameters'!E46="","",'Control &amp; Parameters'!E46)</f>
        <v>0</v>
      </c>
      <c r="D46" s="67">
        <f>IF('Control &amp; Parameters'!F46="","",'Control &amp; Parameters'!F46)</f>
        <v>0</v>
      </c>
      <c r="E46" s="67">
        <f>IF('Control &amp; Parameters'!G46="","",'Control &amp; Parameters'!G46)</f>
        <v>0</v>
      </c>
    </row>
    <row r="47" spans="1:5" x14ac:dyDescent="0.3">
      <c r="A47" s="66" t="str">
        <f>IF('Control &amp; Parameters'!A47="","",'Control &amp; Parameters'!A47)</f>
        <v>Conveyancing per property (real)</v>
      </c>
      <c r="B47" s="69" t="str">
        <f>IF('Control &amp; Parameters'!B47="","",'Control &amp; Parameters'!B47)</f>
        <v>£</v>
      </c>
      <c r="C47" s="70">
        <f>IF('Control &amp; Parameters'!E47="","",'Control &amp; Parameters'!E47)</f>
        <v>2500</v>
      </c>
      <c r="D47" s="70">
        <f>IF('Control &amp; Parameters'!F47="","",'Control &amp; Parameters'!F47)</f>
        <v>2500</v>
      </c>
      <c r="E47" s="70">
        <f>IF('Control &amp; Parameters'!G47="","",'Control &amp; Parameters'!G47)</f>
        <v>2500</v>
      </c>
    </row>
    <row r="48" spans="1:5" x14ac:dyDescent="0.3">
      <c r="A48" s="66" t="str">
        <f>IF('Control &amp; Parameters'!A48="","",'Control &amp; Parameters'!A48)</f>
        <v>Survey per property (real)</v>
      </c>
      <c r="B48" s="69" t="str">
        <f>IF('Control &amp; Parameters'!B48="","",'Control &amp; Parameters'!B48)</f>
        <v>£</v>
      </c>
      <c r="C48" s="70">
        <f>IF('Control &amp; Parameters'!E48="","",'Control &amp; Parameters'!E48)</f>
        <v>800</v>
      </c>
      <c r="D48" s="70">
        <f>IF('Control &amp; Parameters'!F48="","",'Control &amp; Parameters'!F48)</f>
        <v>800</v>
      </c>
      <c r="E48" s="70">
        <f>IF('Control &amp; Parameters'!G48="","",'Control &amp; Parameters'!G48)</f>
        <v>800</v>
      </c>
    </row>
    <row r="49" spans="1:5" x14ac:dyDescent="0.3">
      <c r="A49" s="66" t="str">
        <f>IF('Control &amp; Parameters'!A49="","",'Control &amp; Parameters'!A49)</f>
        <v>Initial retrofit per property (real)</v>
      </c>
      <c r="B49" s="69" t="str">
        <f>IF('Control &amp; Parameters'!B49="","",'Control &amp; Parameters'!B49)</f>
        <v>£</v>
      </c>
      <c r="C49" s="70">
        <f>IF('Control &amp; Parameters'!E49="","",'Control &amp; Parameters'!E49)</f>
        <v>5000</v>
      </c>
      <c r="D49" s="70">
        <f>IF('Control &amp; Parameters'!F49="","",'Control &amp; Parameters'!F49)</f>
        <v>5000</v>
      </c>
      <c r="E49" s="70">
        <f>IF('Control &amp; Parameters'!G49="","",'Control &amp; Parameters'!G49)</f>
        <v>5000</v>
      </c>
    </row>
    <row r="50" spans="1:5" x14ac:dyDescent="0.3">
      <c r="A50" s="37" t="str">
        <f>IF('Control &amp; Parameters'!A50="","",'Control &amp; Parameters'!A50)</f>
        <v>ADMIN COSTS — EARLY YEARS (real)</v>
      </c>
      <c r="B50" s="54" t="str">
        <f>IF('Control &amp; Parameters'!B50="","",'Control &amp; Parameters'!B50)</f>
        <v/>
      </c>
      <c r="C50" s="26" t="str">
        <f>IF('Control &amp; Parameters'!E50="","",'Control &amp; Parameters'!E50)</f>
        <v/>
      </c>
      <c r="D50" s="26" t="str">
        <f>IF('Control &amp; Parameters'!F50="","",'Control &amp; Parameters'!F50)</f>
        <v/>
      </c>
      <c r="E50" s="26" t="str">
        <f>IF('Control &amp; Parameters'!G50="","",'Control &amp; Parameters'!G50)</f>
        <v/>
      </c>
    </row>
    <row r="51" spans="1:5" x14ac:dyDescent="0.3">
      <c r="A51" s="66" t="str">
        <f>IF('Control &amp; Parameters'!A51="","",'Control &amp; Parameters'!A51)</f>
        <v>Board remuneration</v>
      </c>
      <c r="B51" s="69" t="str">
        <f>IF('Control &amp; Parameters'!B51="","",'Control &amp; Parameters'!B51)</f>
        <v>£ p.a.</v>
      </c>
      <c r="C51" s="70">
        <f>IF('Control &amp; Parameters'!E51="","",'Control &amp; Parameters'!E51)</f>
        <v>0</v>
      </c>
      <c r="D51" s="70">
        <f>IF('Control &amp; Parameters'!F51="","",'Control &amp; Parameters'!F51)</f>
        <v>0</v>
      </c>
      <c r="E51" s="70">
        <f>IF('Control &amp; Parameters'!G51="","",'Control &amp; Parameters'!G51)</f>
        <v>0</v>
      </c>
    </row>
    <row r="52" spans="1:5" x14ac:dyDescent="0.3">
      <c r="A52" s="66" t="str">
        <f>IF('Control &amp; Parameters'!A52="","",'Control &amp; Parameters'!A52)</f>
        <v>Accounting &amp; audit</v>
      </c>
      <c r="B52" s="69" t="str">
        <f>IF('Control &amp; Parameters'!B52="","",'Control &amp; Parameters'!B52)</f>
        <v>£ p.a.</v>
      </c>
      <c r="C52" s="70">
        <f>IF('Control &amp; Parameters'!E52="","",'Control &amp; Parameters'!E52)</f>
        <v>3000</v>
      </c>
      <c r="D52" s="70">
        <f>IF('Control &amp; Parameters'!F52="","",'Control &amp; Parameters'!F52)</f>
        <v>3000</v>
      </c>
      <c r="E52" s="70">
        <f>IF('Control &amp; Parameters'!G52="","",'Control &amp; Parameters'!G52)</f>
        <v>3000</v>
      </c>
    </row>
    <row r="53" spans="1:5" x14ac:dyDescent="0.3">
      <c r="A53" s="66" t="str">
        <f>IF('Control &amp; Parameters'!A53="","",'Control &amp; Parameters'!A53)</f>
        <v>FCA &amp; annual reporting</v>
      </c>
      <c r="B53" s="69" t="str">
        <f>IF('Control &amp; Parameters'!B53="","",'Control &amp; Parameters'!B53)</f>
        <v>£ p.a.</v>
      </c>
      <c r="C53" s="70">
        <f>IF('Control &amp; Parameters'!E53="","",'Control &amp; Parameters'!E53)</f>
        <v>1500</v>
      </c>
      <c r="D53" s="70">
        <f>IF('Control &amp; Parameters'!F53="","",'Control &amp; Parameters'!F53)</f>
        <v>1500</v>
      </c>
      <c r="E53" s="70">
        <f>IF('Control &amp; Parameters'!G53="","",'Control &amp; Parameters'!G53)</f>
        <v>1500</v>
      </c>
    </row>
    <row r="54" spans="1:5" x14ac:dyDescent="0.3">
      <c r="A54" s="66" t="str">
        <f>IF('Control &amp; Parameters'!A54="","",'Control &amp; Parameters'!A54)</f>
        <v>Insurance</v>
      </c>
      <c r="B54" s="69" t="str">
        <f>IF('Control &amp; Parameters'!B54="","",'Control &amp; Parameters'!B54)</f>
        <v>£ p.a.</v>
      </c>
      <c r="C54" s="70">
        <f>IF('Control &amp; Parameters'!E54="","",'Control &amp; Parameters'!E54)</f>
        <v>1000</v>
      </c>
      <c r="D54" s="70">
        <f>IF('Control &amp; Parameters'!F54="","",'Control &amp; Parameters'!F54)</f>
        <v>1000</v>
      </c>
      <c r="E54" s="70">
        <f>IF('Control &amp; Parameters'!G54="","",'Control &amp; Parameters'!G54)</f>
        <v>1000</v>
      </c>
    </row>
    <row r="55" spans="1:5" x14ac:dyDescent="0.3">
      <c r="A55" s="37" t="str">
        <f>IF('Control &amp; Parameters'!A55="","",'Control &amp; Parameters'!A55)</f>
        <v>ADMIN COSTS — TARGET (real)</v>
      </c>
      <c r="B55" s="54" t="str">
        <f>IF('Control &amp; Parameters'!B55="","",'Control &amp; Parameters'!B55)</f>
        <v/>
      </c>
      <c r="C55" s="26" t="str">
        <f>IF('Control &amp; Parameters'!E55="","",'Control &amp; Parameters'!E55)</f>
        <v/>
      </c>
      <c r="D55" s="26" t="str">
        <f>IF('Control &amp; Parameters'!F55="","",'Control &amp; Parameters'!F55)</f>
        <v/>
      </c>
      <c r="E55" s="26" t="str">
        <f>IF('Control &amp; Parameters'!G55="","",'Control &amp; Parameters'!G55)</f>
        <v/>
      </c>
    </row>
    <row r="56" spans="1:5" x14ac:dyDescent="0.3">
      <c r="A56" s="66" t="str">
        <f>IF('Control &amp; Parameters'!A56="","",'Control &amp; Parameters'!A56)</f>
        <v>Board remuneration</v>
      </c>
      <c r="B56" s="69" t="str">
        <f>IF('Control &amp; Parameters'!B56="","",'Control &amp; Parameters'!B56)</f>
        <v>£ p.a.</v>
      </c>
      <c r="C56" s="70">
        <f>IF('Control &amp; Parameters'!E56="","",'Control &amp; Parameters'!E56)</f>
        <v>12000</v>
      </c>
      <c r="D56" s="70">
        <f>IF('Control &amp; Parameters'!F56="","",'Control &amp; Parameters'!F56)</f>
        <v>12000</v>
      </c>
      <c r="E56" s="70">
        <f>IF('Control &amp; Parameters'!G56="","",'Control &amp; Parameters'!G56)</f>
        <v>12000</v>
      </c>
    </row>
    <row r="57" spans="1:5" x14ac:dyDescent="0.3">
      <c r="A57" s="66" t="str">
        <f>IF('Control &amp; Parameters'!A57="","",'Control &amp; Parameters'!A57)</f>
        <v>Accounting &amp; audit</v>
      </c>
      <c r="B57" s="69" t="str">
        <f>IF('Control &amp; Parameters'!B57="","",'Control &amp; Parameters'!B57)</f>
        <v>£ p.a.</v>
      </c>
      <c r="C57" s="70">
        <f>IF('Control &amp; Parameters'!E57="","",'Control &amp; Parameters'!E57)</f>
        <v>8000</v>
      </c>
      <c r="D57" s="70">
        <f>IF('Control &amp; Parameters'!F57="","",'Control &amp; Parameters'!F57)</f>
        <v>8000</v>
      </c>
      <c r="E57" s="70">
        <f>IF('Control &amp; Parameters'!G57="","",'Control &amp; Parameters'!G57)</f>
        <v>8000</v>
      </c>
    </row>
    <row r="58" spans="1:5" x14ac:dyDescent="0.3">
      <c r="A58" s="66" t="str">
        <f>IF('Control &amp; Parameters'!A58="","",'Control &amp; Parameters'!A58)</f>
        <v>FCA &amp; annual reporting</v>
      </c>
      <c r="B58" s="69" t="str">
        <f>IF('Control &amp; Parameters'!B58="","",'Control &amp; Parameters'!B58)</f>
        <v>£ p.a.</v>
      </c>
      <c r="C58" s="70">
        <f>IF('Control &amp; Parameters'!E58="","",'Control &amp; Parameters'!E58)</f>
        <v>3000</v>
      </c>
      <c r="D58" s="70">
        <f>IF('Control &amp; Parameters'!F58="","",'Control &amp; Parameters'!F58)</f>
        <v>3000</v>
      </c>
      <c r="E58" s="70">
        <f>IF('Control &amp; Parameters'!G58="","",'Control &amp; Parameters'!G58)</f>
        <v>3000</v>
      </c>
    </row>
    <row r="59" spans="1:5" x14ac:dyDescent="0.3">
      <c r="A59" s="66" t="str">
        <f>IF('Control &amp; Parameters'!A59="","",'Control &amp; Parameters'!A59)</f>
        <v>Insurance</v>
      </c>
      <c r="B59" s="69" t="str">
        <f>IF('Control &amp; Parameters'!B59="","",'Control &amp; Parameters'!B59)</f>
        <v>£ p.a.</v>
      </c>
      <c r="C59" s="70">
        <f>IF('Control &amp; Parameters'!E59="","",'Control &amp; Parameters'!E59)</f>
        <v>2000</v>
      </c>
      <c r="D59" s="70">
        <f>IF('Control &amp; Parameters'!F59="","",'Control &amp; Parameters'!F59)</f>
        <v>2000</v>
      </c>
      <c r="E59" s="70">
        <f>IF('Control &amp; Parameters'!G59="","",'Control &amp; Parameters'!G59)</f>
        <v>2000</v>
      </c>
    </row>
    <row r="60" spans="1:5" x14ac:dyDescent="0.3">
      <c r="A60" s="66" t="str">
        <f>IF('Control &amp; Parameters'!A60="","",'Control &amp; Parameters'!A60)</f>
        <v>Variable admin per property</v>
      </c>
      <c r="B60" s="69" t="str">
        <f>IF('Control &amp; Parameters'!B60="","",'Control &amp; Parameters'!B60)</f>
        <v>£ / property / yr</v>
      </c>
      <c r="C60" s="70">
        <f>IF('Control &amp; Parameters'!E60="","",'Control &amp; Parameters'!E60)</f>
        <v>150</v>
      </c>
      <c r="D60" s="70">
        <f>IF('Control &amp; Parameters'!F60="","",'Control &amp; Parameters'!F60)</f>
        <v>150</v>
      </c>
      <c r="E60" s="70">
        <f>IF('Control &amp; Parameters'!G60="","",'Control &amp; Parameters'!G60)</f>
        <v>150</v>
      </c>
    </row>
    <row r="61" spans="1:5" x14ac:dyDescent="0.3">
      <c r="A61" s="37" t="str">
        <f>IF('Control &amp; Parameters'!A61="","",'Control &amp; Parameters'!A61)</f>
        <v>RESERVES</v>
      </c>
      <c r="B61" s="54" t="str">
        <f>IF('Control &amp; Parameters'!B61="","",'Control &amp; Parameters'!B61)</f>
        <v/>
      </c>
      <c r="C61" s="26" t="str">
        <f>IF('Control &amp; Parameters'!E61="","",'Control &amp; Parameters'!E61)</f>
        <v/>
      </c>
      <c r="D61" s="26" t="str">
        <f>IF('Control &amp; Parameters'!F61="","",'Control &amp; Parameters'!F61)</f>
        <v/>
      </c>
      <c r="E61" s="26" t="str">
        <f>IF('Control &amp; Parameters'!G61="","",'Control &amp; Parameters'!G61)</f>
        <v/>
      </c>
    </row>
    <row r="62" spans="1:5" x14ac:dyDescent="0.3">
      <c r="A62" s="66" t="str">
        <f>IF('Control &amp; Parameters'!A62="","",'Control &amp; Parameters'!A62)</f>
        <v>Target reserve</v>
      </c>
      <c r="B62" s="69" t="str">
        <f>IF('Control &amp; Parameters'!B62="","",'Control &amp; Parameters'!B62)</f>
        <v>months of debt service</v>
      </c>
      <c r="C62" s="68">
        <f>IF('Control &amp; Parameters'!E62="","",'Control &amp; Parameters'!E62)</f>
        <v>6</v>
      </c>
      <c r="D62" s="68">
        <f>IF('Control &amp; Parameters'!F62="","",'Control &amp; Parameters'!F62)</f>
        <v>6</v>
      </c>
      <c r="E62" s="68">
        <f>IF('Control &amp; Parameters'!G62="","",'Control &amp; Parameters'!G62)</f>
        <v>6</v>
      </c>
    </row>
    <row r="63" spans="1:5" x14ac:dyDescent="0.3">
      <c r="A63" s="66" t="str">
        <f>IF('Control &amp; Parameters'!A63="","",'Control &amp; Parameters'!A63)</f>
        <v>Minimum covenant</v>
      </c>
      <c r="B63" s="69" t="str">
        <f>IF('Control &amp; Parameters'!B63="","",'Control &amp; Parameters'!B63)</f>
        <v>months of debt service</v>
      </c>
      <c r="C63" s="68">
        <f>IF('Control &amp; Parameters'!E63="","",'Control &amp; Parameters'!E63)</f>
        <v>3</v>
      </c>
      <c r="D63" s="68">
        <f>IF('Control &amp; Parameters'!F63="","",'Control &amp; Parameters'!F63)</f>
        <v>3</v>
      </c>
      <c r="E63" s="68">
        <f>IF('Control &amp; Parameters'!G63="","",'Control &amp; Parameters'!G63)</f>
        <v>3</v>
      </c>
    </row>
    <row r="64" spans="1:5" x14ac:dyDescent="0.3">
      <c r="A64" s="66" t="str">
        <f>IF('Control &amp; Parameters'!A64="","",'Control &amp; Parameters'!A64)</f>
        <v>Target reserve fully built by</v>
      </c>
      <c r="B64" s="69" t="str">
        <f>IF('Control &amp; Parameters'!B64="","",'Control &amp; Parameters'!B64)</f>
        <v>model year</v>
      </c>
      <c r="C64" s="68">
        <f>IF('Control &amp; Parameters'!E64="","",'Control &amp; Parameters'!E64)</f>
        <v>10</v>
      </c>
      <c r="D64" s="68">
        <f>IF('Control &amp; Parameters'!F64="","",'Control &amp; Parameters'!F64)</f>
        <v>10</v>
      </c>
      <c r="E64" s="68">
        <f>IF('Control &amp; Parameters'!G64="","",'Control &amp; Parameters'!G64)</f>
        <v>10</v>
      </c>
    </row>
    <row r="65" spans="1:5" x14ac:dyDescent="0.3">
      <c r="A65" s="66" t="str">
        <f>IF('Control &amp; Parameters'!A65="","",'Control &amp; Parameters'!A65)</f>
        <v>Minimum operating cash buffer</v>
      </c>
      <c r="B65" s="69" t="str">
        <f>IF('Control &amp; Parameters'!B65="","",'Control &amp; Parameters'!B65)</f>
        <v>£</v>
      </c>
      <c r="C65" s="70">
        <f>IF('Control &amp; Parameters'!E65="","",'Control &amp; Parameters'!E65)</f>
        <v>25000</v>
      </c>
      <c r="D65" s="70">
        <f>IF('Control &amp; Parameters'!F65="","",'Control &amp; Parameters'!F65)</f>
        <v>25000</v>
      </c>
      <c r="E65" s="70">
        <f>IF('Control &amp; Parameters'!G65="","",'Control &amp; Parameters'!G65)</f>
        <v>25000</v>
      </c>
    </row>
    <row r="66" spans="1:5" x14ac:dyDescent="0.3">
      <c r="A66" s="37" t="str">
        <f>IF('Control &amp; Parameters'!A66="","",'Control &amp; Parameters'!A66)</f>
        <v>GROWTH CURVE</v>
      </c>
      <c r="B66" s="54" t="str">
        <f>IF('Control &amp; Parameters'!B66="","",'Control &amp; Parameters'!B66)</f>
        <v/>
      </c>
      <c r="C66" s="26" t="str">
        <f>IF('Control &amp; Parameters'!E66="","",'Control &amp; Parameters'!E66)</f>
        <v/>
      </c>
      <c r="D66" s="26" t="str">
        <f>IF('Control &amp; Parameters'!F66="","",'Control &amp; Parameters'!F66)</f>
        <v/>
      </c>
      <c r="E66" s="26" t="str">
        <f>IF('Control &amp; Parameters'!G66="","",'Control &amp; Parameters'!G66)</f>
        <v/>
      </c>
    </row>
    <row r="67" spans="1:5" x14ac:dyDescent="0.3">
      <c r="A67" s="66" t="str">
        <f>IF('Control &amp; Parameters'!A67="","",'Control &amp; Parameters'!A67)</f>
        <v>Properties acquired — Year 1</v>
      </c>
      <c r="B67" s="69" t="str">
        <f>IF('Control &amp; Parameters'!B67="","",'Control &amp; Parameters'!B67)</f>
        <v>properties</v>
      </c>
      <c r="C67" s="68">
        <f>IF('Control &amp; Parameters'!E67="","",'Control &amp; Parameters'!E67)</f>
        <v>1</v>
      </c>
      <c r="D67" s="68">
        <f>IF('Control &amp; Parameters'!F67="","",'Control &amp; Parameters'!F67)</f>
        <v>1</v>
      </c>
      <c r="E67" s="68">
        <f>IF('Control &amp; Parameters'!G67="","",'Control &amp; Parameters'!G67)</f>
        <v>1</v>
      </c>
    </row>
    <row r="68" spans="1:5" x14ac:dyDescent="0.3">
      <c r="A68" s="66" t="str">
        <f>IF('Control &amp; Parameters'!A68="","",'Control &amp; Parameters'!A68)</f>
        <v>Properties acquired — Year 2</v>
      </c>
      <c r="B68" s="69" t="str">
        <f>IF('Control &amp; Parameters'!B68="","",'Control &amp; Parameters'!B68)</f>
        <v>properties</v>
      </c>
      <c r="C68" s="68">
        <f>IF('Control &amp; Parameters'!E68="","",'Control &amp; Parameters'!E68)</f>
        <v>2</v>
      </c>
      <c r="D68" s="68">
        <f>IF('Control &amp; Parameters'!F68="","",'Control &amp; Parameters'!F68)</f>
        <v>2</v>
      </c>
      <c r="E68" s="68">
        <f>IF('Control &amp; Parameters'!G68="","",'Control &amp; Parameters'!G68)</f>
        <v>2</v>
      </c>
    </row>
    <row r="69" spans="1:5" x14ac:dyDescent="0.3">
      <c r="A69" s="66" t="str">
        <f>IF('Control &amp; Parameters'!A69="","",'Control &amp; Parameters'!A69)</f>
        <v>Properties acquired — Year 3</v>
      </c>
      <c r="B69" s="69" t="str">
        <f>IF('Control &amp; Parameters'!B69="","",'Control &amp; Parameters'!B69)</f>
        <v>properties</v>
      </c>
      <c r="C69" s="68">
        <f>IF('Control &amp; Parameters'!E69="","",'Control &amp; Parameters'!E69)</f>
        <v>3</v>
      </c>
      <c r="D69" s="68">
        <f>IF('Control &amp; Parameters'!F69="","",'Control &amp; Parameters'!F69)</f>
        <v>3</v>
      </c>
      <c r="E69" s="68">
        <f>IF('Control &amp; Parameters'!G69="","",'Control &amp; Parameters'!G69)</f>
        <v>3</v>
      </c>
    </row>
    <row r="70" spans="1:5" x14ac:dyDescent="0.3">
      <c r="A70" s="66" t="str">
        <f>IF('Control &amp; Parameters'!A70="","",'Control &amp; Parameters'!A70)</f>
        <v>Logistic growth begins</v>
      </c>
      <c r="B70" s="69" t="str">
        <f>IF('Control &amp; Parameters'!B70="","",'Control &amp; Parameters'!B70)</f>
        <v>model year</v>
      </c>
      <c r="C70" s="68">
        <f>IF('Control &amp; Parameters'!E70="","",'Control &amp; Parameters'!E70)</f>
        <v>4</v>
      </c>
      <c r="D70" s="68">
        <f>IF('Control &amp; Parameters'!F70="","",'Control &amp; Parameters'!F70)</f>
        <v>4</v>
      </c>
      <c r="E70" s="68">
        <f>IF('Control &amp; Parameters'!G70="","",'Control &amp; Parameters'!G70)</f>
        <v>4</v>
      </c>
    </row>
    <row r="71" spans="1:5" x14ac:dyDescent="0.3">
      <c r="A71" s="66" t="str">
        <f>IF('Control &amp; Parameters'!A71="","",'Control &amp; Parameters'!A71)</f>
        <v>Logistic floor (min acquisitions p.a.)</v>
      </c>
      <c r="B71" s="69" t="str">
        <f>IF('Control &amp; Parameters'!B71="","",'Control &amp; Parameters'!B71)</f>
        <v>properties</v>
      </c>
      <c r="C71" s="68">
        <f>IF('Control &amp; Parameters'!E71="","",'Control &amp; Parameters'!E71)</f>
        <v>3</v>
      </c>
      <c r="D71" s="68">
        <f>IF('Control &amp; Parameters'!F71="","",'Control &amp; Parameters'!F71)</f>
        <v>3</v>
      </c>
      <c r="E71" s="68">
        <f>IF('Control &amp; Parameters'!G71="","",'Control &amp; Parameters'!G71)</f>
        <v>3</v>
      </c>
    </row>
    <row r="72" spans="1:5" x14ac:dyDescent="0.3">
      <c r="A72" s="66" t="str">
        <f>IF('Control &amp; Parameters'!A72="","",'Control &amp; Parameters'!A72)</f>
        <v>Logistic ceiling (max portfolio)</v>
      </c>
      <c r="B72" s="69" t="str">
        <f>IF('Control &amp; Parameters'!B72="","",'Control &amp; Parameters'!B72)</f>
        <v>properties</v>
      </c>
      <c r="C72" s="68">
        <f>IF('Control &amp; Parameters'!E72="","",'Control &amp; Parameters'!E72)</f>
        <v>200</v>
      </c>
      <c r="D72" s="68">
        <f>IF('Control &amp; Parameters'!F72="","",'Control &amp; Parameters'!F72)</f>
        <v>250</v>
      </c>
      <c r="E72" s="68">
        <f>IF('Control &amp; Parameters'!G72="","",'Control &amp; Parameters'!G72)</f>
        <v>200</v>
      </c>
    </row>
    <row r="73" spans="1:5" x14ac:dyDescent="0.3">
      <c r="A73" s="66" t="str">
        <f>IF('Control &amp; Parameters'!A73="","",'Control &amp; Parameters'!A73)</f>
        <v>Doubling rate</v>
      </c>
      <c r="B73" s="69" t="str">
        <f>IF('Control &amp; Parameters'!B73="","",'Control &amp; Parameters'!B73)</f>
        <v>years</v>
      </c>
      <c r="C73" s="68">
        <f>IF('Control &amp; Parameters'!E73="","",'Control &amp; Parameters'!E73)</f>
        <v>4</v>
      </c>
      <c r="D73" s="68">
        <f>IF('Control &amp; Parameters'!F73="","",'Control &amp; Parameters'!F73)</f>
        <v>3</v>
      </c>
      <c r="E73" s="68">
        <f>IF('Control &amp; Parameters'!G73="","",'Control &amp; Parameters'!G73)</f>
        <v>4</v>
      </c>
    </row>
    <row r="74" spans="1:5" x14ac:dyDescent="0.3">
      <c r="A74" s="37" t="str">
        <f>IF('Control &amp; Parameters'!A74="","",'Control &amp; Parameters'!A74)</f>
        <v>CAPEX &amp; MAINTENANCE</v>
      </c>
      <c r="B74" s="54" t="str">
        <f>IF('Control &amp; Parameters'!B74="","",'Control &amp; Parameters'!B74)</f>
        <v/>
      </c>
      <c r="C74" s="26" t="str">
        <f>IF('Control &amp; Parameters'!E74="","",'Control &amp; Parameters'!E74)</f>
        <v/>
      </c>
      <c r="D74" s="26" t="str">
        <f>IF('Control &amp; Parameters'!F74="","",'Control &amp; Parameters'!F74)</f>
        <v/>
      </c>
      <c r="E74" s="26" t="str">
        <f>IF('Control &amp; Parameters'!G74="","",'Control &amp; Parameters'!G74)</f>
        <v/>
      </c>
    </row>
    <row r="75" spans="1:5" x14ac:dyDescent="0.3">
      <c r="A75" s="66" t="str">
        <f>IF('Control &amp; Parameters'!A75="","",'Control &amp; Parameters'!A75)</f>
        <v>Sinking fund contribution</v>
      </c>
      <c r="B75" s="69" t="str">
        <f>IF('Control &amp; Parameters'!B75="","",'Control &amp; Parameters'!B75)</f>
        <v>£ / property / yr</v>
      </c>
      <c r="C75" s="70">
        <f>IF('Control &amp; Parameters'!E75="","",'Control &amp; Parameters'!E75)</f>
        <v>1500</v>
      </c>
      <c r="D75" s="70">
        <f>IF('Control &amp; Parameters'!F75="","",'Control &amp; Parameters'!F75)</f>
        <v>1500</v>
      </c>
      <c r="E75" s="70">
        <f>IF('Control &amp; Parameters'!G75="","",'Control &amp; Parameters'!G75)</f>
        <v>1500</v>
      </c>
    </row>
    <row r="76" spans="1:5" x14ac:dyDescent="0.3">
      <c r="A76" s="66" t="str">
        <f>IF('Control &amp; Parameters'!A76="","",'Control &amp; Parameters'!A76)</f>
        <v>Structural maintenance spend</v>
      </c>
      <c r="B76" s="69" t="str">
        <f>IF('Control &amp; Parameters'!B76="","",'Control &amp; Parameters'!B76)</f>
        <v>£ / property / yr</v>
      </c>
      <c r="C76" s="70">
        <f>IF('Control &amp; Parameters'!E76="","",'Control &amp; Parameters'!E76)</f>
        <v>700</v>
      </c>
      <c r="D76" s="70">
        <f>IF('Control &amp; Parameters'!F76="","",'Control &amp; Parameters'!F76)</f>
        <v>700</v>
      </c>
      <c r="E76" s="70">
        <f>IF('Control &amp; Parameters'!G76="","",'Control &amp; Parameters'!G76)</f>
        <v>700</v>
      </c>
    </row>
    <row r="77" spans="1:5" x14ac:dyDescent="0.3">
      <c r="A77" s="66" t="str">
        <f>IF('Control &amp; Parameters'!A77="","",'Control &amp; Parameters'!A77)</f>
        <v>Sinking fund investment return</v>
      </c>
      <c r="B77" s="69" t="str">
        <f>IF('Control &amp; Parameters'!B77="","",'Control &amp; Parameters'!B77)</f>
        <v>% p.a.</v>
      </c>
      <c r="C77" s="67">
        <f>IF('Control &amp; Parameters'!E77="","",'Control &amp; Parameters'!E77)</f>
        <v>0</v>
      </c>
      <c r="D77" s="67">
        <f>IF('Control &amp; Parameters'!F77="","",'Control &amp; Parameters'!F77)</f>
        <v>0.02</v>
      </c>
      <c r="E77" s="67">
        <f>IF('Control &amp; Parameters'!G77="","",'Control &amp; Parameters'!G77)</f>
        <v>0</v>
      </c>
    </row>
    <row r="78" spans="1:5" x14ac:dyDescent="0.3">
      <c r="A78" s="37" t="str">
        <f>IF('Control &amp; Parameters'!A78="","",'Control &amp; Parameters'!A78)</f>
        <v>MARKET SHOCK OVERRIDES</v>
      </c>
      <c r="B78" s="54" t="str">
        <f>IF('Control &amp; Parameters'!B78="","",'Control &amp; Parameters'!B78)</f>
        <v/>
      </c>
      <c r="C78" s="26" t="str">
        <f>IF('Control &amp; Parameters'!E78="","",'Control &amp; Parameters'!E78)</f>
        <v/>
      </c>
      <c r="D78" s="26" t="str">
        <f>IF('Control &amp; Parameters'!F78="","",'Control &amp; Parameters'!F78)</f>
        <v/>
      </c>
      <c r="E78" s="26" t="str">
        <f>IF('Control &amp; Parameters'!G78="","",'Control &amp; Parameters'!G78)</f>
        <v/>
      </c>
    </row>
    <row r="79" spans="1:5" x14ac:dyDescent="0.3">
      <c r="A79" s="66" t="str">
        <f>IF('Control &amp; Parameters'!A79="","",'Control &amp; Parameters'!A79)</f>
        <v>One-off HPI shock year (0 = none)</v>
      </c>
      <c r="B79" s="69" t="str">
        <f>IF('Control &amp; Parameters'!B79="","",'Control &amp; Parameters'!B79)</f>
        <v>model year</v>
      </c>
      <c r="C79" s="68">
        <f>IF('Control &amp; Parameters'!E79="","",'Control &amp; Parameters'!E79)</f>
        <v>0</v>
      </c>
      <c r="D79" s="68">
        <f>IF('Control &amp; Parameters'!F79="","",'Control &amp; Parameters'!F79)</f>
        <v>0</v>
      </c>
      <c r="E79" s="68">
        <f>IF('Control &amp; Parameters'!G79="","",'Control &amp; Parameters'!G79)</f>
        <v>5</v>
      </c>
    </row>
    <row r="80" spans="1:5" x14ac:dyDescent="0.3">
      <c r="A80" s="66" t="str">
        <f>IF('Control &amp; Parameters'!A80="","",'Control &amp; Parameters'!A80)</f>
        <v>One-off HPI shock</v>
      </c>
      <c r="B80" s="69" t="str">
        <f>IF('Control &amp; Parameters'!B80="","",'Control &amp; Parameters'!B80)</f>
        <v>%</v>
      </c>
      <c r="C80" s="67">
        <f>IF('Control &amp; Parameters'!E80="","",'Control &amp; Parameters'!E80)</f>
        <v>-0.2</v>
      </c>
      <c r="D80" s="67">
        <f>IF('Control &amp; Parameters'!F80="","",'Control &amp; Parameters'!F80)</f>
        <v>0.1</v>
      </c>
      <c r="E80" s="67">
        <f>IF('Control &amp; Parameters'!G80="","",'Control &amp; Parameters'!G80)</f>
        <v>-0.2</v>
      </c>
    </row>
    <row r="81" spans="1:5" x14ac:dyDescent="0.3">
      <c r="A81" s="66" t="str">
        <f>IF('Control &amp; Parameters'!A81="","",'Control &amp; Parameters'!A81)</f>
        <v>Rent shock duration following HPI shock</v>
      </c>
      <c r="B81" s="69" t="str">
        <f>IF('Control &amp; Parameters'!B81="","",'Control &amp; Parameters'!B81)</f>
        <v>years</v>
      </c>
      <c r="C81" s="68">
        <f>IF('Control &amp; Parameters'!E81="","",'Control &amp; Parameters'!E81)</f>
        <v>0</v>
      </c>
      <c r="D81" s="68">
        <f>IF('Control &amp; Parameters'!F81="","",'Control &amp; Parameters'!F81)</f>
        <v>0</v>
      </c>
      <c r="E81" s="68">
        <f>IF('Control &amp; Parameters'!G81="","",'Control &amp; Parameters'!G81)</f>
        <v>2</v>
      </c>
    </row>
    <row r="82" spans="1:5" x14ac:dyDescent="0.3">
      <c r="A82" s="66" t="str">
        <f>IF('Control &amp; Parameters'!A82="","",'Control &amp; Parameters'!A82)</f>
        <v>Rent inflation during shock</v>
      </c>
      <c r="B82" s="69" t="str">
        <f>IF('Control &amp; Parameters'!B82="","",'Control &amp; Parameters'!B82)</f>
        <v>% p.a.</v>
      </c>
      <c r="C82" s="67">
        <f>IF('Control &amp; Parameters'!E82="","",'Control &amp; Parameters'!E82)</f>
        <v>0</v>
      </c>
      <c r="D82" s="67">
        <f>IF('Control &amp; Parameters'!F82="","",'Control &amp; Parameters'!F82)</f>
        <v>0</v>
      </c>
      <c r="E82" s="67">
        <f>IF('Control &amp; Parameters'!G82="","",'Control &amp; Parameters'!G82)</f>
        <v>0</v>
      </c>
    </row>
    <row r="83" spans="1:5" x14ac:dyDescent="0.3">
      <c r="A83" s="37" t="str">
        <f>IF('Control &amp; Parameters'!A83="","",'Control &amp; Parameters'!A83)</f>
        <v>TAX &amp; GIFT AID</v>
      </c>
      <c r="B83" s="54" t="str">
        <f>IF('Control &amp; Parameters'!B83="","",'Control &amp; Parameters'!B83)</f>
        <v/>
      </c>
      <c r="C83" s="26" t="str">
        <f>IF('Control &amp; Parameters'!E83="","",'Control &amp; Parameters'!E83)</f>
        <v/>
      </c>
      <c r="D83" s="26" t="str">
        <f>IF('Control &amp; Parameters'!F83="","",'Control &amp; Parameters'!F83)</f>
        <v/>
      </c>
      <c r="E83" s="26" t="str">
        <f>IF('Control &amp; Parameters'!G83="","",'Control &amp; Parameters'!G83)</f>
        <v/>
      </c>
    </row>
    <row r="84" spans="1:5" x14ac:dyDescent="0.3">
      <c r="A84" s="66" t="str">
        <f>IF('Control &amp; Parameters'!A84="","",'Control &amp; Parameters'!A84)</f>
        <v>Corporation tax exempt? (1 = Yes)</v>
      </c>
      <c r="B84" s="69" t="str">
        <f>IF('Control &amp; Parameters'!B84="","",'Control &amp; Parameters'!B84)</f>
        <v>1 / 0</v>
      </c>
      <c r="C84" s="68">
        <f>IF('Control &amp; Parameters'!E84="","",'Control &amp; Parameters'!E84)</f>
        <v>1</v>
      </c>
      <c r="D84" s="68">
        <f>IF('Control &amp; Parameters'!F84="","",'Control &amp; Parameters'!F84)</f>
        <v>1</v>
      </c>
      <c r="E84" s="68">
        <f>IF('Control &amp; Parameters'!G84="","",'Control &amp; Parameters'!G84)</f>
        <v>1</v>
      </c>
    </row>
    <row r="85" spans="1:5" x14ac:dyDescent="0.3">
      <c r="A85" s="66" t="str">
        <f>IF('Control &amp; Parameters'!A85="","",'Control &amp; Parameters'!A85)</f>
        <v>Corporation tax rate (if not exempt)</v>
      </c>
      <c r="B85" s="69" t="str">
        <f>IF('Control &amp; Parameters'!B85="","",'Control &amp; Parameters'!B85)</f>
        <v>%</v>
      </c>
      <c r="C85" s="67">
        <f>IF('Control &amp; Parameters'!E85="","",'Control &amp; Parameters'!E85)</f>
        <v>0.25</v>
      </c>
      <c r="D85" s="67">
        <f>IF('Control &amp; Parameters'!F85="","",'Control &amp; Parameters'!F85)</f>
        <v>0.25</v>
      </c>
      <c r="E85" s="67">
        <f>IF('Control &amp; Parameters'!G85="","",'Control &amp; Parameters'!G85)</f>
        <v>0.25</v>
      </c>
    </row>
    <row r="86" spans="1:5" x14ac:dyDescent="0.3">
      <c r="A86" s="66" t="str">
        <f>IF('Control &amp; Parameters'!A86="","",'Control &amp; Parameters'!A86)</f>
        <v>Gift Aid applicable? (1 = Yes)</v>
      </c>
      <c r="B86" s="69" t="str">
        <f>IF('Control &amp; Parameters'!B86="","",'Control &amp; Parameters'!B86)</f>
        <v>1 / 0</v>
      </c>
      <c r="C86" s="68">
        <f>IF('Control &amp; Parameters'!E86="","",'Control &amp; Parameters'!E86)</f>
        <v>1</v>
      </c>
      <c r="D86" s="68">
        <f>IF('Control &amp; Parameters'!F86="","",'Control &amp; Parameters'!F86)</f>
        <v>1</v>
      </c>
      <c r="E86" s="68">
        <f>IF('Control &amp; Parameters'!G86="","",'Control &amp; Parameters'!G86)</f>
        <v>1</v>
      </c>
    </row>
    <row r="87" spans="1:5" x14ac:dyDescent="0.3">
      <c r="A87" s="66" t="str">
        <f>IF('Control &amp; Parameters'!A87="","",'Control &amp; Parameters'!A87)</f>
        <v>Gift Aid recovery rate</v>
      </c>
      <c r="B87" s="69" t="str">
        <f>IF('Control &amp; Parameters'!B87="","",'Control &amp; Parameters'!B87)</f>
        <v>% of qualifying gifts</v>
      </c>
      <c r="C87" s="67">
        <f>IF('Control &amp; Parameters'!E87="","",'Control &amp; Parameters'!E87)</f>
        <v>0.25</v>
      </c>
      <c r="D87" s="67">
        <f>IF('Control &amp; Parameters'!F87="","",'Control &amp; Parameters'!F87)</f>
        <v>0.25</v>
      </c>
      <c r="E87" s="67">
        <f>IF('Control &amp; Parameters'!G87="","",'Control &amp; Parameters'!G87)</f>
        <v>0.25</v>
      </c>
    </row>
    <row r="88" spans="1:5" x14ac:dyDescent="0.3">
      <c r="A88" s="37" t="str">
        <f>IF('Control &amp; Parameters'!A88="","",'Control &amp; Parameters'!A88)</f>
        <v>ACQUISITION FUNDING DISCIPLINE</v>
      </c>
      <c r="B88" s="54" t="str">
        <f>IF('Control &amp; Parameters'!B88="","",'Control &amp; Parameters'!B88)</f>
        <v/>
      </c>
      <c r="C88" s="26" t="str">
        <f>IF('Control &amp; Parameters'!E88="","",'Control &amp; Parameters'!E88)</f>
        <v/>
      </c>
      <c r="D88" s="26" t="str">
        <f>IF('Control &amp; Parameters'!F88="","",'Control &amp; Parameters'!F88)</f>
        <v/>
      </c>
      <c r="E88" s="26" t="str">
        <f>IF('Control &amp; Parameters'!G88="","",'Control &amp; Parameters'!G88)</f>
        <v/>
      </c>
    </row>
    <row r="89" spans="1:5" x14ac:dyDescent="0.3">
      <c r="A89" s="66" t="str">
        <f>IF('Control &amp; Parameters'!A89="","",'Control &amp; Parameters'!A89)</f>
        <v>Cap acquisitions at affordable level? (1 = Yes)</v>
      </c>
      <c r="B89" s="69" t="str">
        <f>IF('Control &amp; Parameters'!B89="","",'Control &amp; Parameters'!B89)</f>
        <v>1 / 0</v>
      </c>
      <c r="C89" s="68">
        <f>IF('Control &amp; Parameters'!E89="","",'Control &amp; Parameters'!E89)</f>
        <v>1</v>
      </c>
      <c r="D89" s="68">
        <f>IF('Control &amp; Parameters'!F89="","",'Control &amp; Parameters'!F89)</f>
        <v>1</v>
      </c>
      <c r="E89" s="68">
        <f>IF('Control &amp; Parameters'!G89="","",'Control &amp; Parameters'!G89)</f>
        <v>1</v>
      </c>
    </row>
    <row r="90" spans="1:5" x14ac:dyDescent="0.3">
      <c r="A90" s="37" t="str">
        <f>IF('Control &amp; Parameters'!A90="","",'Control &amp; Parameters'!A90)</f>
        <v>MONTHLY CASH FLOW TIMING (YEARS 1–5)</v>
      </c>
      <c r="B90" s="54" t="str">
        <f>IF('Control &amp; Parameters'!B90="","",'Control &amp; Parameters'!B90)</f>
        <v/>
      </c>
      <c r="C90" s="26" t="str">
        <f>IF('Control &amp; Parameters'!E90="","",'Control &amp; Parameters'!E90)</f>
        <v/>
      </c>
      <c r="D90" s="26" t="str">
        <f>IF('Control &amp; Parameters'!F90="","",'Control &amp; Parameters'!F90)</f>
        <v/>
      </c>
      <c r="E90" s="26" t="str">
        <f>IF('Control &amp; Parameters'!G90="","",'Control &amp; Parameters'!G90)</f>
        <v/>
      </c>
    </row>
    <row r="91" spans="1:5" x14ac:dyDescent="0.3">
      <c r="A91" s="66" t="str">
        <f>IF('Control &amp; Parameters'!A91="","",'Control &amp; Parameters'!A91)</f>
        <v>Month in year when acquisitions complete</v>
      </c>
      <c r="B91" s="69" t="str">
        <f>IF('Control &amp; Parameters'!B91="","",'Control &amp; Parameters'!B91)</f>
        <v>month (1–12)</v>
      </c>
      <c r="C91" s="68">
        <f>IF('Control &amp; Parameters'!E91="","",'Control &amp; Parameters'!E91)</f>
        <v>12</v>
      </c>
      <c r="D91" s="68">
        <f>IF('Control &amp; Parameters'!F91="","",'Control &amp; Parameters'!F91)</f>
        <v>12</v>
      </c>
      <c r="E91" s="68">
        <f>IF('Control &amp; Parameters'!G91="","",'Control &amp; Parameters'!G91)</f>
        <v>12</v>
      </c>
    </row>
    <row r="92" spans="1:5" x14ac:dyDescent="0.3">
      <c r="A92" s="66" t="str">
        <f>IF('Control &amp; Parameters'!A92="","",'Control &amp; Parameters'!A92)</f>
        <v>Debt service payments per year</v>
      </c>
      <c r="B92" s="69" t="str">
        <f>IF('Control &amp; Parameters'!B92="","",'Control &amp; Parameters'!B92)</f>
        <v>payments p.a.</v>
      </c>
      <c r="C92" s="68">
        <f>IF('Control &amp; Parameters'!E92="","",'Control &amp; Parameters'!E92)</f>
        <v>4</v>
      </c>
      <c r="D92" s="68">
        <f>IF('Control &amp; Parameters'!F92="","",'Control &amp; Parameters'!F92)</f>
        <v>4</v>
      </c>
      <c r="E92" s="68">
        <f>IF('Control &amp; Parameters'!G92="","",'Control &amp; Parameters'!G92)</f>
        <v>4</v>
      </c>
    </row>
    <row r="93" spans="1:5" x14ac:dyDescent="0.3">
      <c r="A93" s="66" t="str">
        <f>IF('Control &amp; Parameters'!A93="","",'Control &amp; Parameters'!A93)</f>
        <v>Month in year when dividends are paid</v>
      </c>
      <c r="B93" s="69" t="str">
        <f>IF('Control &amp; Parameters'!B93="","",'Control &amp; Parameters'!B93)</f>
        <v>month (1–12)</v>
      </c>
      <c r="C93" s="68">
        <f>IF('Control &amp; Parameters'!E93="","",'Control &amp; Parameters'!E93)</f>
        <v>12</v>
      </c>
      <c r="D93" s="68">
        <f>IF('Control &amp; Parameters'!F93="","",'Control &amp; Parameters'!F93)</f>
        <v>12</v>
      </c>
      <c r="E93" s="68">
        <f>IF('Control &amp; Parameters'!G93="","",'Control &amp; Parameters'!G93)</f>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6E5B0-ED4B-4B1D-8CD5-F9ED51C6EA1D}">
  <dimension ref="A1:BA20"/>
  <sheetViews>
    <sheetView workbookViewId="0">
      <pane xSplit="3" topLeftCell="AL1" activePane="topRight" state="frozen"/>
      <selection pane="topRight"/>
    </sheetView>
  </sheetViews>
  <sheetFormatPr defaultRowHeight="14.4" x14ac:dyDescent="0.3"/>
  <cols>
    <col min="1" max="1" width="46.33203125" customWidth="1"/>
    <col min="2" max="2" width="22.21875" customWidth="1"/>
    <col min="3" max="3" width="2.5546875" customWidth="1"/>
    <col min="4" max="53" width="13.33203125" customWidth="1"/>
  </cols>
  <sheetData>
    <row r="1" spans="1:53" ht="18" x14ac:dyDescent="0.35">
      <c r="A1" s="1" t="s">
        <v>9</v>
      </c>
    </row>
    <row r="2" spans="1:53" x14ac:dyDescent="0.3">
      <c r="A2" s="2" t="s">
        <v>87</v>
      </c>
    </row>
    <row r="6" spans="1:53" x14ac:dyDescent="0.3">
      <c r="A6" s="3" t="s">
        <v>88</v>
      </c>
      <c r="D6" s="29">
        <v>1</v>
      </c>
      <c r="E6" s="29">
        <v>2</v>
      </c>
      <c r="F6" s="29">
        <v>3</v>
      </c>
      <c r="G6" s="29">
        <v>4</v>
      </c>
      <c r="H6" s="29">
        <v>5</v>
      </c>
      <c r="I6" s="29">
        <v>6</v>
      </c>
      <c r="J6" s="29">
        <v>7</v>
      </c>
      <c r="K6" s="29">
        <v>8</v>
      </c>
      <c r="L6" s="29">
        <v>9</v>
      </c>
      <c r="M6" s="29">
        <v>10</v>
      </c>
      <c r="N6" s="29">
        <v>11</v>
      </c>
      <c r="O6" s="29">
        <v>12</v>
      </c>
      <c r="P6" s="29">
        <v>13</v>
      </c>
      <c r="Q6" s="29">
        <v>14</v>
      </c>
      <c r="R6" s="29">
        <v>15</v>
      </c>
      <c r="S6" s="29">
        <v>16</v>
      </c>
      <c r="T6" s="29">
        <v>17</v>
      </c>
      <c r="U6" s="29">
        <v>18</v>
      </c>
      <c r="V6" s="29">
        <v>19</v>
      </c>
      <c r="W6" s="29">
        <v>20</v>
      </c>
      <c r="X6" s="29">
        <v>21</v>
      </c>
      <c r="Y6" s="29">
        <v>22</v>
      </c>
      <c r="Z6" s="29">
        <v>23</v>
      </c>
      <c r="AA6" s="29">
        <v>24</v>
      </c>
      <c r="AB6" s="29">
        <v>25</v>
      </c>
      <c r="AC6" s="29">
        <v>26</v>
      </c>
      <c r="AD6" s="29">
        <v>27</v>
      </c>
      <c r="AE6" s="29">
        <v>28</v>
      </c>
      <c r="AF6" s="29">
        <v>29</v>
      </c>
      <c r="AG6" s="29">
        <v>30</v>
      </c>
      <c r="AH6" s="29">
        <v>31</v>
      </c>
      <c r="AI6" s="29">
        <v>32</v>
      </c>
      <c r="AJ6" s="29">
        <v>33</v>
      </c>
      <c r="AK6" s="29">
        <v>34</v>
      </c>
      <c r="AL6" s="29">
        <v>35</v>
      </c>
      <c r="AM6" s="29">
        <v>36</v>
      </c>
      <c r="AN6" s="29">
        <v>37</v>
      </c>
      <c r="AO6" s="29">
        <v>38</v>
      </c>
      <c r="AP6" s="29">
        <v>39</v>
      </c>
      <c r="AQ6" s="29">
        <v>40</v>
      </c>
      <c r="AR6" s="29">
        <v>41</v>
      </c>
      <c r="AS6" s="29">
        <v>42</v>
      </c>
      <c r="AT6" s="29">
        <v>43</v>
      </c>
      <c r="AU6" s="29">
        <v>44</v>
      </c>
      <c r="AV6" s="29">
        <v>45</v>
      </c>
      <c r="AW6" s="29">
        <v>46</v>
      </c>
      <c r="AX6" s="29">
        <v>47</v>
      </c>
      <c r="AY6" s="29">
        <v>48</v>
      </c>
      <c r="AZ6" s="29">
        <v>49</v>
      </c>
      <c r="BA6" s="29">
        <v>50</v>
      </c>
    </row>
    <row r="7" spans="1:53" x14ac:dyDescent="0.3">
      <c r="A7" s="3" t="s">
        <v>89</v>
      </c>
      <c r="D7" s="29">
        <f>base_calendar_year+D$6-1</f>
        <v>2026</v>
      </c>
      <c r="E7" s="29">
        <f>base_calendar_year+E$6-1</f>
        <v>2027</v>
      </c>
      <c r="F7" s="29">
        <f>base_calendar_year+F$6-1</f>
        <v>2028</v>
      </c>
      <c r="G7" s="29">
        <f>base_calendar_year+G$6-1</f>
        <v>2029</v>
      </c>
      <c r="H7" s="29">
        <f>base_calendar_year+H$6-1</f>
        <v>2030</v>
      </c>
      <c r="I7" s="29">
        <f>base_calendar_year+I$6-1</f>
        <v>2031</v>
      </c>
      <c r="J7" s="29">
        <f>base_calendar_year+J$6-1</f>
        <v>2032</v>
      </c>
      <c r="K7" s="29">
        <f>base_calendar_year+K$6-1</f>
        <v>2033</v>
      </c>
      <c r="L7" s="29">
        <f>base_calendar_year+L$6-1</f>
        <v>2034</v>
      </c>
      <c r="M7" s="29">
        <f>base_calendar_year+M$6-1</f>
        <v>2035</v>
      </c>
      <c r="N7" s="29">
        <f>base_calendar_year+N$6-1</f>
        <v>2036</v>
      </c>
      <c r="O7" s="29">
        <f>base_calendar_year+O$6-1</f>
        <v>2037</v>
      </c>
      <c r="P7" s="29">
        <f>base_calendar_year+P$6-1</f>
        <v>2038</v>
      </c>
      <c r="Q7" s="29">
        <f>base_calendar_year+Q$6-1</f>
        <v>2039</v>
      </c>
      <c r="R7" s="29">
        <f>base_calendar_year+R$6-1</f>
        <v>2040</v>
      </c>
      <c r="S7" s="29">
        <f>base_calendar_year+S$6-1</f>
        <v>2041</v>
      </c>
      <c r="T7" s="29">
        <f>base_calendar_year+T$6-1</f>
        <v>2042</v>
      </c>
      <c r="U7" s="29">
        <f>base_calendar_year+U$6-1</f>
        <v>2043</v>
      </c>
      <c r="V7" s="29">
        <f>base_calendar_year+V$6-1</f>
        <v>2044</v>
      </c>
      <c r="W7" s="29">
        <f>base_calendar_year+W$6-1</f>
        <v>2045</v>
      </c>
      <c r="X7" s="29">
        <f>base_calendar_year+X$6-1</f>
        <v>2046</v>
      </c>
      <c r="Y7" s="29">
        <f>base_calendar_year+Y$6-1</f>
        <v>2047</v>
      </c>
      <c r="Z7" s="29">
        <f>base_calendar_year+Z$6-1</f>
        <v>2048</v>
      </c>
      <c r="AA7" s="29">
        <f>base_calendar_year+AA$6-1</f>
        <v>2049</v>
      </c>
      <c r="AB7" s="29">
        <f>base_calendar_year+AB$6-1</f>
        <v>2050</v>
      </c>
      <c r="AC7" s="29">
        <f>base_calendar_year+AC$6-1</f>
        <v>2051</v>
      </c>
      <c r="AD7" s="29">
        <f>base_calendar_year+AD$6-1</f>
        <v>2052</v>
      </c>
      <c r="AE7" s="29">
        <f>base_calendar_year+AE$6-1</f>
        <v>2053</v>
      </c>
      <c r="AF7" s="29">
        <f>base_calendar_year+AF$6-1</f>
        <v>2054</v>
      </c>
      <c r="AG7" s="29">
        <f>base_calendar_year+AG$6-1</f>
        <v>2055</v>
      </c>
      <c r="AH7" s="29">
        <f>base_calendar_year+AH$6-1</f>
        <v>2056</v>
      </c>
      <c r="AI7" s="29">
        <f>base_calendar_year+AI$6-1</f>
        <v>2057</v>
      </c>
      <c r="AJ7" s="29">
        <f>base_calendar_year+AJ$6-1</f>
        <v>2058</v>
      </c>
      <c r="AK7" s="29">
        <f>base_calendar_year+AK$6-1</f>
        <v>2059</v>
      </c>
      <c r="AL7" s="29">
        <f>base_calendar_year+AL$6-1</f>
        <v>2060</v>
      </c>
      <c r="AM7" s="29">
        <f>base_calendar_year+AM$6-1</f>
        <v>2061</v>
      </c>
      <c r="AN7" s="29">
        <f>base_calendar_year+AN$6-1</f>
        <v>2062</v>
      </c>
      <c r="AO7" s="29">
        <f>base_calendar_year+AO$6-1</f>
        <v>2063</v>
      </c>
      <c r="AP7" s="29">
        <f>base_calendar_year+AP$6-1</f>
        <v>2064</v>
      </c>
      <c r="AQ7" s="29">
        <f>base_calendar_year+AQ$6-1</f>
        <v>2065</v>
      </c>
      <c r="AR7" s="29">
        <f>base_calendar_year+AR$6-1</f>
        <v>2066</v>
      </c>
      <c r="AS7" s="29">
        <f>base_calendar_year+AS$6-1</f>
        <v>2067</v>
      </c>
      <c r="AT7" s="29">
        <f>base_calendar_year+AT$6-1</f>
        <v>2068</v>
      </c>
      <c r="AU7" s="29">
        <f>base_calendar_year+AU$6-1</f>
        <v>2069</v>
      </c>
      <c r="AV7" s="29">
        <f>base_calendar_year+AV$6-1</f>
        <v>2070</v>
      </c>
      <c r="AW7" s="29">
        <f>base_calendar_year+AW$6-1</f>
        <v>2071</v>
      </c>
      <c r="AX7" s="29">
        <f>base_calendar_year+AX$6-1</f>
        <v>2072</v>
      </c>
      <c r="AY7" s="29">
        <f>base_calendar_year+AY$6-1</f>
        <v>2073</v>
      </c>
      <c r="AZ7" s="29">
        <f>base_calendar_year+AZ$6-1</f>
        <v>2074</v>
      </c>
      <c r="BA7" s="29">
        <f>base_calendar_year+BA$6-1</f>
        <v>2075</v>
      </c>
    </row>
    <row r="8" spans="1:53" x14ac:dyDescent="0.3">
      <c r="A8" s="3"/>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row>
    <row r="9" spans="1:53" x14ac:dyDescent="0.3">
      <c r="A9" s="3" t="s">
        <v>10</v>
      </c>
      <c r="B9" t="s">
        <v>11</v>
      </c>
      <c r="D9" s="31">
        <f>cpi_general</f>
        <v>2.5000000000000001E-2</v>
      </c>
      <c r="E9" s="31">
        <f>cpi_general</f>
        <v>2.5000000000000001E-2</v>
      </c>
      <c r="F9" s="31">
        <f>cpi_general</f>
        <v>2.5000000000000001E-2</v>
      </c>
      <c r="G9" s="31">
        <f>cpi_general</f>
        <v>2.5000000000000001E-2</v>
      </c>
      <c r="H9" s="31">
        <f>cpi_general</f>
        <v>2.5000000000000001E-2</v>
      </c>
      <c r="I9" s="31">
        <f>cpi_general</f>
        <v>2.5000000000000001E-2</v>
      </c>
      <c r="J9" s="31">
        <f>cpi_general</f>
        <v>2.5000000000000001E-2</v>
      </c>
      <c r="K9" s="31">
        <f>cpi_general</f>
        <v>2.5000000000000001E-2</v>
      </c>
      <c r="L9" s="31">
        <f>cpi_general</f>
        <v>2.5000000000000001E-2</v>
      </c>
      <c r="M9" s="31">
        <f>cpi_general</f>
        <v>2.5000000000000001E-2</v>
      </c>
      <c r="N9" s="31">
        <f>cpi_general</f>
        <v>2.5000000000000001E-2</v>
      </c>
      <c r="O9" s="31">
        <f>cpi_general</f>
        <v>2.5000000000000001E-2</v>
      </c>
      <c r="P9" s="31">
        <f>cpi_general</f>
        <v>2.5000000000000001E-2</v>
      </c>
      <c r="Q9" s="31">
        <f>cpi_general</f>
        <v>2.5000000000000001E-2</v>
      </c>
      <c r="R9" s="31">
        <f>cpi_general</f>
        <v>2.5000000000000001E-2</v>
      </c>
      <c r="S9" s="31">
        <f>cpi_general</f>
        <v>2.5000000000000001E-2</v>
      </c>
      <c r="T9" s="31">
        <f>cpi_general</f>
        <v>2.5000000000000001E-2</v>
      </c>
      <c r="U9" s="31">
        <f>cpi_general</f>
        <v>2.5000000000000001E-2</v>
      </c>
      <c r="V9" s="31">
        <f>cpi_general</f>
        <v>2.5000000000000001E-2</v>
      </c>
      <c r="W9" s="31">
        <f>cpi_general</f>
        <v>2.5000000000000001E-2</v>
      </c>
      <c r="X9" s="31">
        <f>cpi_general</f>
        <v>2.5000000000000001E-2</v>
      </c>
      <c r="Y9" s="31">
        <f>cpi_general</f>
        <v>2.5000000000000001E-2</v>
      </c>
      <c r="Z9" s="31">
        <f>cpi_general</f>
        <v>2.5000000000000001E-2</v>
      </c>
      <c r="AA9" s="31">
        <f>cpi_general</f>
        <v>2.5000000000000001E-2</v>
      </c>
      <c r="AB9" s="31">
        <f>cpi_general</f>
        <v>2.5000000000000001E-2</v>
      </c>
      <c r="AC9" s="31">
        <f>cpi_general</f>
        <v>2.5000000000000001E-2</v>
      </c>
      <c r="AD9" s="31">
        <f>cpi_general</f>
        <v>2.5000000000000001E-2</v>
      </c>
      <c r="AE9" s="31">
        <f>cpi_general</f>
        <v>2.5000000000000001E-2</v>
      </c>
      <c r="AF9" s="31">
        <f>cpi_general</f>
        <v>2.5000000000000001E-2</v>
      </c>
      <c r="AG9" s="31">
        <f>cpi_general</f>
        <v>2.5000000000000001E-2</v>
      </c>
      <c r="AH9" s="31">
        <f>cpi_general</f>
        <v>2.5000000000000001E-2</v>
      </c>
      <c r="AI9" s="31">
        <f>cpi_general</f>
        <v>2.5000000000000001E-2</v>
      </c>
      <c r="AJ9" s="31">
        <f>cpi_general</f>
        <v>2.5000000000000001E-2</v>
      </c>
      <c r="AK9" s="31">
        <f>cpi_general</f>
        <v>2.5000000000000001E-2</v>
      </c>
      <c r="AL9" s="31">
        <f>cpi_general</f>
        <v>2.5000000000000001E-2</v>
      </c>
      <c r="AM9" s="31">
        <f>cpi_general</f>
        <v>2.5000000000000001E-2</v>
      </c>
      <c r="AN9" s="31">
        <f>cpi_general</f>
        <v>2.5000000000000001E-2</v>
      </c>
      <c r="AO9" s="31">
        <f>cpi_general</f>
        <v>2.5000000000000001E-2</v>
      </c>
      <c r="AP9" s="31">
        <f>cpi_general</f>
        <v>2.5000000000000001E-2</v>
      </c>
      <c r="AQ9" s="31">
        <f>cpi_general</f>
        <v>2.5000000000000001E-2</v>
      </c>
      <c r="AR9" s="31">
        <f>cpi_general</f>
        <v>2.5000000000000001E-2</v>
      </c>
      <c r="AS9" s="31">
        <f>cpi_general</f>
        <v>2.5000000000000001E-2</v>
      </c>
      <c r="AT9" s="31">
        <f>cpi_general</f>
        <v>2.5000000000000001E-2</v>
      </c>
      <c r="AU9" s="31">
        <f>cpi_general</f>
        <v>2.5000000000000001E-2</v>
      </c>
      <c r="AV9" s="31">
        <f>cpi_general</f>
        <v>2.5000000000000001E-2</v>
      </c>
      <c r="AW9" s="31">
        <f>cpi_general</f>
        <v>2.5000000000000001E-2</v>
      </c>
      <c r="AX9" s="31">
        <f>cpi_general</f>
        <v>2.5000000000000001E-2</v>
      </c>
      <c r="AY9" s="31">
        <f>cpi_general</f>
        <v>2.5000000000000001E-2</v>
      </c>
      <c r="AZ9" s="31">
        <f>cpi_general</f>
        <v>2.5000000000000001E-2</v>
      </c>
      <c r="BA9" s="31">
        <f>cpi_general</f>
        <v>2.5000000000000001E-2</v>
      </c>
    </row>
    <row r="10" spans="1:53" x14ac:dyDescent="0.3">
      <c r="A10" s="3" t="s">
        <v>90</v>
      </c>
      <c r="B10" t="s">
        <v>91</v>
      </c>
      <c r="D10" s="32">
        <f t="shared" ref="D10:AI10" si="0">IF(D$6=1,1,C10*(1+D9))</f>
        <v>1</v>
      </c>
      <c r="E10" s="32">
        <f t="shared" si="0"/>
        <v>1.0249999999999999</v>
      </c>
      <c r="F10" s="32">
        <f t="shared" si="0"/>
        <v>1.0506249999999999</v>
      </c>
      <c r="G10" s="32">
        <f t="shared" si="0"/>
        <v>1.0768906249999999</v>
      </c>
      <c r="H10" s="32">
        <f t="shared" si="0"/>
        <v>1.1038128906249998</v>
      </c>
      <c r="I10" s="32">
        <f t="shared" si="0"/>
        <v>1.1314082128906247</v>
      </c>
      <c r="J10" s="32">
        <f t="shared" si="0"/>
        <v>1.1596934182128902</v>
      </c>
      <c r="K10" s="32">
        <f t="shared" si="0"/>
        <v>1.1886857536682123</v>
      </c>
      <c r="L10" s="32">
        <f t="shared" si="0"/>
        <v>1.2184028975099175</v>
      </c>
      <c r="M10" s="32">
        <f t="shared" si="0"/>
        <v>1.2488629699476652</v>
      </c>
      <c r="N10" s="32">
        <f t="shared" si="0"/>
        <v>1.2800845441963566</v>
      </c>
      <c r="O10" s="32">
        <f t="shared" si="0"/>
        <v>1.3120866578012655</v>
      </c>
      <c r="P10" s="32">
        <f t="shared" si="0"/>
        <v>1.3448888242462971</v>
      </c>
      <c r="Q10" s="32">
        <f t="shared" si="0"/>
        <v>1.3785110448524545</v>
      </c>
      <c r="R10" s="32">
        <f t="shared" si="0"/>
        <v>1.4129738209737657</v>
      </c>
      <c r="S10" s="32">
        <f t="shared" si="0"/>
        <v>1.4482981664981096</v>
      </c>
      <c r="T10" s="32">
        <f t="shared" si="0"/>
        <v>1.4845056206605622</v>
      </c>
      <c r="U10" s="32">
        <f t="shared" si="0"/>
        <v>1.5216182611770761</v>
      </c>
      <c r="V10" s="32">
        <f t="shared" si="0"/>
        <v>1.5596587177065029</v>
      </c>
      <c r="W10" s="32">
        <f t="shared" si="0"/>
        <v>1.5986501856491653</v>
      </c>
      <c r="X10" s="32">
        <f t="shared" si="0"/>
        <v>1.6386164402903942</v>
      </c>
      <c r="Y10" s="32">
        <f t="shared" si="0"/>
        <v>1.6795818512976539</v>
      </c>
      <c r="Z10" s="32">
        <f t="shared" si="0"/>
        <v>1.721571397580095</v>
      </c>
      <c r="AA10" s="32">
        <f t="shared" si="0"/>
        <v>1.7646106825195973</v>
      </c>
      <c r="AB10" s="32">
        <f t="shared" si="0"/>
        <v>1.8087259495825871</v>
      </c>
      <c r="AC10" s="32">
        <f t="shared" si="0"/>
        <v>1.8539440983221516</v>
      </c>
      <c r="AD10" s="32">
        <f t="shared" si="0"/>
        <v>1.9002927007802053</v>
      </c>
      <c r="AE10" s="32">
        <f t="shared" si="0"/>
        <v>1.9478000182997102</v>
      </c>
      <c r="AF10" s="32">
        <f t="shared" si="0"/>
        <v>1.9964950187572028</v>
      </c>
      <c r="AG10" s="32">
        <f t="shared" si="0"/>
        <v>2.0464073942261325</v>
      </c>
      <c r="AH10" s="32">
        <f t="shared" si="0"/>
        <v>2.0975675790817858</v>
      </c>
      <c r="AI10" s="32">
        <f t="shared" si="0"/>
        <v>2.1500067685588302</v>
      </c>
      <c r="AJ10" s="32">
        <f t="shared" ref="AJ10:BA10" si="1">IF(AJ$6=1,1,AI10*(1+AJ9))</f>
        <v>2.2037569377728006</v>
      </c>
      <c r="AK10" s="32">
        <f t="shared" si="1"/>
        <v>2.2588508612171205</v>
      </c>
      <c r="AL10" s="32">
        <f t="shared" si="1"/>
        <v>2.3153221327475482</v>
      </c>
      <c r="AM10" s="32">
        <f t="shared" si="1"/>
        <v>2.3732051860662366</v>
      </c>
      <c r="AN10" s="32">
        <f t="shared" si="1"/>
        <v>2.4325353157178924</v>
      </c>
      <c r="AO10" s="32">
        <f t="shared" si="1"/>
        <v>2.4933486986108395</v>
      </c>
      <c r="AP10" s="32">
        <f t="shared" si="1"/>
        <v>2.5556824160761105</v>
      </c>
      <c r="AQ10" s="32">
        <f t="shared" si="1"/>
        <v>2.6195744764780131</v>
      </c>
      <c r="AR10" s="32">
        <f t="shared" si="1"/>
        <v>2.6850638383899632</v>
      </c>
      <c r="AS10" s="32">
        <f t="shared" si="1"/>
        <v>2.7521904343497119</v>
      </c>
      <c r="AT10" s="32">
        <f t="shared" si="1"/>
        <v>2.8209951952084547</v>
      </c>
      <c r="AU10" s="32">
        <f t="shared" si="1"/>
        <v>2.8915200750886658</v>
      </c>
      <c r="AV10" s="32">
        <f t="shared" si="1"/>
        <v>2.9638080769658823</v>
      </c>
      <c r="AW10" s="32">
        <f t="shared" si="1"/>
        <v>3.0379032788900293</v>
      </c>
      <c r="AX10" s="32">
        <f t="shared" si="1"/>
        <v>3.1138508608622799</v>
      </c>
      <c r="AY10" s="32">
        <f t="shared" si="1"/>
        <v>3.1916971323838368</v>
      </c>
      <c r="AZ10" s="32">
        <f t="shared" si="1"/>
        <v>3.2714895606934324</v>
      </c>
      <c r="BA10" s="32">
        <f t="shared" si="1"/>
        <v>3.353276799710768</v>
      </c>
    </row>
    <row r="11" spans="1:53" x14ac:dyDescent="0.3">
      <c r="A11" s="3" t="s">
        <v>359</v>
      </c>
      <c r="B11" t="s">
        <v>11</v>
      </c>
      <c r="D11" s="31">
        <f>IF(AND(rent_shock_years&gt;0,hpi_shock_year&gt;0,D$6&gt;=hpi_shock_year,D$6&lt;hpi_shock_year+rent_shock_years),rent_shock_rate,rent_inflation)</f>
        <v>2.5000000000000001E-2</v>
      </c>
      <c r="E11" s="31">
        <f>IF(AND(rent_shock_years&gt;0,hpi_shock_year&gt;0,E$6&gt;=hpi_shock_year,E$6&lt;hpi_shock_year+rent_shock_years),rent_shock_rate,rent_inflation)</f>
        <v>2.5000000000000001E-2</v>
      </c>
      <c r="F11" s="31">
        <f>IF(AND(rent_shock_years&gt;0,hpi_shock_year&gt;0,F$6&gt;=hpi_shock_year,F$6&lt;hpi_shock_year+rent_shock_years),rent_shock_rate,rent_inflation)</f>
        <v>2.5000000000000001E-2</v>
      </c>
      <c r="G11" s="31">
        <f>IF(AND(rent_shock_years&gt;0,hpi_shock_year&gt;0,G$6&gt;=hpi_shock_year,G$6&lt;hpi_shock_year+rent_shock_years),rent_shock_rate,rent_inflation)</f>
        <v>2.5000000000000001E-2</v>
      </c>
      <c r="H11" s="31">
        <f>IF(AND(rent_shock_years&gt;0,hpi_shock_year&gt;0,H$6&gt;=hpi_shock_year,H$6&lt;hpi_shock_year+rent_shock_years),rent_shock_rate,rent_inflation)</f>
        <v>2.5000000000000001E-2</v>
      </c>
      <c r="I11" s="31">
        <f>IF(AND(rent_shock_years&gt;0,hpi_shock_year&gt;0,I$6&gt;=hpi_shock_year,I$6&lt;hpi_shock_year+rent_shock_years),rent_shock_rate,rent_inflation)</f>
        <v>2.5000000000000001E-2</v>
      </c>
      <c r="J11" s="31">
        <f>IF(AND(rent_shock_years&gt;0,hpi_shock_year&gt;0,J$6&gt;=hpi_shock_year,J$6&lt;hpi_shock_year+rent_shock_years),rent_shock_rate,rent_inflation)</f>
        <v>2.5000000000000001E-2</v>
      </c>
      <c r="K11" s="31">
        <f>IF(AND(rent_shock_years&gt;0,hpi_shock_year&gt;0,K$6&gt;=hpi_shock_year,K$6&lt;hpi_shock_year+rent_shock_years),rent_shock_rate,rent_inflation)</f>
        <v>2.5000000000000001E-2</v>
      </c>
      <c r="L11" s="31">
        <f>IF(AND(rent_shock_years&gt;0,hpi_shock_year&gt;0,L$6&gt;=hpi_shock_year,L$6&lt;hpi_shock_year+rent_shock_years),rent_shock_rate,rent_inflation)</f>
        <v>2.5000000000000001E-2</v>
      </c>
      <c r="M11" s="31">
        <f>IF(AND(rent_shock_years&gt;0,hpi_shock_year&gt;0,M$6&gt;=hpi_shock_year,M$6&lt;hpi_shock_year+rent_shock_years),rent_shock_rate,rent_inflation)</f>
        <v>2.5000000000000001E-2</v>
      </c>
      <c r="N11" s="31">
        <f>IF(AND(rent_shock_years&gt;0,hpi_shock_year&gt;0,N$6&gt;=hpi_shock_year,N$6&lt;hpi_shock_year+rent_shock_years),rent_shock_rate,rent_inflation)</f>
        <v>2.5000000000000001E-2</v>
      </c>
      <c r="O11" s="31">
        <f>IF(AND(rent_shock_years&gt;0,hpi_shock_year&gt;0,O$6&gt;=hpi_shock_year,O$6&lt;hpi_shock_year+rent_shock_years),rent_shock_rate,rent_inflation)</f>
        <v>2.5000000000000001E-2</v>
      </c>
      <c r="P11" s="31">
        <f>IF(AND(rent_shock_years&gt;0,hpi_shock_year&gt;0,P$6&gt;=hpi_shock_year,P$6&lt;hpi_shock_year+rent_shock_years),rent_shock_rate,rent_inflation)</f>
        <v>2.5000000000000001E-2</v>
      </c>
      <c r="Q11" s="31">
        <f>IF(AND(rent_shock_years&gt;0,hpi_shock_year&gt;0,Q$6&gt;=hpi_shock_year,Q$6&lt;hpi_shock_year+rent_shock_years),rent_shock_rate,rent_inflation)</f>
        <v>2.5000000000000001E-2</v>
      </c>
      <c r="R11" s="31">
        <f>IF(AND(rent_shock_years&gt;0,hpi_shock_year&gt;0,R$6&gt;=hpi_shock_year,R$6&lt;hpi_shock_year+rent_shock_years),rent_shock_rate,rent_inflation)</f>
        <v>2.5000000000000001E-2</v>
      </c>
      <c r="S11" s="31">
        <f>IF(AND(rent_shock_years&gt;0,hpi_shock_year&gt;0,S$6&gt;=hpi_shock_year,S$6&lt;hpi_shock_year+rent_shock_years),rent_shock_rate,rent_inflation)</f>
        <v>2.5000000000000001E-2</v>
      </c>
      <c r="T11" s="31">
        <f>IF(AND(rent_shock_years&gt;0,hpi_shock_year&gt;0,T$6&gt;=hpi_shock_year,T$6&lt;hpi_shock_year+rent_shock_years),rent_shock_rate,rent_inflation)</f>
        <v>2.5000000000000001E-2</v>
      </c>
      <c r="U11" s="31">
        <f>IF(AND(rent_shock_years&gt;0,hpi_shock_year&gt;0,U$6&gt;=hpi_shock_year,U$6&lt;hpi_shock_year+rent_shock_years),rent_shock_rate,rent_inflation)</f>
        <v>2.5000000000000001E-2</v>
      </c>
      <c r="V11" s="31">
        <f>IF(AND(rent_shock_years&gt;0,hpi_shock_year&gt;0,V$6&gt;=hpi_shock_year,V$6&lt;hpi_shock_year+rent_shock_years),rent_shock_rate,rent_inflation)</f>
        <v>2.5000000000000001E-2</v>
      </c>
      <c r="W11" s="31">
        <f>IF(AND(rent_shock_years&gt;0,hpi_shock_year&gt;0,W$6&gt;=hpi_shock_year,W$6&lt;hpi_shock_year+rent_shock_years),rent_shock_rate,rent_inflation)</f>
        <v>2.5000000000000001E-2</v>
      </c>
      <c r="X11" s="31">
        <f>IF(AND(rent_shock_years&gt;0,hpi_shock_year&gt;0,X$6&gt;=hpi_shock_year,X$6&lt;hpi_shock_year+rent_shock_years),rent_shock_rate,rent_inflation)</f>
        <v>2.5000000000000001E-2</v>
      </c>
      <c r="Y11" s="31">
        <f>IF(AND(rent_shock_years&gt;0,hpi_shock_year&gt;0,Y$6&gt;=hpi_shock_year,Y$6&lt;hpi_shock_year+rent_shock_years),rent_shock_rate,rent_inflation)</f>
        <v>2.5000000000000001E-2</v>
      </c>
      <c r="Z11" s="31">
        <f>IF(AND(rent_shock_years&gt;0,hpi_shock_year&gt;0,Z$6&gt;=hpi_shock_year,Z$6&lt;hpi_shock_year+rent_shock_years),rent_shock_rate,rent_inflation)</f>
        <v>2.5000000000000001E-2</v>
      </c>
      <c r="AA11" s="31">
        <f>IF(AND(rent_shock_years&gt;0,hpi_shock_year&gt;0,AA$6&gt;=hpi_shock_year,AA$6&lt;hpi_shock_year+rent_shock_years),rent_shock_rate,rent_inflation)</f>
        <v>2.5000000000000001E-2</v>
      </c>
      <c r="AB11" s="31">
        <f>IF(AND(rent_shock_years&gt;0,hpi_shock_year&gt;0,AB$6&gt;=hpi_shock_year,AB$6&lt;hpi_shock_year+rent_shock_years),rent_shock_rate,rent_inflation)</f>
        <v>2.5000000000000001E-2</v>
      </c>
      <c r="AC11" s="31">
        <f>IF(AND(rent_shock_years&gt;0,hpi_shock_year&gt;0,AC$6&gt;=hpi_shock_year,AC$6&lt;hpi_shock_year+rent_shock_years),rent_shock_rate,rent_inflation)</f>
        <v>2.5000000000000001E-2</v>
      </c>
      <c r="AD11" s="31">
        <f>IF(AND(rent_shock_years&gt;0,hpi_shock_year&gt;0,AD$6&gt;=hpi_shock_year,AD$6&lt;hpi_shock_year+rent_shock_years),rent_shock_rate,rent_inflation)</f>
        <v>2.5000000000000001E-2</v>
      </c>
      <c r="AE11" s="31">
        <f>IF(AND(rent_shock_years&gt;0,hpi_shock_year&gt;0,AE$6&gt;=hpi_shock_year,AE$6&lt;hpi_shock_year+rent_shock_years),rent_shock_rate,rent_inflation)</f>
        <v>2.5000000000000001E-2</v>
      </c>
      <c r="AF11" s="31">
        <f>IF(AND(rent_shock_years&gt;0,hpi_shock_year&gt;0,AF$6&gt;=hpi_shock_year,AF$6&lt;hpi_shock_year+rent_shock_years),rent_shock_rate,rent_inflation)</f>
        <v>2.5000000000000001E-2</v>
      </c>
      <c r="AG11" s="31">
        <f>IF(AND(rent_shock_years&gt;0,hpi_shock_year&gt;0,AG$6&gt;=hpi_shock_year,AG$6&lt;hpi_shock_year+rent_shock_years),rent_shock_rate,rent_inflation)</f>
        <v>2.5000000000000001E-2</v>
      </c>
      <c r="AH11" s="31">
        <f>IF(AND(rent_shock_years&gt;0,hpi_shock_year&gt;0,AH$6&gt;=hpi_shock_year,AH$6&lt;hpi_shock_year+rent_shock_years),rent_shock_rate,rent_inflation)</f>
        <v>2.5000000000000001E-2</v>
      </c>
      <c r="AI11" s="31">
        <f>IF(AND(rent_shock_years&gt;0,hpi_shock_year&gt;0,AI$6&gt;=hpi_shock_year,AI$6&lt;hpi_shock_year+rent_shock_years),rent_shock_rate,rent_inflation)</f>
        <v>2.5000000000000001E-2</v>
      </c>
      <c r="AJ11" s="31">
        <f>IF(AND(rent_shock_years&gt;0,hpi_shock_year&gt;0,AJ$6&gt;=hpi_shock_year,AJ$6&lt;hpi_shock_year+rent_shock_years),rent_shock_rate,rent_inflation)</f>
        <v>2.5000000000000001E-2</v>
      </c>
      <c r="AK11" s="31">
        <f>IF(AND(rent_shock_years&gt;0,hpi_shock_year&gt;0,AK$6&gt;=hpi_shock_year,AK$6&lt;hpi_shock_year+rent_shock_years),rent_shock_rate,rent_inflation)</f>
        <v>2.5000000000000001E-2</v>
      </c>
      <c r="AL11" s="31">
        <f>IF(AND(rent_shock_years&gt;0,hpi_shock_year&gt;0,AL$6&gt;=hpi_shock_year,AL$6&lt;hpi_shock_year+rent_shock_years),rent_shock_rate,rent_inflation)</f>
        <v>2.5000000000000001E-2</v>
      </c>
      <c r="AM11" s="31">
        <f>IF(AND(rent_shock_years&gt;0,hpi_shock_year&gt;0,AM$6&gt;=hpi_shock_year,AM$6&lt;hpi_shock_year+rent_shock_years),rent_shock_rate,rent_inflation)</f>
        <v>2.5000000000000001E-2</v>
      </c>
      <c r="AN11" s="31">
        <f>IF(AND(rent_shock_years&gt;0,hpi_shock_year&gt;0,AN$6&gt;=hpi_shock_year,AN$6&lt;hpi_shock_year+rent_shock_years),rent_shock_rate,rent_inflation)</f>
        <v>2.5000000000000001E-2</v>
      </c>
      <c r="AO11" s="31">
        <f>IF(AND(rent_shock_years&gt;0,hpi_shock_year&gt;0,AO$6&gt;=hpi_shock_year,AO$6&lt;hpi_shock_year+rent_shock_years),rent_shock_rate,rent_inflation)</f>
        <v>2.5000000000000001E-2</v>
      </c>
      <c r="AP11" s="31">
        <f>IF(AND(rent_shock_years&gt;0,hpi_shock_year&gt;0,AP$6&gt;=hpi_shock_year,AP$6&lt;hpi_shock_year+rent_shock_years),rent_shock_rate,rent_inflation)</f>
        <v>2.5000000000000001E-2</v>
      </c>
      <c r="AQ11" s="31">
        <f>IF(AND(rent_shock_years&gt;0,hpi_shock_year&gt;0,AQ$6&gt;=hpi_shock_year,AQ$6&lt;hpi_shock_year+rent_shock_years),rent_shock_rate,rent_inflation)</f>
        <v>2.5000000000000001E-2</v>
      </c>
      <c r="AR11" s="31">
        <f>IF(AND(rent_shock_years&gt;0,hpi_shock_year&gt;0,AR$6&gt;=hpi_shock_year,AR$6&lt;hpi_shock_year+rent_shock_years),rent_shock_rate,rent_inflation)</f>
        <v>2.5000000000000001E-2</v>
      </c>
      <c r="AS11" s="31">
        <f>IF(AND(rent_shock_years&gt;0,hpi_shock_year&gt;0,AS$6&gt;=hpi_shock_year,AS$6&lt;hpi_shock_year+rent_shock_years),rent_shock_rate,rent_inflation)</f>
        <v>2.5000000000000001E-2</v>
      </c>
      <c r="AT11" s="31">
        <f>IF(AND(rent_shock_years&gt;0,hpi_shock_year&gt;0,AT$6&gt;=hpi_shock_year,AT$6&lt;hpi_shock_year+rent_shock_years),rent_shock_rate,rent_inflation)</f>
        <v>2.5000000000000001E-2</v>
      </c>
      <c r="AU11" s="31">
        <f>IF(AND(rent_shock_years&gt;0,hpi_shock_year&gt;0,AU$6&gt;=hpi_shock_year,AU$6&lt;hpi_shock_year+rent_shock_years),rent_shock_rate,rent_inflation)</f>
        <v>2.5000000000000001E-2</v>
      </c>
      <c r="AV11" s="31">
        <f>IF(AND(rent_shock_years&gt;0,hpi_shock_year&gt;0,AV$6&gt;=hpi_shock_year,AV$6&lt;hpi_shock_year+rent_shock_years),rent_shock_rate,rent_inflation)</f>
        <v>2.5000000000000001E-2</v>
      </c>
      <c r="AW11" s="31">
        <f>IF(AND(rent_shock_years&gt;0,hpi_shock_year&gt;0,AW$6&gt;=hpi_shock_year,AW$6&lt;hpi_shock_year+rent_shock_years),rent_shock_rate,rent_inflation)</f>
        <v>2.5000000000000001E-2</v>
      </c>
      <c r="AX11" s="31">
        <f>IF(AND(rent_shock_years&gt;0,hpi_shock_year&gt;0,AX$6&gt;=hpi_shock_year,AX$6&lt;hpi_shock_year+rent_shock_years),rent_shock_rate,rent_inflation)</f>
        <v>2.5000000000000001E-2</v>
      </c>
      <c r="AY11" s="31">
        <f>IF(AND(rent_shock_years&gt;0,hpi_shock_year&gt;0,AY$6&gt;=hpi_shock_year,AY$6&lt;hpi_shock_year+rent_shock_years),rent_shock_rate,rent_inflation)</f>
        <v>2.5000000000000001E-2</v>
      </c>
      <c r="AZ11" s="31">
        <f>IF(AND(rent_shock_years&gt;0,hpi_shock_year&gt;0,AZ$6&gt;=hpi_shock_year,AZ$6&lt;hpi_shock_year+rent_shock_years),rent_shock_rate,rent_inflation)</f>
        <v>2.5000000000000001E-2</v>
      </c>
      <c r="BA11" s="31">
        <f>IF(AND(rent_shock_years&gt;0,hpi_shock_year&gt;0,BA$6&gt;=hpi_shock_year,BA$6&lt;hpi_shock_year+rent_shock_years),rent_shock_rate,rent_inflation)</f>
        <v>2.5000000000000001E-2</v>
      </c>
    </row>
    <row r="12" spans="1:53" x14ac:dyDescent="0.3">
      <c r="A12" s="3" t="s">
        <v>92</v>
      </c>
      <c r="B12" t="s">
        <v>91</v>
      </c>
      <c r="D12" s="32">
        <f t="shared" ref="D12:AI12" si="2">IF(D$6=1,1,C12*(1+D11))</f>
        <v>1</v>
      </c>
      <c r="E12" s="32">
        <f t="shared" si="2"/>
        <v>1.0249999999999999</v>
      </c>
      <c r="F12" s="32">
        <f t="shared" si="2"/>
        <v>1.0506249999999999</v>
      </c>
      <c r="G12" s="32">
        <f t="shared" si="2"/>
        <v>1.0768906249999999</v>
      </c>
      <c r="H12" s="32">
        <f t="shared" si="2"/>
        <v>1.1038128906249998</v>
      </c>
      <c r="I12" s="32">
        <f t="shared" si="2"/>
        <v>1.1314082128906247</v>
      </c>
      <c r="J12" s="32">
        <f t="shared" si="2"/>
        <v>1.1596934182128902</v>
      </c>
      <c r="K12" s="32">
        <f t="shared" si="2"/>
        <v>1.1886857536682123</v>
      </c>
      <c r="L12" s="32">
        <f t="shared" si="2"/>
        <v>1.2184028975099175</v>
      </c>
      <c r="M12" s="32">
        <f t="shared" si="2"/>
        <v>1.2488629699476652</v>
      </c>
      <c r="N12" s="32">
        <f t="shared" si="2"/>
        <v>1.2800845441963566</v>
      </c>
      <c r="O12" s="32">
        <f t="shared" si="2"/>
        <v>1.3120866578012655</v>
      </c>
      <c r="P12" s="32">
        <f t="shared" si="2"/>
        <v>1.3448888242462971</v>
      </c>
      <c r="Q12" s="32">
        <f t="shared" si="2"/>
        <v>1.3785110448524545</v>
      </c>
      <c r="R12" s="32">
        <f t="shared" si="2"/>
        <v>1.4129738209737657</v>
      </c>
      <c r="S12" s="32">
        <f t="shared" si="2"/>
        <v>1.4482981664981096</v>
      </c>
      <c r="T12" s="32">
        <f t="shared" si="2"/>
        <v>1.4845056206605622</v>
      </c>
      <c r="U12" s="32">
        <f t="shared" si="2"/>
        <v>1.5216182611770761</v>
      </c>
      <c r="V12" s="32">
        <f t="shared" si="2"/>
        <v>1.5596587177065029</v>
      </c>
      <c r="W12" s="32">
        <f t="shared" si="2"/>
        <v>1.5986501856491653</v>
      </c>
      <c r="X12" s="32">
        <f t="shared" si="2"/>
        <v>1.6386164402903942</v>
      </c>
      <c r="Y12" s="32">
        <f t="shared" si="2"/>
        <v>1.6795818512976539</v>
      </c>
      <c r="Z12" s="32">
        <f t="shared" si="2"/>
        <v>1.721571397580095</v>
      </c>
      <c r="AA12" s="32">
        <f t="shared" si="2"/>
        <v>1.7646106825195973</v>
      </c>
      <c r="AB12" s="32">
        <f t="shared" si="2"/>
        <v>1.8087259495825871</v>
      </c>
      <c r="AC12" s="32">
        <f t="shared" si="2"/>
        <v>1.8539440983221516</v>
      </c>
      <c r="AD12" s="32">
        <f t="shared" si="2"/>
        <v>1.9002927007802053</v>
      </c>
      <c r="AE12" s="32">
        <f t="shared" si="2"/>
        <v>1.9478000182997102</v>
      </c>
      <c r="AF12" s="32">
        <f t="shared" si="2"/>
        <v>1.9964950187572028</v>
      </c>
      <c r="AG12" s="32">
        <f t="shared" si="2"/>
        <v>2.0464073942261325</v>
      </c>
      <c r="AH12" s="32">
        <f t="shared" si="2"/>
        <v>2.0975675790817858</v>
      </c>
      <c r="AI12" s="32">
        <f t="shared" si="2"/>
        <v>2.1500067685588302</v>
      </c>
      <c r="AJ12" s="32">
        <f t="shared" ref="AJ12:BA12" si="3">IF(AJ$6=1,1,AI12*(1+AJ11))</f>
        <v>2.2037569377728006</v>
      </c>
      <c r="AK12" s="32">
        <f t="shared" si="3"/>
        <v>2.2588508612171205</v>
      </c>
      <c r="AL12" s="32">
        <f t="shared" si="3"/>
        <v>2.3153221327475482</v>
      </c>
      <c r="AM12" s="32">
        <f t="shared" si="3"/>
        <v>2.3732051860662366</v>
      </c>
      <c r="AN12" s="32">
        <f t="shared" si="3"/>
        <v>2.4325353157178924</v>
      </c>
      <c r="AO12" s="32">
        <f t="shared" si="3"/>
        <v>2.4933486986108395</v>
      </c>
      <c r="AP12" s="32">
        <f t="shared" si="3"/>
        <v>2.5556824160761105</v>
      </c>
      <c r="AQ12" s="32">
        <f t="shared" si="3"/>
        <v>2.6195744764780131</v>
      </c>
      <c r="AR12" s="32">
        <f t="shared" si="3"/>
        <v>2.6850638383899632</v>
      </c>
      <c r="AS12" s="32">
        <f t="shared" si="3"/>
        <v>2.7521904343497119</v>
      </c>
      <c r="AT12" s="32">
        <f t="shared" si="3"/>
        <v>2.8209951952084547</v>
      </c>
      <c r="AU12" s="32">
        <f t="shared" si="3"/>
        <v>2.8915200750886658</v>
      </c>
      <c r="AV12" s="32">
        <f t="shared" si="3"/>
        <v>2.9638080769658823</v>
      </c>
      <c r="AW12" s="32">
        <f t="shared" si="3"/>
        <v>3.0379032788900293</v>
      </c>
      <c r="AX12" s="32">
        <f t="shared" si="3"/>
        <v>3.1138508608622799</v>
      </c>
      <c r="AY12" s="32">
        <f t="shared" si="3"/>
        <v>3.1916971323838368</v>
      </c>
      <c r="AZ12" s="32">
        <f t="shared" si="3"/>
        <v>3.2714895606934324</v>
      </c>
      <c r="BA12" s="32">
        <f t="shared" si="3"/>
        <v>3.353276799710768</v>
      </c>
    </row>
    <row r="13" spans="1:53" x14ac:dyDescent="0.3">
      <c r="A13" s="3" t="s">
        <v>93</v>
      </c>
      <c r="B13" t="s">
        <v>94</v>
      </c>
      <c r="D13" s="31">
        <f>cpi_general+hpi_premium</f>
        <v>3.5000000000000003E-2</v>
      </c>
      <c r="E13" s="31">
        <f>cpi_general+hpi_premium</f>
        <v>3.5000000000000003E-2</v>
      </c>
      <c r="F13" s="31">
        <f>cpi_general+hpi_premium</f>
        <v>3.5000000000000003E-2</v>
      </c>
      <c r="G13" s="31">
        <f>cpi_general+hpi_premium</f>
        <v>3.5000000000000003E-2</v>
      </c>
      <c r="H13" s="31">
        <f>cpi_general+hpi_premium</f>
        <v>3.5000000000000003E-2</v>
      </c>
      <c r="I13" s="31">
        <f>cpi_general+hpi_premium</f>
        <v>3.5000000000000003E-2</v>
      </c>
      <c r="J13" s="31">
        <f>cpi_general+hpi_premium</f>
        <v>3.5000000000000003E-2</v>
      </c>
      <c r="K13" s="31">
        <f>cpi_general+hpi_premium</f>
        <v>3.5000000000000003E-2</v>
      </c>
      <c r="L13" s="31">
        <f>cpi_general+hpi_premium</f>
        <v>3.5000000000000003E-2</v>
      </c>
      <c r="M13" s="31">
        <f>cpi_general+hpi_premium</f>
        <v>3.5000000000000003E-2</v>
      </c>
      <c r="N13" s="31">
        <f>cpi_general+hpi_premium</f>
        <v>3.5000000000000003E-2</v>
      </c>
      <c r="O13" s="31">
        <f>cpi_general+hpi_premium</f>
        <v>3.5000000000000003E-2</v>
      </c>
      <c r="P13" s="31">
        <f>cpi_general+hpi_premium</f>
        <v>3.5000000000000003E-2</v>
      </c>
      <c r="Q13" s="31">
        <f>cpi_general+hpi_premium</f>
        <v>3.5000000000000003E-2</v>
      </c>
      <c r="R13" s="31">
        <f>cpi_general+hpi_premium</f>
        <v>3.5000000000000003E-2</v>
      </c>
      <c r="S13" s="31">
        <f>cpi_general+hpi_premium</f>
        <v>3.5000000000000003E-2</v>
      </c>
      <c r="T13" s="31">
        <f>cpi_general+hpi_premium</f>
        <v>3.5000000000000003E-2</v>
      </c>
      <c r="U13" s="31">
        <f>cpi_general+hpi_premium</f>
        <v>3.5000000000000003E-2</v>
      </c>
      <c r="V13" s="31">
        <f>cpi_general+hpi_premium</f>
        <v>3.5000000000000003E-2</v>
      </c>
      <c r="W13" s="31">
        <f>cpi_general+hpi_premium</f>
        <v>3.5000000000000003E-2</v>
      </c>
      <c r="X13" s="31">
        <f>cpi_general+hpi_premium</f>
        <v>3.5000000000000003E-2</v>
      </c>
      <c r="Y13" s="31">
        <f>cpi_general+hpi_premium</f>
        <v>3.5000000000000003E-2</v>
      </c>
      <c r="Z13" s="31">
        <f>cpi_general+hpi_premium</f>
        <v>3.5000000000000003E-2</v>
      </c>
      <c r="AA13" s="31">
        <f>cpi_general+hpi_premium</f>
        <v>3.5000000000000003E-2</v>
      </c>
      <c r="AB13" s="31">
        <f>cpi_general+hpi_premium</f>
        <v>3.5000000000000003E-2</v>
      </c>
      <c r="AC13" s="31">
        <f>cpi_general+hpi_premium</f>
        <v>3.5000000000000003E-2</v>
      </c>
      <c r="AD13" s="31">
        <f>cpi_general+hpi_premium</f>
        <v>3.5000000000000003E-2</v>
      </c>
      <c r="AE13" s="31">
        <f>cpi_general+hpi_premium</f>
        <v>3.5000000000000003E-2</v>
      </c>
      <c r="AF13" s="31">
        <f>cpi_general+hpi_premium</f>
        <v>3.5000000000000003E-2</v>
      </c>
      <c r="AG13" s="31">
        <f>cpi_general+hpi_premium</f>
        <v>3.5000000000000003E-2</v>
      </c>
      <c r="AH13" s="31">
        <f>cpi_general+hpi_premium</f>
        <v>3.5000000000000003E-2</v>
      </c>
      <c r="AI13" s="31">
        <f>cpi_general+hpi_premium</f>
        <v>3.5000000000000003E-2</v>
      </c>
      <c r="AJ13" s="31">
        <f>cpi_general+hpi_premium</f>
        <v>3.5000000000000003E-2</v>
      </c>
      <c r="AK13" s="31">
        <f>cpi_general+hpi_premium</f>
        <v>3.5000000000000003E-2</v>
      </c>
      <c r="AL13" s="31">
        <f>cpi_general+hpi_premium</f>
        <v>3.5000000000000003E-2</v>
      </c>
      <c r="AM13" s="31">
        <f>cpi_general+hpi_premium</f>
        <v>3.5000000000000003E-2</v>
      </c>
      <c r="AN13" s="31">
        <f>cpi_general+hpi_premium</f>
        <v>3.5000000000000003E-2</v>
      </c>
      <c r="AO13" s="31">
        <f>cpi_general+hpi_premium</f>
        <v>3.5000000000000003E-2</v>
      </c>
      <c r="AP13" s="31">
        <f>cpi_general+hpi_premium</f>
        <v>3.5000000000000003E-2</v>
      </c>
      <c r="AQ13" s="31">
        <f>cpi_general+hpi_premium</f>
        <v>3.5000000000000003E-2</v>
      </c>
      <c r="AR13" s="31">
        <f>cpi_general+hpi_premium</f>
        <v>3.5000000000000003E-2</v>
      </c>
      <c r="AS13" s="31">
        <f>cpi_general+hpi_premium</f>
        <v>3.5000000000000003E-2</v>
      </c>
      <c r="AT13" s="31">
        <f>cpi_general+hpi_premium</f>
        <v>3.5000000000000003E-2</v>
      </c>
      <c r="AU13" s="31">
        <f>cpi_general+hpi_premium</f>
        <v>3.5000000000000003E-2</v>
      </c>
      <c r="AV13" s="31">
        <f>cpi_general+hpi_premium</f>
        <v>3.5000000000000003E-2</v>
      </c>
      <c r="AW13" s="31">
        <f>cpi_general+hpi_premium</f>
        <v>3.5000000000000003E-2</v>
      </c>
      <c r="AX13" s="31">
        <f>cpi_general+hpi_premium</f>
        <v>3.5000000000000003E-2</v>
      </c>
      <c r="AY13" s="31">
        <f>cpi_general+hpi_premium</f>
        <v>3.5000000000000003E-2</v>
      </c>
      <c r="AZ13" s="31">
        <f>cpi_general+hpi_premium</f>
        <v>3.5000000000000003E-2</v>
      </c>
      <c r="BA13" s="31">
        <f>cpi_general+hpi_premium</f>
        <v>3.5000000000000003E-2</v>
      </c>
    </row>
    <row r="14" spans="1:53" x14ac:dyDescent="0.3">
      <c r="A14" s="3" t="s">
        <v>95</v>
      </c>
      <c r="B14" t="s">
        <v>96</v>
      </c>
      <c r="D14" s="31">
        <f>IF(AND(hpi_shock_year&gt;0,D$6=hpi_shock_year),hpi_shock_pct,0)</f>
        <v>0</v>
      </c>
      <c r="E14" s="31">
        <f>IF(AND(hpi_shock_year&gt;0,E$6=hpi_shock_year),hpi_shock_pct,0)</f>
        <v>0</v>
      </c>
      <c r="F14" s="31">
        <f>IF(AND(hpi_shock_year&gt;0,F$6=hpi_shock_year),hpi_shock_pct,0)</f>
        <v>0</v>
      </c>
      <c r="G14" s="31">
        <f>IF(AND(hpi_shock_year&gt;0,G$6=hpi_shock_year),hpi_shock_pct,0)</f>
        <v>0</v>
      </c>
      <c r="H14" s="31">
        <f>IF(AND(hpi_shock_year&gt;0,H$6=hpi_shock_year),hpi_shock_pct,0)</f>
        <v>0</v>
      </c>
      <c r="I14" s="31">
        <f>IF(AND(hpi_shock_year&gt;0,I$6=hpi_shock_year),hpi_shock_pct,0)</f>
        <v>0</v>
      </c>
      <c r="J14" s="31">
        <f>IF(AND(hpi_shock_year&gt;0,J$6=hpi_shock_year),hpi_shock_pct,0)</f>
        <v>0</v>
      </c>
      <c r="K14" s="31">
        <f>IF(AND(hpi_shock_year&gt;0,K$6=hpi_shock_year),hpi_shock_pct,0)</f>
        <v>0</v>
      </c>
      <c r="L14" s="31">
        <f>IF(AND(hpi_shock_year&gt;0,L$6=hpi_shock_year),hpi_shock_pct,0)</f>
        <v>0</v>
      </c>
      <c r="M14" s="31">
        <f>IF(AND(hpi_shock_year&gt;0,M$6=hpi_shock_year),hpi_shock_pct,0)</f>
        <v>0</v>
      </c>
      <c r="N14" s="31">
        <f>IF(AND(hpi_shock_year&gt;0,N$6=hpi_shock_year),hpi_shock_pct,0)</f>
        <v>0</v>
      </c>
      <c r="O14" s="31">
        <f>IF(AND(hpi_shock_year&gt;0,O$6=hpi_shock_year),hpi_shock_pct,0)</f>
        <v>0</v>
      </c>
      <c r="P14" s="31">
        <f>IF(AND(hpi_shock_year&gt;0,P$6=hpi_shock_year),hpi_shock_pct,0)</f>
        <v>0</v>
      </c>
      <c r="Q14" s="31">
        <f>IF(AND(hpi_shock_year&gt;0,Q$6=hpi_shock_year),hpi_shock_pct,0)</f>
        <v>0</v>
      </c>
      <c r="R14" s="31">
        <f>IF(AND(hpi_shock_year&gt;0,R$6=hpi_shock_year),hpi_shock_pct,0)</f>
        <v>0</v>
      </c>
      <c r="S14" s="31">
        <f>IF(AND(hpi_shock_year&gt;0,S$6=hpi_shock_year),hpi_shock_pct,0)</f>
        <v>0</v>
      </c>
      <c r="T14" s="31">
        <f>IF(AND(hpi_shock_year&gt;0,T$6=hpi_shock_year),hpi_shock_pct,0)</f>
        <v>0</v>
      </c>
      <c r="U14" s="31">
        <f>IF(AND(hpi_shock_year&gt;0,U$6=hpi_shock_year),hpi_shock_pct,0)</f>
        <v>0</v>
      </c>
      <c r="V14" s="31">
        <f>IF(AND(hpi_shock_year&gt;0,V$6=hpi_shock_year),hpi_shock_pct,0)</f>
        <v>0</v>
      </c>
      <c r="W14" s="31">
        <f>IF(AND(hpi_shock_year&gt;0,W$6=hpi_shock_year),hpi_shock_pct,0)</f>
        <v>0</v>
      </c>
      <c r="X14" s="31">
        <f>IF(AND(hpi_shock_year&gt;0,X$6=hpi_shock_year),hpi_shock_pct,0)</f>
        <v>0</v>
      </c>
      <c r="Y14" s="31">
        <f>IF(AND(hpi_shock_year&gt;0,Y$6=hpi_shock_year),hpi_shock_pct,0)</f>
        <v>0</v>
      </c>
      <c r="Z14" s="31">
        <f>IF(AND(hpi_shock_year&gt;0,Z$6=hpi_shock_year),hpi_shock_pct,0)</f>
        <v>0</v>
      </c>
      <c r="AA14" s="31">
        <f>IF(AND(hpi_shock_year&gt;0,AA$6=hpi_shock_year),hpi_shock_pct,0)</f>
        <v>0</v>
      </c>
      <c r="AB14" s="31">
        <f>IF(AND(hpi_shock_year&gt;0,AB$6=hpi_shock_year),hpi_shock_pct,0)</f>
        <v>0</v>
      </c>
      <c r="AC14" s="31">
        <f>IF(AND(hpi_shock_year&gt;0,AC$6=hpi_shock_year),hpi_shock_pct,0)</f>
        <v>0</v>
      </c>
      <c r="AD14" s="31">
        <f>IF(AND(hpi_shock_year&gt;0,AD$6=hpi_shock_year),hpi_shock_pct,0)</f>
        <v>0</v>
      </c>
      <c r="AE14" s="31">
        <f>IF(AND(hpi_shock_year&gt;0,AE$6=hpi_shock_year),hpi_shock_pct,0)</f>
        <v>0</v>
      </c>
      <c r="AF14" s="31">
        <f>IF(AND(hpi_shock_year&gt;0,AF$6=hpi_shock_year),hpi_shock_pct,0)</f>
        <v>0</v>
      </c>
      <c r="AG14" s="31">
        <f>IF(AND(hpi_shock_year&gt;0,AG$6=hpi_shock_year),hpi_shock_pct,0)</f>
        <v>0</v>
      </c>
      <c r="AH14" s="31">
        <f>IF(AND(hpi_shock_year&gt;0,AH$6=hpi_shock_year),hpi_shock_pct,0)</f>
        <v>0</v>
      </c>
      <c r="AI14" s="31">
        <f>IF(AND(hpi_shock_year&gt;0,AI$6=hpi_shock_year),hpi_shock_pct,0)</f>
        <v>0</v>
      </c>
      <c r="AJ14" s="31">
        <f>IF(AND(hpi_shock_year&gt;0,AJ$6=hpi_shock_year),hpi_shock_pct,0)</f>
        <v>0</v>
      </c>
      <c r="AK14" s="31">
        <f>IF(AND(hpi_shock_year&gt;0,AK$6=hpi_shock_year),hpi_shock_pct,0)</f>
        <v>0</v>
      </c>
      <c r="AL14" s="31">
        <f>IF(AND(hpi_shock_year&gt;0,AL$6=hpi_shock_year),hpi_shock_pct,0)</f>
        <v>0</v>
      </c>
      <c r="AM14" s="31">
        <f>IF(AND(hpi_shock_year&gt;0,AM$6=hpi_shock_year),hpi_shock_pct,0)</f>
        <v>0</v>
      </c>
      <c r="AN14" s="31">
        <f>IF(AND(hpi_shock_year&gt;0,AN$6=hpi_shock_year),hpi_shock_pct,0)</f>
        <v>0</v>
      </c>
      <c r="AO14" s="31">
        <f>IF(AND(hpi_shock_year&gt;0,AO$6=hpi_shock_year),hpi_shock_pct,0)</f>
        <v>0</v>
      </c>
      <c r="AP14" s="31">
        <f>IF(AND(hpi_shock_year&gt;0,AP$6=hpi_shock_year),hpi_shock_pct,0)</f>
        <v>0</v>
      </c>
      <c r="AQ14" s="31">
        <f>IF(AND(hpi_shock_year&gt;0,AQ$6=hpi_shock_year),hpi_shock_pct,0)</f>
        <v>0</v>
      </c>
      <c r="AR14" s="31">
        <f>IF(AND(hpi_shock_year&gt;0,AR$6=hpi_shock_year),hpi_shock_pct,0)</f>
        <v>0</v>
      </c>
      <c r="AS14" s="31">
        <f>IF(AND(hpi_shock_year&gt;0,AS$6=hpi_shock_year),hpi_shock_pct,0)</f>
        <v>0</v>
      </c>
      <c r="AT14" s="31">
        <f>IF(AND(hpi_shock_year&gt;0,AT$6=hpi_shock_year),hpi_shock_pct,0)</f>
        <v>0</v>
      </c>
      <c r="AU14" s="31">
        <f>IF(AND(hpi_shock_year&gt;0,AU$6=hpi_shock_year),hpi_shock_pct,0)</f>
        <v>0</v>
      </c>
      <c r="AV14" s="31">
        <f>IF(AND(hpi_shock_year&gt;0,AV$6=hpi_shock_year),hpi_shock_pct,0)</f>
        <v>0</v>
      </c>
      <c r="AW14" s="31">
        <f>IF(AND(hpi_shock_year&gt;0,AW$6=hpi_shock_year),hpi_shock_pct,0)</f>
        <v>0</v>
      </c>
      <c r="AX14" s="31">
        <f>IF(AND(hpi_shock_year&gt;0,AX$6=hpi_shock_year),hpi_shock_pct,0)</f>
        <v>0</v>
      </c>
      <c r="AY14" s="31">
        <f>IF(AND(hpi_shock_year&gt;0,AY$6=hpi_shock_year),hpi_shock_pct,0)</f>
        <v>0</v>
      </c>
      <c r="AZ14" s="31">
        <f>IF(AND(hpi_shock_year&gt;0,AZ$6=hpi_shock_year),hpi_shock_pct,0)</f>
        <v>0</v>
      </c>
      <c r="BA14" s="31">
        <f>IF(AND(hpi_shock_year&gt;0,BA$6=hpi_shock_year),hpi_shock_pct,0)</f>
        <v>0</v>
      </c>
    </row>
    <row r="15" spans="1:53" x14ac:dyDescent="0.3">
      <c r="A15" s="3" t="s">
        <v>97</v>
      </c>
      <c r="B15" t="s">
        <v>98</v>
      </c>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row>
    <row r="16" spans="1:53" x14ac:dyDescent="0.3">
      <c r="A16" s="3" t="s">
        <v>99</v>
      </c>
      <c r="B16" t="s">
        <v>11</v>
      </c>
      <c r="D16" s="31">
        <f t="shared" ref="D16:AI16" si="4">IF(D15&lt;&gt;"",D15,D13+D14)</f>
        <v>3.5000000000000003E-2</v>
      </c>
      <c r="E16" s="31">
        <f t="shared" si="4"/>
        <v>3.5000000000000003E-2</v>
      </c>
      <c r="F16" s="31">
        <f t="shared" si="4"/>
        <v>3.5000000000000003E-2</v>
      </c>
      <c r="G16" s="31">
        <f t="shared" si="4"/>
        <v>3.5000000000000003E-2</v>
      </c>
      <c r="H16" s="31">
        <f t="shared" si="4"/>
        <v>3.5000000000000003E-2</v>
      </c>
      <c r="I16" s="31">
        <f t="shared" si="4"/>
        <v>3.5000000000000003E-2</v>
      </c>
      <c r="J16" s="31">
        <f t="shared" si="4"/>
        <v>3.5000000000000003E-2</v>
      </c>
      <c r="K16" s="31">
        <f t="shared" si="4"/>
        <v>3.5000000000000003E-2</v>
      </c>
      <c r="L16" s="31">
        <f t="shared" si="4"/>
        <v>3.5000000000000003E-2</v>
      </c>
      <c r="M16" s="31">
        <f t="shared" si="4"/>
        <v>3.5000000000000003E-2</v>
      </c>
      <c r="N16" s="31">
        <f t="shared" si="4"/>
        <v>3.5000000000000003E-2</v>
      </c>
      <c r="O16" s="31">
        <f t="shared" si="4"/>
        <v>3.5000000000000003E-2</v>
      </c>
      <c r="P16" s="31">
        <f t="shared" si="4"/>
        <v>3.5000000000000003E-2</v>
      </c>
      <c r="Q16" s="31">
        <f t="shared" si="4"/>
        <v>3.5000000000000003E-2</v>
      </c>
      <c r="R16" s="31">
        <f t="shared" si="4"/>
        <v>3.5000000000000003E-2</v>
      </c>
      <c r="S16" s="31">
        <f t="shared" si="4"/>
        <v>3.5000000000000003E-2</v>
      </c>
      <c r="T16" s="31">
        <f t="shared" si="4"/>
        <v>3.5000000000000003E-2</v>
      </c>
      <c r="U16" s="31">
        <f t="shared" si="4"/>
        <v>3.5000000000000003E-2</v>
      </c>
      <c r="V16" s="31">
        <f t="shared" si="4"/>
        <v>3.5000000000000003E-2</v>
      </c>
      <c r="W16" s="31">
        <f t="shared" si="4"/>
        <v>3.5000000000000003E-2</v>
      </c>
      <c r="X16" s="31">
        <f t="shared" si="4"/>
        <v>3.5000000000000003E-2</v>
      </c>
      <c r="Y16" s="31">
        <f t="shared" si="4"/>
        <v>3.5000000000000003E-2</v>
      </c>
      <c r="Z16" s="31">
        <f t="shared" si="4"/>
        <v>3.5000000000000003E-2</v>
      </c>
      <c r="AA16" s="31">
        <f t="shared" si="4"/>
        <v>3.5000000000000003E-2</v>
      </c>
      <c r="AB16" s="31">
        <f t="shared" si="4"/>
        <v>3.5000000000000003E-2</v>
      </c>
      <c r="AC16" s="31">
        <f t="shared" si="4"/>
        <v>3.5000000000000003E-2</v>
      </c>
      <c r="AD16" s="31">
        <f t="shared" si="4"/>
        <v>3.5000000000000003E-2</v>
      </c>
      <c r="AE16" s="31">
        <f t="shared" si="4"/>
        <v>3.5000000000000003E-2</v>
      </c>
      <c r="AF16" s="31">
        <f t="shared" si="4"/>
        <v>3.5000000000000003E-2</v>
      </c>
      <c r="AG16" s="31">
        <f t="shared" si="4"/>
        <v>3.5000000000000003E-2</v>
      </c>
      <c r="AH16" s="31">
        <f t="shared" si="4"/>
        <v>3.5000000000000003E-2</v>
      </c>
      <c r="AI16" s="31">
        <f t="shared" si="4"/>
        <v>3.5000000000000003E-2</v>
      </c>
      <c r="AJ16" s="31">
        <f t="shared" ref="AJ16:BA16" si="5">IF(AJ15&lt;&gt;"",AJ15,AJ13+AJ14)</f>
        <v>3.5000000000000003E-2</v>
      </c>
      <c r="AK16" s="31">
        <f t="shared" si="5"/>
        <v>3.5000000000000003E-2</v>
      </c>
      <c r="AL16" s="31">
        <f t="shared" si="5"/>
        <v>3.5000000000000003E-2</v>
      </c>
      <c r="AM16" s="31">
        <f t="shared" si="5"/>
        <v>3.5000000000000003E-2</v>
      </c>
      <c r="AN16" s="31">
        <f t="shared" si="5"/>
        <v>3.5000000000000003E-2</v>
      </c>
      <c r="AO16" s="31">
        <f t="shared" si="5"/>
        <v>3.5000000000000003E-2</v>
      </c>
      <c r="AP16" s="31">
        <f t="shared" si="5"/>
        <v>3.5000000000000003E-2</v>
      </c>
      <c r="AQ16" s="31">
        <f t="shared" si="5"/>
        <v>3.5000000000000003E-2</v>
      </c>
      <c r="AR16" s="31">
        <f t="shared" si="5"/>
        <v>3.5000000000000003E-2</v>
      </c>
      <c r="AS16" s="31">
        <f t="shared" si="5"/>
        <v>3.5000000000000003E-2</v>
      </c>
      <c r="AT16" s="31">
        <f t="shared" si="5"/>
        <v>3.5000000000000003E-2</v>
      </c>
      <c r="AU16" s="31">
        <f t="shared" si="5"/>
        <v>3.5000000000000003E-2</v>
      </c>
      <c r="AV16" s="31">
        <f t="shared" si="5"/>
        <v>3.5000000000000003E-2</v>
      </c>
      <c r="AW16" s="31">
        <f t="shared" si="5"/>
        <v>3.5000000000000003E-2</v>
      </c>
      <c r="AX16" s="31">
        <f t="shared" si="5"/>
        <v>3.5000000000000003E-2</v>
      </c>
      <c r="AY16" s="31">
        <f t="shared" si="5"/>
        <v>3.5000000000000003E-2</v>
      </c>
      <c r="AZ16" s="31">
        <f t="shared" si="5"/>
        <v>3.5000000000000003E-2</v>
      </c>
      <c r="BA16" s="31">
        <f t="shared" si="5"/>
        <v>3.5000000000000003E-2</v>
      </c>
    </row>
    <row r="17" spans="1:53" x14ac:dyDescent="0.3">
      <c r="A17" s="3" t="s">
        <v>100</v>
      </c>
      <c r="B17" t="s">
        <v>91</v>
      </c>
      <c r="D17" s="32">
        <f t="shared" ref="D17:AI17" si="6">IF(D$6=1,1,C17*(1+D16))</f>
        <v>1</v>
      </c>
      <c r="E17" s="32">
        <f t="shared" si="6"/>
        <v>1.0349999999999999</v>
      </c>
      <c r="F17" s="32">
        <f t="shared" si="6"/>
        <v>1.0712249999999999</v>
      </c>
      <c r="G17" s="32">
        <f t="shared" si="6"/>
        <v>1.1087178749999997</v>
      </c>
      <c r="H17" s="32">
        <f t="shared" si="6"/>
        <v>1.1475230006249997</v>
      </c>
      <c r="I17" s="32">
        <f t="shared" si="6"/>
        <v>1.1876863056468745</v>
      </c>
      <c r="J17" s="32">
        <f t="shared" si="6"/>
        <v>1.229255326344515</v>
      </c>
      <c r="K17" s="32">
        <f t="shared" si="6"/>
        <v>1.2722792627665729</v>
      </c>
      <c r="L17" s="32">
        <f t="shared" si="6"/>
        <v>1.3168090369634029</v>
      </c>
      <c r="M17" s="32">
        <f t="shared" si="6"/>
        <v>1.3628973532571218</v>
      </c>
      <c r="N17" s="32">
        <f t="shared" si="6"/>
        <v>1.410598760621121</v>
      </c>
      <c r="O17" s="32">
        <f t="shared" si="6"/>
        <v>1.4599697172428601</v>
      </c>
      <c r="P17" s="32">
        <f t="shared" si="6"/>
        <v>1.5110686573463601</v>
      </c>
      <c r="Q17" s="32">
        <f t="shared" si="6"/>
        <v>1.5639560603534826</v>
      </c>
      <c r="R17" s="32">
        <f t="shared" si="6"/>
        <v>1.6186945224658542</v>
      </c>
      <c r="S17" s="32">
        <f t="shared" si="6"/>
        <v>1.6753488307521589</v>
      </c>
      <c r="T17" s="32">
        <f t="shared" si="6"/>
        <v>1.7339860398284843</v>
      </c>
      <c r="U17" s="32">
        <f t="shared" si="6"/>
        <v>1.7946755512224812</v>
      </c>
      <c r="V17" s="32">
        <f t="shared" si="6"/>
        <v>1.8574891955152679</v>
      </c>
      <c r="W17" s="32">
        <f t="shared" si="6"/>
        <v>1.9225013173583021</v>
      </c>
      <c r="X17" s="32">
        <f t="shared" si="6"/>
        <v>1.9897888634658425</v>
      </c>
      <c r="Y17" s="32">
        <f t="shared" si="6"/>
        <v>2.0594314736871469</v>
      </c>
      <c r="Z17" s="32">
        <f t="shared" si="6"/>
        <v>2.1315115752661966</v>
      </c>
      <c r="AA17" s="32">
        <f t="shared" si="6"/>
        <v>2.2061144804005135</v>
      </c>
      <c r="AB17" s="32">
        <f t="shared" si="6"/>
        <v>2.2833284872145314</v>
      </c>
      <c r="AC17" s="32">
        <f t="shared" si="6"/>
        <v>2.3632449842670398</v>
      </c>
      <c r="AD17" s="32">
        <f t="shared" si="6"/>
        <v>2.4459585587163861</v>
      </c>
      <c r="AE17" s="32">
        <f t="shared" si="6"/>
        <v>2.5315671082714593</v>
      </c>
      <c r="AF17" s="32">
        <f t="shared" si="6"/>
        <v>2.6201719570609603</v>
      </c>
      <c r="AG17" s="32">
        <f t="shared" si="6"/>
        <v>2.7118779755580937</v>
      </c>
      <c r="AH17" s="32">
        <f t="shared" si="6"/>
        <v>2.8067937047026268</v>
      </c>
      <c r="AI17" s="32">
        <f t="shared" si="6"/>
        <v>2.9050314843672185</v>
      </c>
      <c r="AJ17" s="32">
        <f t="shared" ref="AJ17:BA17" si="7">IF(AJ$6=1,1,AI17*(1+AJ16))</f>
        <v>3.0067075863200707</v>
      </c>
      <c r="AK17" s="32">
        <f t="shared" si="7"/>
        <v>3.111942351841273</v>
      </c>
      <c r="AL17" s="32">
        <f t="shared" si="7"/>
        <v>3.2208603341557174</v>
      </c>
      <c r="AM17" s="32">
        <f t="shared" si="7"/>
        <v>3.3335904458511671</v>
      </c>
      <c r="AN17" s="32">
        <f t="shared" si="7"/>
        <v>3.4502661114559579</v>
      </c>
      <c r="AO17" s="32">
        <f t="shared" si="7"/>
        <v>3.571025425356916</v>
      </c>
      <c r="AP17" s="32">
        <f t="shared" si="7"/>
        <v>3.6960113152444078</v>
      </c>
      <c r="AQ17" s="32">
        <f t="shared" si="7"/>
        <v>3.8253717112779619</v>
      </c>
      <c r="AR17" s="32">
        <f t="shared" si="7"/>
        <v>3.9592597211726903</v>
      </c>
      <c r="AS17" s="32">
        <f t="shared" si="7"/>
        <v>4.097833811413734</v>
      </c>
      <c r="AT17" s="32">
        <f t="shared" si="7"/>
        <v>4.2412579948132141</v>
      </c>
      <c r="AU17" s="32">
        <f t="shared" si="7"/>
        <v>4.389702024631676</v>
      </c>
      <c r="AV17" s="32">
        <f t="shared" si="7"/>
        <v>4.5433415954937839</v>
      </c>
      <c r="AW17" s="32">
        <f t="shared" si="7"/>
        <v>4.702358551336066</v>
      </c>
      <c r="AX17" s="32">
        <f t="shared" si="7"/>
        <v>4.866941100632828</v>
      </c>
      <c r="AY17" s="32">
        <f t="shared" si="7"/>
        <v>5.0372840391549767</v>
      </c>
      <c r="AZ17" s="32">
        <f t="shared" si="7"/>
        <v>5.2135889805254001</v>
      </c>
      <c r="BA17" s="32">
        <f t="shared" si="7"/>
        <v>5.3960645948437884</v>
      </c>
    </row>
    <row r="18" spans="1:53" x14ac:dyDescent="0.3">
      <c r="A18" s="3"/>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row>
    <row r="19" spans="1:53" x14ac:dyDescent="0.3">
      <c r="A19" s="3" t="s">
        <v>101</v>
      </c>
      <c r="B19" t="s">
        <v>48</v>
      </c>
      <c r="D19" s="34">
        <f>avg_price*D17</f>
        <v>280000</v>
      </c>
      <c r="E19" s="34">
        <f>avg_price*E17</f>
        <v>289800</v>
      </c>
      <c r="F19" s="34">
        <f>avg_price*F17</f>
        <v>299942.99999999994</v>
      </c>
      <c r="G19" s="34">
        <f>avg_price*G17</f>
        <v>310441.00499999995</v>
      </c>
      <c r="H19" s="34">
        <f>avg_price*H17</f>
        <v>321306.44017499994</v>
      </c>
      <c r="I19" s="34">
        <f>avg_price*I17</f>
        <v>332552.16558112483</v>
      </c>
      <c r="J19" s="34">
        <f>avg_price*J17</f>
        <v>344191.4913764642</v>
      </c>
      <c r="K19" s="34">
        <f>avg_price*K17</f>
        <v>356238.19357464043</v>
      </c>
      <c r="L19" s="34">
        <f>avg_price*L17</f>
        <v>368706.53034975281</v>
      </c>
      <c r="M19" s="34">
        <f>avg_price*M17</f>
        <v>381611.25891199411</v>
      </c>
      <c r="N19" s="34">
        <f>avg_price*N17</f>
        <v>394967.65297391388</v>
      </c>
      <c r="O19" s="34">
        <f>avg_price*O17</f>
        <v>408791.52082800079</v>
      </c>
      <c r="P19" s="34">
        <f>avg_price*P17</f>
        <v>423099.22405698081</v>
      </c>
      <c r="Q19" s="34">
        <f>avg_price*Q17</f>
        <v>437907.69689897512</v>
      </c>
      <c r="R19" s="34">
        <f>avg_price*R17</f>
        <v>453234.46629043919</v>
      </c>
      <c r="S19" s="34">
        <f>avg_price*S17</f>
        <v>469097.6726106045</v>
      </c>
      <c r="T19" s="34">
        <f>avg_price*T17</f>
        <v>485516.09115197562</v>
      </c>
      <c r="U19" s="34">
        <f>avg_price*U17</f>
        <v>502509.15434229473</v>
      </c>
      <c r="V19" s="34">
        <f>avg_price*V17</f>
        <v>520096.97474427504</v>
      </c>
      <c r="W19" s="34">
        <f>avg_price*W17</f>
        <v>538300.36886032461</v>
      </c>
      <c r="X19" s="34">
        <f>avg_price*X17</f>
        <v>557140.88177043595</v>
      </c>
      <c r="Y19" s="34">
        <f>avg_price*Y17</f>
        <v>576640.81263240112</v>
      </c>
      <c r="Z19" s="34">
        <f>avg_price*Z17</f>
        <v>596823.24107453506</v>
      </c>
      <c r="AA19" s="34">
        <f>avg_price*AA17</f>
        <v>617712.05451214383</v>
      </c>
      <c r="AB19" s="34">
        <f>avg_price*AB17</f>
        <v>639331.97642006876</v>
      </c>
      <c r="AC19" s="34">
        <f>avg_price*AC17</f>
        <v>661708.59559477109</v>
      </c>
      <c r="AD19" s="34">
        <f>avg_price*AD17</f>
        <v>684868.39644058817</v>
      </c>
      <c r="AE19" s="34">
        <f>avg_price*AE17</f>
        <v>708838.79031600861</v>
      </c>
      <c r="AF19" s="34">
        <f>avg_price*AF17</f>
        <v>733648.1479770689</v>
      </c>
      <c r="AG19" s="34">
        <f>avg_price*AG17</f>
        <v>759325.83315626625</v>
      </c>
      <c r="AH19" s="34">
        <f>avg_price*AH17</f>
        <v>785902.23731673555</v>
      </c>
      <c r="AI19" s="34">
        <f>avg_price*AI17</f>
        <v>813408.81562282122</v>
      </c>
      <c r="AJ19" s="34">
        <f>avg_price*AJ17</f>
        <v>841878.12416961975</v>
      </c>
      <c r="AK19" s="34">
        <f>avg_price*AK17</f>
        <v>871343.85851555644</v>
      </c>
      <c r="AL19" s="34">
        <f>avg_price*AL17</f>
        <v>901840.89356360084</v>
      </c>
      <c r="AM19" s="34">
        <f>avg_price*AM17</f>
        <v>933405.32483832678</v>
      </c>
      <c r="AN19" s="34">
        <f>avg_price*AN17</f>
        <v>966074.51120766823</v>
      </c>
      <c r="AO19" s="34">
        <f>avg_price*AO17</f>
        <v>999887.11909993645</v>
      </c>
      <c r="AP19" s="34">
        <f>avg_price*AP17</f>
        <v>1034883.1682684342</v>
      </c>
      <c r="AQ19" s="34">
        <f>avg_price*AQ17</f>
        <v>1071104.0791578293</v>
      </c>
      <c r="AR19" s="34">
        <f>avg_price*AR17</f>
        <v>1108592.7219283532</v>
      </c>
      <c r="AS19" s="34">
        <f>avg_price*AS17</f>
        <v>1147393.4671958454</v>
      </c>
      <c r="AT19" s="34">
        <f>avg_price*AT17</f>
        <v>1187552.2385477</v>
      </c>
      <c r="AU19" s="34">
        <f>avg_price*AU17</f>
        <v>1229116.5668968693</v>
      </c>
      <c r="AV19" s="34">
        <f>avg_price*AV17</f>
        <v>1272135.6467382596</v>
      </c>
      <c r="AW19" s="34">
        <f>avg_price*AW17</f>
        <v>1316660.3943740984</v>
      </c>
      <c r="AX19" s="34">
        <f>avg_price*AX17</f>
        <v>1362743.508177192</v>
      </c>
      <c r="AY19" s="34">
        <f>avg_price*AY17</f>
        <v>1410439.5309633934</v>
      </c>
      <c r="AZ19" s="34">
        <f>avg_price*AZ17</f>
        <v>1459804.9145471121</v>
      </c>
      <c r="BA19" s="34">
        <f>avg_price*BA17</f>
        <v>1510898.0865562607</v>
      </c>
    </row>
    <row r="20" spans="1:53" x14ac:dyDescent="0.3">
      <c r="A20" s="3" t="s">
        <v>102</v>
      </c>
      <c r="B20" t="s">
        <v>90</v>
      </c>
      <c r="D20" s="32">
        <f t="shared" ref="D20:AI20" si="8">D10</f>
        <v>1</v>
      </c>
      <c r="E20" s="32">
        <f t="shared" si="8"/>
        <v>1.0249999999999999</v>
      </c>
      <c r="F20" s="32">
        <f t="shared" si="8"/>
        <v>1.0506249999999999</v>
      </c>
      <c r="G20" s="32">
        <f t="shared" si="8"/>
        <v>1.0768906249999999</v>
      </c>
      <c r="H20" s="32">
        <f t="shared" si="8"/>
        <v>1.1038128906249998</v>
      </c>
      <c r="I20" s="32">
        <f t="shared" si="8"/>
        <v>1.1314082128906247</v>
      </c>
      <c r="J20" s="32">
        <f t="shared" si="8"/>
        <v>1.1596934182128902</v>
      </c>
      <c r="K20" s="32">
        <f t="shared" si="8"/>
        <v>1.1886857536682123</v>
      </c>
      <c r="L20" s="32">
        <f t="shared" si="8"/>
        <v>1.2184028975099175</v>
      </c>
      <c r="M20" s="32">
        <f t="shared" si="8"/>
        <v>1.2488629699476652</v>
      </c>
      <c r="N20" s="32">
        <f t="shared" si="8"/>
        <v>1.2800845441963566</v>
      </c>
      <c r="O20" s="32">
        <f t="shared" si="8"/>
        <v>1.3120866578012655</v>
      </c>
      <c r="P20" s="32">
        <f t="shared" si="8"/>
        <v>1.3448888242462971</v>
      </c>
      <c r="Q20" s="32">
        <f t="shared" si="8"/>
        <v>1.3785110448524545</v>
      </c>
      <c r="R20" s="32">
        <f t="shared" si="8"/>
        <v>1.4129738209737657</v>
      </c>
      <c r="S20" s="32">
        <f t="shared" si="8"/>
        <v>1.4482981664981096</v>
      </c>
      <c r="T20" s="32">
        <f t="shared" si="8"/>
        <v>1.4845056206605622</v>
      </c>
      <c r="U20" s="32">
        <f t="shared" si="8"/>
        <v>1.5216182611770761</v>
      </c>
      <c r="V20" s="32">
        <f t="shared" si="8"/>
        <v>1.5596587177065029</v>
      </c>
      <c r="W20" s="32">
        <f t="shared" si="8"/>
        <v>1.5986501856491653</v>
      </c>
      <c r="X20" s="32">
        <f t="shared" si="8"/>
        <v>1.6386164402903942</v>
      </c>
      <c r="Y20" s="32">
        <f t="shared" si="8"/>
        <v>1.6795818512976539</v>
      </c>
      <c r="Z20" s="32">
        <f t="shared" si="8"/>
        <v>1.721571397580095</v>
      </c>
      <c r="AA20" s="32">
        <f t="shared" si="8"/>
        <v>1.7646106825195973</v>
      </c>
      <c r="AB20" s="32">
        <f t="shared" si="8"/>
        <v>1.8087259495825871</v>
      </c>
      <c r="AC20" s="32">
        <f t="shared" si="8"/>
        <v>1.8539440983221516</v>
      </c>
      <c r="AD20" s="32">
        <f t="shared" si="8"/>
        <v>1.9002927007802053</v>
      </c>
      <c r="AE20" s="32">
        <f t="shared" si="8"/>
        <v>1.9478000182997102</v>
      </c>
      <c r="AF20" s="32">
        <f t="shared" si="8"/>
        <v>1.9964950187572028</v>
      </c>
      <c r="AG20" s="32">
        <f t="shared" si="8"/>
        <v>2.0464073942261325</v>
      </c>
      <c r="AH20" s="32">
        <f t="shared" si="8"/>
        <v>2.0975675790817858</v>
      </c>
      <c r="AI20" s="32">
        <f t="shared" si="8"/>
        <v>2.1500067685588302</v>
      </c>
      <c r="AJ20" s="32">
        <f t="shared" ref="AJ20:BA20" si="9">AJ10</f>
        <v>2.2037569377728006</v>
      </c>
      <c r="AK20" s="32">
        <f t="shared" si="9"/>
        <v>2.2588508612171205</v>
      </c>
      <c r="AL20" s="32">
        <f t="shared" si="9"/>
        <v>2.3153221327475482</v>
      </c>
      <c r="AM20" s="32">
        <f t="shared" si="9"/>
        <v>2.3732051860662366</v>
      </c>
      <c r="AN20" s="32">
        <f t="shared" si="9"/>
        <v>2.4325353157178924</v>
      </c>
      <c r="AO20" s="32">
        <f t="shared" si="9"/>
        <v>2.4933486986108395</v>
      </c>
      <c r="AP20" s="32">
        <f t="shared" si="9"/>
        <v>2.5556824160761105</v>
      </c>
      <c r="AQ20" s="32">
        <f t="shared" si="9"/>
        <v>2.6195744764780131</v>
      </c>
      <c r="AR20" s="32">
        <f t="shared" si="9"/>
        <v>2.6850638383899632</v>
      </c>
      <c r="AS20" s="32">
        <f t="shared" si="9"/>
        <v>2.7521904343497119</v>
      </c>
      <c r="AT20" s="32">
        <f t="shared" si="9"/>
        <v>2.8209951952084547</v>
      </c>
      <c r="AU20" s="32">
        <f t="shared" si="9"/>
        <v>2.8915200750886658</v>
      </c>
      <c r="AV20" s="32">
        <f t="shared" si="9"/>
        <v>2.9638080769658823</v>
      </c>
      <c r="AW20" s="32">
        <f t="shared" si="9"/>
        <v>3.0379032788900293</v>
      </c>
      <c r="AX20" s="32">
        <f t="shared" si="9"/>
        <v>3.1138508608622799</v>
      </c>
      <c r="AY20" s="32">
        <f t="shared" si="9"/>
        <v>3.1916971323838368</v>
      </c>
      <c r="AZ20" s="32">
        <f t="shared" si="9"/>
        <v>3.2714895606934324</v>
      </c>
      <c r="BA20" s="32">
        <f t="shared" si="9"/>
        <v>3.353276799710768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74AE-1904-4F49-965D-97D32AFEE804}">
  <dimension ref="A1:BA27"/>
  <sheetViews>
    <sheetView topLeftCell="A3" workbookViewId="0">
      <pane xSplit="3" topLeftCell="AR1" activePane="topRight" state="frozen"/>
      <selection pane="topRight"/>
    </sheetView>
  </sheetViews>
  <sheetFormatPr defaultRowHeight="14.4" x14ac:dyDescent="0.3"/>
  <cols>
    <col min="1" max="1" width="46.33203125" customWidth="1"/>
    <col min="2" max="2" width="25.88671875" customWidth="1"/>
    <col min="3" max="3" width="13" customWidth="1"/>
    <col min="4" max="53" width="13.33203125" customWidth="1"/>
  </cols>
  <sheetData>
    <row r="1" spans="1:53" ht="18" x14ac:dyDescent="0.35">
      <c r="A1" s="1" t="s">
        <v>103</v>
      </c>
    </row>
    <row r="2" spans="1:53" x14ac:dyDescent="0.3">
      <c r="A2" s="2" t="s">
        <v>104</v>
      </c>
    </row>
    <row r="4" spans="1:53" x14ac:dyDescent="0.3">
      <c r="A4" t="s">
        <v>105</v>
      </c>
      <c r="B4" t="s">
        <v>106</v>
      </c>
      <c r="C4" s="35">
        <f>LN(2)/logistic_dbl_yrs</f>
        <v>0.17328679513998632</v>
      </c>
    </row>
    <row r="6" spans="1:53" x14ac:dyDescent="0.3">
      <c r="A6" s="3" t="s">
        <v>88</v>
      </c>
      <c r="D6" s="27">
        <v>1</v>
      </c>
      <c r="E6" s="27">
        <v>2</v>
      </c>
      <c r="F6" s="27">
        <v>3</v>
      </c>
      <c r="G6" s="27">
        <v>4</v>
      </c>
      <c r="H6" s="27">
        <v>5</v>
      </c>
      <c r="I6" s="27">
        <v>6</v>
      </c>
      <c r="J6" s="27">
        <v>7</v>
      </c>
      <c r="K6" s="27">
        <v>8</v>
      </c>
      <c r="L6" s="27">
        <v>9</v>
      </c>
      <c r="M6" s="27">
        <v>10</v>
      </c>
      <c r="N6" s="27">
        <v>11</v>
      </c>
      <c r="O6" s="27">
        <v>12</v>
      </c>
      <c r="P6" s="27">
        <v>13</v>
      </c>
      <c r="Q6" s="27">
        <v>14</v>
      </c>
      <c r="R6" s="27">
        <v>15</v>
      </c>
      <c r="S6" s="27">
        <v>16</v>
      </c>
      <c r="T6" s="27">
        <v>17</v>
      </c>
      <c r="U6" s="27">
        <v>18</v>
      </c>
      <c r="V6" s="27">
        <v>19</v>
      </c>
      <c r="W6" s="27">
        <v>20</v>
      </c>
      <c r="X6" s="27">
        <v>21</v>
      </c>
      <c r="Y6" s="27">
        <v>22</v>
      </c>
      <c r="Z6" s="27">
        <v>23</v>
      </c>
      <c r="AA6" s="27">
        <v>24</v>
      </c>
      <c r="AB6" s="27">
        <v>25</v>
      </c>
      <c r="AC6" s="27">
        <v>26</v>
      </c>
      <c r="AD6" s="27">
        <v>27</v>
      </c>
      <c r="AE6" s="27">
        <v>28</v>
      </c>
      <c r="AF6" s="27">
        <v>29</v>
      </c>
      <c r="AG6" s="27">
        <v>30</v>
      </c>
      <c r="AH6" s="27">
        <v>31</v>
      </c>
      <c r="AI6" s="27">
        <v>32</v>
      </c>
      <c r="AJ6" s="27">
        <v>33</v>
      </c>
      <c r="AK6" s="27">
        <v>34</v>
      </c>
      <c r="AL6" s="27">
        <v>35</v>
      </c>
      <c r="AM6" s="27">
        <v>36</v>
      </c>
      <c r="AN6" s="27">
        <v>37</v>
      </c>
      <c r="AO6" s="27">
        <v>38</v>
      </c>
      <c r="AP6" s="27">
        <v>39</v>
      </c>
      <c r="AQ6" s="27">
        <v>40</v>
      </c>
      <c r="AR6" s="27">
        <v>41</v>
      </c>
      <c r="AS6" s="27">
        <v>42</v>
      </c>
      <c r="AT6" s="27">
        <v>43</v>
      </c>
      <c r="AU6" s="27">
        <v>44</v>
      </c>
      <c r="AV6" s="27">
        <v>45</v>
      </c>
      <c r="AW6" s="27">
        <v>46</v>
      </c>
      <c r="AX6" s="27">
        <v>47</v>
      </c>
      <c r="AY6" s="27">
        <v>48</v>
      </c>
      <c r="AZ6" s="27">
        <v>49</v>
      </c>
      <c r="BA6" s="27">
        <v>50</v>
      </c>
    </row>
    <row r="7" spans="1:53" x14ac:dyDescent="0.3">
      <c r="A7" s="3" t="s">
        <v>89</v>
      </c>
      <c r="D7" s="27">
        <f>base_calendar_year+D$6-1</f>
        <v>2026</v>
      </c>
      <c r="E7" s="27">
        <f>base_calendar_year+E$6-1</f>
        <v>2027</v>
      </c>
      <c r="F7" s="27">
        <f>base_calendar_year+F$6-1</f>
        <v>2028</v>
      </c>
      <c r="G7" s="27">
        <f>base_calendar_year+G$6-1</f>
        <v>2029</v>
      </c>
      <c r="H7" s="27">
        <f>base_calendar_year+H$6-1</f>
        <v>2030</v>
      </c>
      <c r="I7" s="27">
        <f>base_calendar_year+I$6-1</f>
        <v>2031</v>
      </c>
      <c r="J7" s="27">
        <f>base_calendar_year+J$6-1</f>
        <v>2032</v>
      </c>
      <c r="K7" s="27">
        <f>base_calendar_year+K$6-1</f>
        <v>2033</v>
      </c>
      <c r="L7" s="27">
        <f>base_calendar_year+L$6-1</f>
        <v>2034</v>
      </c>
      <c r="M7" s="27">
        <f>base_calendar_year+M$6-1</f>
        <v>2035</v>
      </c>
      <c r="N7" s="27">
        <f>base_calendar_year+N$6-1</f>
        <v>2036</v>
      </c>
      <c r="O7" s="27">
        <f>base_calendar_year+O$6-1</f>
        <v>2037</v>
      </c>
      <c r="P7" s="27">
        <f>base_calendar_year+P$6-1</f>
        <v>2038</v>
      </c>
      <c r="Q7" s="27">
        <f>base_calendar_year+Q$6-1</f>
        <v>2039</v>
      </c>
      <c r="R7" s="27">
        <f>base_calendar_year+R$6-1</f>
        <v>2040</v>
      </c>
      <c r="S7" s="27">
        <f>base_calendar_year+S$6-1</f>
        <v>2041</v>
      </c>
      <c r="T7" s="27">
        <f>base_calendar_year+T$6-1</f>
        <v>2042</v>
      </c>
      <c r="U7" s="27">
        <f>base_calendar_year+U$6-1</f>
        <v>2043</v>
      </c>
      <c r="V7" s="27">
        <f>base_calendar_year+V$6-1</f>
        <v>2044</v>
      </c>
      <c r="W7" s="27">
        <f>base_calendar_year+W$6-1</f>
        <v>2045</v>
      </c>
      <c r="X7" s="27">
        <f>base_calendar_year+X$6-1</f>
        <v>2046</v>
      </c>
      <c r="Y7" s="27">
        <f>base_calendar_year+Y$6-1</f>
        <v>2047</v>
      </c>
      <c r="Z7" s="27">
        <f>base_calendar_year+Z$6-1</f>
        <v>2048</v>
      </c>
      <c r="AA7" s="27">
        <f>base_calendar_year+AA$6-1</f>
        <v>2049</v>
      </c>
      <c r="AB7" s="27">
        <f>base_calendar_year+AB$6-1</f>
        <v>2050</v>
      </c>
      <c r="AC7" s="27">
        <f>base_calendar_year+AC$6-1</f>
        <v>2051</v>
      </c>
      <c r="AD7" s="27">
        <f>base_calendar_year+AD$6-1</f>
        <v>2052</v>
      </c>
      <c r="AE7" s="27">
        <f>base_calendar_year+AE$6-1</f>
        <v>2053</v>
      </c>
      <c r="AF7" s="27">
        <f>base_calendar_year+AF$6-1</f>
        <v>2054</v>
      </c>
      <c r="AG7" s="27">
        <f>base_calendar_year+AG$6-1</f>
        <v>2055</v>
      </c>
      <c r="AH7" s="27">
        <f>base_calendar_year+AH$6-1</f>
        <v>2056</v>
      </c>
      <c r="AI7" s="27">
        <f>base_calendar_year+AI$6-1</f>
        <v>2057</v>
      </c>
      <c r="AJ7" s="27">
        <f>base_calendar_year+AJ$6-1</f>
        <v>2058</v>
      </c>
      <c r="AK7" s="27">
        <f>base_calendar_year+AK$6-1</f>
        <v>2059</v>
      </c>
      <c r="AL7" s="27">
        <f>base_calendar_year+AL$6-1</f>
        <v>2060</v>
      </c>
      <c r="AM7" s="27">
        <f>base_calendar_year+AM$6-1</f>
        <v>2061</v>
      </c>
      <c r="AN7" s="27">
        <f>base_calendar_year+AN$6-1</f>
        <v>2062</v>
      </c>
      <c r="AO7" s="27">
        <f>base_calendar_year+AO$6-1</f>
        <v>2063</v>
      </c>
      <c r="AP7" s="27">
        <f>base_calendar_year+AP$6-1</f>
        <v>2064</v>
      </c>
      <c r="AQ7" s="27">
        <f>base_calendar_year+AQ$6-1</f>
        <v>2065</v>
      </c>
      <c r="AR7" s="27">
        <f>base_calendar_year+AR$6-1</f>
        <v>2066</v>
      </c>
      <c r="AS7" s="27">
        <f>base_calendar_year+AS$6-1</f>
        <v>2067</v>
      </c>
      <c r="AT7" s="27">
        <f>base_calendar_year+AT$6-1</f>
        <v>2068</v>
      </c>
      <c r="AU7" s="27">
        <f>base_calendar_year+AU$6-1</f>
        <v>2069</v>
      </c>
      <c r="AV7" s="27">
        <f>base_calendar_year+AV$6-1</f>
        <v>2070</v>
      </c>
      <c r="AW7" s="27">
        <f>base_calendar_year+AW$6-1</f>
        <v>2071</v>
      </c>
      <c r="AX7" s="27">
        <f>base_calendar_year+AX$6-1</f>
        <v>2072</v>
      </c>
      <c r="AY7" s="27">
        <f>base_calendar_year+AY$6-1</f>
        <v>2073</v>
      </c>
      <c r="AZ7" s="27">
        <f>base_calendar_year+AZ$6-1</f>
        <v>2074</v>
      </c>
      <c r="BA7" s="27">
        <f>base_calendar_year+BA$6-1</f>
        <v>2075</v>
      </c>
    </row>
    <row r="8" spans="1:53" x14ac:dyDescent="0.3">
      <c r="A8" s="3"/>
    </row>
    <row r="9" spans="1:53" x14ac:dyDescent="0.3">
      <c r="A9" s="3" t="s">
        <v>107</v>
      </c>
      <c r="B9" t="s">
        <v>69</v>
      </c>
      <c r="D9" s="36">
        <f>0</f>
        <v>0</v>
      </c>
      <c r="E9" s="36">
        <f t="shared" ref="E9:AJ9" ca="1" si="0">D11</f>
        <v>1</v>
      </c>
      <c r="F9" s="36">
        <f t="shared" ca="1" si="0"/>
        <v>3</v>
      </c>
      <c r="G9" s="36">
        <f t="shared" ca="1" si="0"/>
        <v>6</v>
      </c>
      <c r="H9" s="36">
        <f t="shared" ca="1" si="0"/>
        <v>9</v>
      </c>
      <c r="I9" s="36">
        <f t="shared" ca="1" si="0"/>
        <v>12</v>
      </c>
      <c r="J9" s="36">
        <f t="shared" ca="1" si="0"/>
        <v>15</v>
      </c>
      <c r="K9" s="36">
        <f t="shared" ca="1" si="0"/>
        <v>18</v>
      </c>
      <c r="L9" s="36">
        <f t="shared" ca="1" si="0"/>
        <v>21</v>
      </c>
      <c r="M9" s="36">
        <f t="shared" ca="1" si="0"/>
        <v>24</v>
      </c>
      <c r="N9" s="36">
        <f t="shared" ca="1" si="0"/>
        <v>27</v>
      </c>
      <c r="O9" s="36">
        <f t="shared" ca="1" si="0"/>
        <v>28</v>
      </c>
      <c r="P9" s="36">
        <f t="shared" ca="1" si="0"/>
        <v>28</v>
      </c>
      <c r="Q9" s="36">
        <f t="shared" ca="1" si="0"/>
        <v>28</v>
      </c>
      <c r="R9" s="36">
        <f t="shared" ca="1" si="0"/>
        <v>28</v>
      </c>
      <c r="S9" s="36">
        <f t="shared" ca="1" si="0"/>
        <v>28</v>
      </c>
      <c r="T9" s="36">
        <f t="shared" ca="1" si="0"/>
        <v>28</v>
      </c>
      <c r="U9" s="36">
        <f t="shared" ca="1" si="0"/>
        <v>28</v>
      </c>
      <c r="V9" s="36">
        <f t="shared" ca="1" si="0"/>
        <v>28</v>
      </c>
      <c r="W9" s="36">
        <f t="shared" ca="1" si="0"/>
        <v>28</v>
      </c>
      <c r="X9" s="36">
        <f t="shared" ca="1" si="0"/>
        <v>28</v>
      </c>
      <c r="Y9" s="36">
        <f t="shared" ca="1" si="0"/>
        <v>28</v>
      </c>
      <c r="Z9" s="36">
        <f t="shared" ca="1" si="0"/>
        <v>28</v>
      </c>
      <c r="AA9" s="36">
        <f t="shared" ca="1" si="0"/>
        <v>29</v>
      </c>
      <c r="AB9" s="36">
        <f t="shared" ca="1" si="0"/>
        <v>29</v>
      </c>
      <c r="AC9" s="36">
        <f t="shared" ca="1" si="0"/>
        <v>29</v>
      </c>
      <c r="AD9" s="36">
        <f t="shared" ca="1" si="0"/>
        <v>29</v>
      </c>
      <c r="AE9" s="36">
        <f t="shared" ca="1" si="0"/>
        <v>30</v>
      </c>
      <c r="AF9" s="36">
        <f t="shared" ca="1" si="0"/>
        <v>30</v>
      </c>
      <c r="AG9" s="36">
        <f t="shared" ca="1" si="0"/>
        <v>30</v>
      </c>
      <c r="AH9" s="36">
        <f t="shared" ca="1" si="0"/>
        <v>31</v>
      </c>
      <c r="AI9" s="36">
        <f t="shared" ca="1" si="0"/>
        <v>31</v>
      </c>
      <c r="AJ9" s="36">
        <f t="shared" ca="1" si="0"/>
        <v>32</v>
      </c>
      <c r="AK9" s="36">
        <f t="shared" ref="AK9:BA9" ca="1" si="1">AJ11</f>
        <v>33</v>
      </c>
      <c r="AL9" s="36">
        <f t="shared" ca="1" si="1"/>
        <v>33</v>
      </c>
      <c r="AM9" s="36">
        <f t="shared" ca="1" si="1"/>
        <v>34</v>
      </c>
      <c r="AN9" s="36">
        <f t="shared" ca="1" si="1"/>
        <v>35</v>
      </c>
      <c r="AO9" s="36">
        <f t="shared" ca="1" si="1"/>
        <v>35</v>
      </c>
      <c r="AP9" s="36">
        <f t="shared" ca="1" si="1"/>
        <v>36</v>
      </c>
      <c r="AQ9" s="36">
        <f t="shared" ca="1" si="1"/>
        <v>37</v>
      </c>
      <c r="AR9" s="36">
        <f t="shared" ca="1" si="1"/>
        <v>38</v>
      </c>
      <c r="AS9" s="36">
        <f t="shared" ca="1" si="1"/>
        <v>39</v>
      </c>
      <c r="AT9" s="36">
        <f t="shared" ca="1" si="1"/>
        <v>40</v>
      </c>
      <c r="AU9" s="36">
        <f t="shared" ca="1" si="1"/>
        <v>41</v>
      </c>
      <c r="AV9" s="36">
        <f t="shared" ca="1" si="1"/>
        <v>42</v>
      </c>
      <c r="AW9" s="36">
        <f t="shared" ca="1" si="1"/>
        <v>43</v>
      </c>
      <c r="AX9" s="36">
        <f t="shared" ca="1" si="1"/>
        <v>44</v>
      </c>
      <c r="AY9" s="36">
        <f t="shared" ca="1" si="1"/>
        <v>46</v>
      </c>
      <c r="AZ9" s="36">
        <f t="shared" ca="1" si="1"/>
        <v>47</v>
      </c>
      <c r="BA9" s="36">
        <f t="shared" ca="1" si="1"/>
        <v>48</v>
      </c>
    </row>
    <row r="10" spans="1:53" x14ac:dyDescent="0.3">
      <c r="A10" s="3" t="s">
        <v>108</v>
      </c>
      <c r="B10" t="s">
        <v>69</v>
      </c>
      <c r="D10" s="36">
        <f t="shared" ref="D10:AI10" ca="1" si="2">MIN(D26,D25)</f>
        <v>1</v>
      </c>
      <c r="E10" s="36">
        <f t="shared" ca="1" si="2"/>
        <v>2</v>
      </c>
      <c r="F10" s="36">
        <f t="shared" ca="1" si="2"/>
        <v>3</v>
      </c>
      <c r="G10" s="36">
        <f t="shared" ca="1" si="2"/>
        <v>3</v>
      </c>
      <c r="H10" s="36">
        <f t="shared" ca="1" si="2"/>
        <v>3</v>
      </c>
      <c r="I10" s="36">
        <f t="shared" ca="1" si="2"/>
        <v>3</v>
      </c>
      <c r="J10" s="36">
        <f t="shared" ca="1" si="2"/>
        <v>3</v>
      </c>
      <c r="K10" s="36">
        <f t="shared" ca="1" si="2"/>
        <v>3</v>
      </c>
      <c r="L10" s="36">
        <f t="shared" ca="1" si="2"/>
        <v>3</v>
      </c>
      <c r="M10" s="36">
        <f t="shared" ca="1" si="2"/>
        <v>3</v>
      </c>
      <c r="N10" s="36">
        <f t="shared" ca="1" si="2"/>
        <v>1</v>
      </c>
      <c r="O10" s="36">
        <f t="shared" ca="1" si="2"/>
        <v>0</v>
      </c>
      <c r="P10" s="36">
        <f t="shared" ca="1" si="2"/>
        <v>0</v>
      </c>
      <c r="Q10" s="36">
        <f t="shared" ca="1" si="2"/>
        <v>0</v>
      </c>
      <c r="R10" s="36">
        <f t="shared" ca="1" si="2"/>
        <v>0</v>
      </c>
      <c r="S10" s="36">
        <f t="shared" ca="1" si="2"/>
        <v>0</v>
      </c>
      <c r="T10" s="36">
        <f t="shared" ca="1" si="2"/>
        <v>0</v>
      </c>
      <c r="U10" s="36">
        <f t="shared" ca="1" si="2"/>
        <v>0</v>
      </c>
      <c r="V10" s="36">
        <f t="shared" ca="1" si="2"/>
        <v>0</v>
      </c>
      <c r="W10" s="36">
        <f t="shared" ca="1" si="2"/>
        <v>0</v>
      </c>
      <c r="X10" s="36">
        <f t="shared" ca="1" si="2"/>
        <v>0</v>
      </c>
      <c r="Y10" s="36">
        <f t="shared" ca="1" si="2"/>
        <v>0</v>
      </c>
      <c r="Z10" s="36">
        <f t="shared" ca="1" si="2"/>
        <v>1</v>
      </c>
      <c r="AA10" s="36">
        <f t="shared" ca="1" si="2"/>
        <v>0</v>
      </c>
      <c r="AB10" s="36">
        <f t="shared" ca="1" si="2"/>
        <v>0</v>
      </c>
      <c r="AC10" s="36">
        <f t="shared" ca="1" si="2"/>
        <v>0</v>
      </c>
      <c r="AD10" s="36">
        <f t="shared" ca="1" si="2"/>
        <v>1</v>
      </c>
      <c r="AE10" s="36">
        <f t="shared" ca="1" si="2"/>
        <v>0</v>
      </c>
      <c r="AF10" s="36">
        <f t="shared" ca="1" si="2"/>
        <v>0</v>
      </c>
      <c r="AG10" s="36">
        <f t="shared" ca="1" si="2"/>
        <v>1</v>
      </c>
      <c r="AH10" s="36">
        <f t="shared" ca="1" si="2"/>
        <v>0</v>
      </c>
      <c r="AI10" s="36">
        <f t="shared" ca="1" si="2"/>
        <v>1</v>
      </c>
      <c r="AJ10" s="36">
        <f t="shared" ref="AJ10:BA10" ca="1" si="3">MIN(AJ26,AJ25)</f>
        <v>1</v>
      </c>
      <c r="AK10" s="36">
        <f t="shared" ca="1" si="3"/>
        <v>0</v>
      </c>
      <c r="AL10" s="36">
        <f t="shared" ca="1" si="3"/>
        <v>1</v>
      </c>
      <c r="AM10" s="36">
        <f t="shared" ca="1" si="3"/>
        <v>1</v>
      </c>
      <c r="AN10" s="36">
        <f t="shared" ca="1" si="3"/>
        <v>0</v>
      </c>
      <c r="AO10" s="36">
        <f t="shared" ca="1" si="3"/>
        <v>1</v>
      </c>
      <c r="AP10" s="36">
        <f t="shared" ca="1" si="3"/>
        <v>1</v>
      </c>
      <c r="AQ10" s="36">
        <f t="shared" ca="1" si="3"/>
        <v>1</v>
      </c>
      <c r="AR10" s="36">
        <f t="shared" ca="1" si="3"/>
        <v>1</v>
      </c>
      <c r="AS10" s="36">
        <f t="shared" ca="1" si="3"/>
        <v>1</v>
      </c>
      <c r="AT10" s="36">
        <f t="shared" ca="1" si="3"/>
        <v>1</v>
      </c>
      <c r="AU10" s="36">
        <f t="shared" ca="1" si="3"/>
        <v>1</v>
      </c>
      <c r="AV10" s="36">
        <f t="shared" ca="1" si="3"/>
        <v>1</v>
      </c>
      <c r="AW10" s="36">
        <f t="shared" ca="1" si="3"/>
        <v>1</v>
      </c>
      <c r="AX10" s="36">
        <f t="shared" ca="1" si="3"/>
        <v>2</v>
      </c>
      <c r="AY10" s="36">
        <f t="shared" ca="1" si="3"/>
        <v>1</v>
      </c>
      <c r="AZ10" s="36">
        <f t="shared" ca="1" si="3"/>
        <v>1</v>
      </c>
      <c r="BA10" s="36">
        <f t="shared" ca="1" si="3"/>
        <v>1</v>
      </c>
    </row>
    <row r="11" spans="1:53" x14ac:dyDescent="0.3">
      <c r="A11" s="3" t="s">
        <v>109</v>
      </c>
      <c r="B11" s="3" t="s">
        <v>69</v>
      </c>
      <c r="C11" s="3"/>
      <c r="D11" s="39">
        <f t="shared" ref="D11:AI11" ca="1" si="4">D9+D10</f>
        <v>1</v>
      </c>
      <c r="E11" s="39">
        <f t="shared" ca="1" si="4"/>
        <v>3</v>
      </c>
      <c r="F11" s="39">
        <f t="shared" ca="1" si="4"/>
        <v>6</v>
      </c>
      <c r="G11" s="39">
        <f t="shared" ca="1" si="4"/>
        <v>9</v>
      </c>
      <c r="H11" s="39">
        <f t="shared" ca="1" si="4"/>
        <v>12</v>
      </c>
      <c r="I11" s="39">
        <f t="shared" ca="1" si="4"/>
        <v>15</v>
      </c>
      <c r="J11" s="39">
        <f t="shared" ca="1" si="4"/>
        <v>18</v>
      </c>
      <c r="K11" s="39">
        <f t="shared" ca="1" si="4"/>
        <v>21</v>
      </c>
      <c r="L11" s="39">
        <f t="shared" ca="1" si="4"/>
        <v>24</v>
      </c>
      <c r="M11" s="39">
        <f t="shared" ca="1" si="4"/>
        <v>27</v>
      </c>
      <c r="N11" s="39">
        <f t="shared" ca="1" si="4"/>
        <v>28</v>
      </c>
      <c r="O11" s="39">
        <f t="shared" ca="1" si="4"/>
        <v>28</v>
      </c>
      <c r="P11" s="39">
        <f t="shared" ca="1" si="4"/>
        <v>28</v>
      </c>
      <c r="Q11" s="39">
        <f t="shared" ca="1" si="4"/>
        <v>28</v>
      </c>
      <c r="R11" s="39">
        <f t="shared" ca="1" si="4"/>
        <v>28</v>
      </c>
      <c r="S11" s="39">
        <f t="shared" ca="1" si="4"/>
        <v>28</v>
      </c>
      <c r="T11" s="39">
        <f t="shared" ca="1" si="4"/>
        <v>28</v>
      </c>
      <c r="U11" s="39">
        <f t="shared" ca="1" si="4"/>
        <v>28</v>
      </c>
      <c r="V11" s="39">
        <f t="shared" ca="1" si="4"/>
        <v>28</v>
      </c>
      <c r="W11" s="39">
        <f t="shared" ca="1" si="4"/>
        <v>28</v>
      </c>
      <c r="X11" s="39">
        <f t="shared" ca="1" si="4"/>
        <v>28</v>
      </c>
      <c r="Y11" s="39">
        <f t="shared" ca="1" si="4"/>
        <v>28</v>
      </c>
      <c r="Z11" s="39">
        <f t="shared" ca="1" si="4"/>
        <v>29</v>
      </c>
      <c r="AA11" s="39">
        <f t="shared" ca="1" si="4"/>
        <v>29</v>
      </c>
      <c r="AB11" s="39">
        <f t="shared" ca="1" si="4"/>
        <v>29</v>
      </c>
      <c r="AC11" s="39">
        <f t="shared" ca="1" si="4"/>
        <v>29</v>
      </c>
      <c r="AD11" s="39">
        <f t="shared" ca="1" si="4"/>
        <v>30</v>
      </c>
      <c r="AE11" s="39">
        <f t="shared" ca="1" si="4"/>
        <v>30</v>
      </c>
      <c r="AF11" s="39">
        <f t="shared" ca="1" si="4"/>
        <v>30</v>
      </c>
      <c r="AG11" s="39">
        <f t="shared" ca="1" si="4"/>
        <v>31</v>
      </c>
      <c r="AH11" s="39">
        <f t="shared" ca="1" si="4"/>
        <v>31</v>
      </c>
      <c r="AI11" s="39">
        <f t="shared" ca="1" si="4"/>
        <v>32</v>
      </c>
      <c r="AJ11" s="39">
        <f t="shared" ref="AJ11:BA11" ca="1" si="5">AJ9+AJ10</f>
        <v>33</v>
      </c>
      <c r="AK11" s="39">
        <f t="shared" ca="1" si="5"/>
        <v>33</v>
      </c>
      <c r="AL11" s="39">
        <f t="shared" ca="1" si="5"/>
        <v>34</v>
      </c>
      <c r="AM11" s="39">
        <f t="shared" ca="1" si="5"/>
        <v>35</v>
      </c>
      <c r="AN11" s="39">
        <f t="shared" ca="1" si="5"/>
        <v>35</v>
      </c>
      <c r="AO11" s="39">
        <f t="shared" ca="1" si="5"/>
        <v>36</v>
      </c>
      <c r="AP11" s="39">
        <f t="shared" ca="1" si="5"/>
        <v>37</v>
      </c>
      <c r="AQ11" s="39">
        <f t="shared" ca="1" si="5"/>
        <v>38</v>
      </c>
      <c r="AR11" s="39">
        <f t="shared" ca="1" si="5"/>
        <v>39</v>
      </c>
      <c r="AS11" s="39">
        <f t="shared" ca="1" si="5"/>
        <v>40</v>
      </c>
      <c r="AT11" s="39">
        <f t="shared" ca="1" si="5"/>
        <v>41</v>
      </c>
      <c r="AU11" s="39">
        <f t="shared" ca="1" si="5"/>
        <v>42</v>
      </c>
      <c r="AV11" s="39">
        <f t="shared" ca="1" si="5"/>
        <v>43</v>
      </c>
      <c r="AW11" s="39">
        <f t="shared" ca="1" si="5"/>
        <v>44</v>
      </c>
      <c r="AX11" s="39">
        <f t="shared" ca="1" si="5"/>
        <v>46</v>
      </c>
      <c r="AY11" s="39">
        <f t="shared" ca="1" si="5"/>
        <v>47</v>
      </c>
      <c r="AZ11" s="39">
        <f t="shared" ca="1" si="5"/>
        <v>48</v>
      </c>
      <c r="BA11" s="39">
        <f t="shared" ca="1" si="5"/>
        <v>49</v>
      </c>
    </row>
    <row r="12" spans="1:53" x14ac:dyDescent="0.3">
      <c r="A12" s="3"/>
    </row>
    <row r="13" spans="1:53" x14ac:dyDescent="0.3">
      <c r="A13" s="37" t="s">
        <v>110</v>
      </c>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row>
    <row r="14" spans="1:53" x14ac:dyDescent="0.3">
      <c r="A14" s="3" t="s">
        <v>111</v>
      </c>
      <c r="B14" t="s">
        <v>112</v>
      </c>
      <c r="D14" s="12">
        <f>MIN(1,MAX(0,(D$6-1)/MAX(1,logistic_start_yr-1)))</f>
        <v>0</v>
      </c>
      <c r="E14" s="12">
        <f>MIN(1,MAX(0,(E$6-1)/MAX(1,logistic_start_yr-1)))</f>
        <v>0.33333333333333331</v>
      </c>
      <c r="F14" s="12">
        <f>MIN(1,MAX(0,(F$6-1)/MAX(1,logistic_start_yr-1)))</f>
        <v>0.66666666666666663</v>
      </c>
      <c r="G14" s="12">
        <f>MIN(1,MAX(0,(G$6-1)/MAX(1,logistic_start_yr-1)))</f>
        <v>1</v>
      </c>
      <c r="H14" s="12">
        <f>MIN(1,MAX(0,(H$6-1)/MAX(1,logistic_start_yr-1)))</f>
        <v>1</v>
      </c>
      <c r="I14" s="12">
        <f>MIN(1,MAX(0,(I$6-1)/MAX(1,logistic_start_yr-1)))</f>
        <v>1</v>
      </c>
      <c r="J14" s="12">
        <f>MIN(1,MAX(0,(J$6-1)/MAX(1,logistic_start_yr-1)))</f>
        <v>1</v>
      </c>
      <c r="K14" s="12">
        <f>MIN(1,MAX(0,(K$6-1)/MAX(1,logistic_start_yr-1)))</f>
        <v>1</v>
      </c>
      <c r="L14" s="12">
        <f>MIN(1,MAX(0,(L$6-1)/MAX(1,logistic_start_yr-1)))</f>
        <v>1</v>
      </c>
      <c r="M14" s="12">
        <f>MIN(1,MAX(0,(M$6-1)/MAX(1,logistic_start_yr-1)))</f>
        <v>1</v>
      </c>
      <c r="N14" s="12">
        <f>MIN(1,MAX(0,(N$6-1)/MAX(1,logistic_start_yr-1)))</f>
        <v>1</v>
      </c>
      <c r="O14" s="12">
        <f>MIN(1,MAX(0,(O$6-1)/MAX(1,logistic_start_yr-1)))</f>
        <v>1</v>
      </c>
      <c r="P14" s="12">
        <f>MIN(1,MAX(0,(P$6-1)/MAX(1,logistic_start_yr-1)))</f>
        <v>1</v>
      </c>
      <c r="Q14" s="12">
        <f>MIN(1,MAX(0,(Q$6-1)/MAX(1,logistic_start_yr-1)))</f>
        <v>1</v>
      </c>
      <c r="R14" s="12">
        <f>MIN(1,MAX(0,(R$6-1)/MAX(1,logistic_start_yr-1)))</f>
        <v>1</v>
      </c>
      <c r="S14" s="12">
        <f>MIN(1,MAX(0,(S$6-1)/MAX(1,logistic_start_yr-1)))</f>
        <v>1</v>
      </c>
      <c r="T14" s="12">
        <f>MIN(1,MAX(0,(T$6-1)/MAX(1,logistic_start_yr-1)))</f>
        <v>1</v>
      </c>
      <c r="U14" s="12">
        <f>MIN(1,MAX(0,(U$6-1)/MAX(1,logistic_start_yr-1)))</f>
        <v>1</v>
      </c>
      <c r="V14" s="12">
        <f>MIN(1,MAX(0,(V$6-1)/MAX(1,logistic_start_yr-1)))</f>
        <v>1</v>
      </c>
      <c r="W14" s="12">
        <f>MIN(1,MAX(0,(W$6-1)/MAX(1,logistic_start_yr-1)))</f>
        <v>1</v>
      </c>
      <c r="X14" s="12">
        <f>MIN(1,MAX(0,(X$6-1)/MAX(1,logistic_start_yr-1)))</f>
        <v>1</v>
      </c>
      <c r="Y14" s="12">
        <f>MIN(1,MAX(0,(Y$6-1)/MAX(1,logistic_start_yr-1)))</f>
        <v>1</v>
      </c>
      <c r="Z14" s="12">
        <f>MIN(1,MAX(0,(Z$6-1)/MAX(1,logistic_start_yr-1)))</f>
        <v>1</v>
      </c>
      <c r="AA14" s="12">
        <f>MIN(1,MAX(0,(AA$6-1)/MAX(1,logistic_start_yr-1)))</f>
        <v>1</v>
      </c>
      <c r="AB14" s="12">
        <f>MIN(1,MAX(0,(AB$6-1)/MAX(1,logistic_start_yr-1)))</f>
        <v>1</v>
      </c>
      <c r="AC14" s="12">
        <f>MIN(1,MAX(0,(AC$6-1)/MAX(1,logistic_start_yr-1)))</f>
        <v>1</v>
      </c>
      <c r="AD14" s="12">
        <f>MIN(1,MAX(0,(AD$6-1)/MAX(1,logistic_start_yr-1)))</f>
        <v>1</v>
      </c>
      <c r="AE14" s="12">
        <f>MIN(1,MAX(0,(AE$6-1)/MAX(1,logistic_start_yr-1)))</f>
        <v>1</v>
      </c>
      <c r="AF14" s="12">
        <f>MIN(1,MAX(0,(AF$6-1)/MAX(1,logistic_start_yr-1)))</f>
        <v>1</v>
      </c>
      <c r="AG14" s="12">
        <f>MIN(1,MAX(0,(AG$6-1)/MAX(1,logistic_start_yr-1)))</f>
        <v>1</v>
      </c>
      <c r="AH14" s="12">
        <f>MIN(1,MAX(0,(AH$6-1)/MAX(1,logistic_start_yr-1)))</f>
        <v>1</v>
      </c>
      <c r="AI14" s="12">
        <f>MIN(1,MAX(0,(AI$6-1)/MAX(1,logistic_start_yr-1)))</f>
        <v>1</v>
      </c>
      <c r="AJ14" s="12">
        <f>MIN(1,MAX(0,(AJ$6-1)/MAX(1,logistic_start_yr-1)))</f>
        <v>1</v>
      </c>
      <c r="AK14" s="12">
        <f>MIN(1,MAX(0,(AK$6-1)/MAX(1,logistic_start_yr-1)))</f>
        <v>1</v>
      </c>
      <c r="AL14" s="12">
        <f>MIN(1,MAX(0,(AL$6-1)/MAX(1,logistic_start_yr-1)))</f>
        <v>1</v>
      </c>
      <c r="AM14" s="12">
        <f>MIN(1,MAX(0,(AM$6-1)/MAX(1,logistic_start_yr-1)))</f>
        <v>1</v>
      </c>
      <c r="AN14" s="12">
        <f>MIN(1,MAX(0,(AN$6-1)/MAX(1,logistic_start_yr-1)))</f>
        <v>1</v>
      </c>
      <c r="AO14" s="12">
        <f>MIN(1,MAX(0,(AO$6-1)/MAX(1,logistic_start_yr-1)))</f>
        <v>1</v>
      </c>
      <c r="AP14" s="12">
        <f>MIN(1,MAX(0,(AP$6-1)/MAX(1,logistic_start_yr-1)))</f>
        <v>1</v>
      </c>
      <c r="AQ14" s="12">
        <f>MIN(1,MAX(0,(AQ$6-1)/MAX(1,logistic_start_yr-1)))</f>
        <v>1</v>
      </c>
      <c r="AR14" s="12">
        <f>MIN(1,MAX(0,(AR$6-1)/MAX(1,logistic_start_yr-1)))</f>
        <v>1</v>
      </c>
      <c r="AS14" s="12">
        <f>MIN(1,MAX(0,(AS$6-1)/MAX(1,logistic_start_yr-1)))</f>
        <v>1</v>
      </c>
      <c r="AT14" s="12">
        <f>MIN(1,MAX(0,(AT$6-1)/MAX(1,logistic_start_yr-1)))</f>
        <v>1</v>
      </c>
      <c r="AU14" s="12">
        <f>MIN(1,MAX(0,(AU$6-1)/MAX(1,logistic_start_yr-1)))</f>
        <v>1</v>
      </c>
      <c r="AV14" s="12">
        <f>MIN(1,MAX(0,(AV$6-1)/MAX(1,logistic_start_yr-1)))</f>
        <v>1</v>
      </c>
      <c r="AW14" s="12">
        <f>MIN(1,MAX(0,(AW$6-1)/MAX(1,logistic_start_yr-1)))</f>
        <v>1</v>
      </c>
      <c r="AX14" s="12">
        <f>MIN(1,MAX(0,(AX$6-1)/MAX(1,logistic_start_yr-1)))</f>
        <v>1</v>
      </c>
      <c r="AY14" s="12">
        <f>MIN(1,MAX(0,(AY$6-1)/MAX(1,logistic_start_yr-1)))</f>
        <v>1</v>
      </c>
      <c r="AZ14" s="12">
        <f>MIN(1,MAX(0,(AZ$6-1)/MAX(1,logistic_start_yr-1)))</f>
        <v>1</v>
      </c>
      <c r="BA14" s="12">
        <f>MIN(1,MAX(0,(BA$6-1)/MAX(1,logistic_start_yr-1)))</f>
        <v>1</v>
      </c>
    </row>
    <row r="15" spans="1:53" x14ac:dyDescent="0.3">
      <c r="A15" s="3" t="s">
        <v>55</v>
      </c>
      <c r="B15" t="s">
        <v>48</v>
      </c>
      <c r="D15" s="11">
        <f>(board_early+D$14*(board_target-board_early))*'Macro &amp; Indexation'!D$20</f>
        <v>0</v>
      </c>
      <c r="E15" s="11">
        <f>(board_early+E$14*(board_target-board_early))*'Macro &amp; Indexation'!E$20</f>
        <v>4100</v>
      </c>
      <c r="F15" s="11">
        <f>(board_early+F$14*(board_target-board_early))*'Macro &amp; Indexation'!F$20</f>
        <v>8405</v>
      </c>
      <c r="G15" s="11">
        <f>(board_early+G$14*(board_target-board_early))*'Macro &amp; Indexation'!G$20</f>
        <v>12922.687499999998</v>
      </c>
      <c r="H15" s="11">
        <f>(board_early+H$14*(board_target-board_early))*'Macro &amp; Indexation'!H$20</f>
        <v>13245.754687499997</v>
      </c>
      <c r="I15" s="11">
        <f>(board_early+I$14*(board_target-board_early))*'Macro &amp; Indexation'!I$20</f>
        <v>13576.898554687496</v>
      </c>
      <c r="J15" s="11">
        <f>(board_early+J$14*(board_target-board_early))*'Macro &amp; Indexation'!J$20</f>
        <v>13916.321018554681</v>
      </c>
      <c r="K15" s="11">
        <f>(board_early+K$14*(board_target-board_early))*'Macro &amp; Indexation'!K$20</f>
        <v>14264.229044018548</v>
      </c>
      <c r="L15" s="11">
        <f>(board_early+L$14*(board_target-board_early))*'Macro &amp; Indexation'!L$20</f>
        <v>14620.83477011901</v>
      </c>
      <c r="M15" s="11">
        <f>(board_early+M$14*(board_target-board_early))*'Macro &amp; Indexation'!M$20</f>
        <v>14986.355639371983</v>
      </c>
      <c r="N15" s="11">
        <f>(board_early+N$14*(board_target-board_early))*'Macro &amp; Indexation'!N$20</f>
        <v>15361.01453035628</v>
      </c>
      <c r="O15" s="11">
        <f>(board_early+O$14*(board_target-board_early))*'Macro &amp; Indexation'!O$20</f>
        <v>15745.039893615187</v>
      </c>
      <c r="P15" s="11">
        <f>(board_early+P$14*(board_target-board_early))*'Macro &amp; Indexation'!P$20</f>
        <v>16138.665890955564</v>
      </c>
      <c r="Q15" s="11">
        <f>(board_early+Q$14*(board_target-board_early))*'Macro &amp; Indexation'!Q$20</f>
        <v>16542.132538229453</v>
      </c>
      <c r="R15" s="11">
        <f>(board_early+R$14*(board_target-board_early))*'Macro &amp; Indexation'!R$20</f>
        <v>16955.68585168519</v>
      </c>
      <c r="S15" s="11">
        <f>(board_early+S$14*(board_target-board_early))*'Macro &amp; Indexation'!S$20</f>
        <v>17379.577997977314</v>
      </c>
      <c r="T15" s="11">
        <f>(board_early+T$14*(board_target-board_early))*'Macro &amp; Indexation'!T$20</f>
        <v>17814.067447926747</v>
      </c>
      <c r="U15" s="11">
        <f>(board_early+U$14*(board_target-board_early))*'Macro &amp; Indexation'!U$20</f>
        <v>18259.419134124913</v>
      </c>
      <c r="V15" s="11">
        <f>(board_early+V$14*(board_target-board_early))*'Macro &amp; Indexation'!V$20</f>
        <v>18715.904612478036</v>
      </c>
      <c r="W15" s="11">
        <f>(board_early+W$14*(board_target-board_early))*'Macro &amp; Indexation'!W$20</f>
        <v>19183.802227789984</v>
      </c>
      <c r="X15" s="11">
        <f>(board_early+X$14*(board_target-board_early))*'Macro &amp; Indexation'!X$20</f>
        <v>19663.39728348473</v>
      </c>
      <c r="Y15" s="11">
        <f>(board_early+Y$14*(board_target-board_early))*'Macro &amp; Indexation'!Y$20</f>
        <v>20154.982215571847</v>
      </c>
      <c r="Z15" s="11">
        <f>(board_early+Z$14*(board_target-board_early))*'Macro &amp; Indexation'!Z$20</f>
        <v>20658.856770961142</v>
      </c>
      <c r="AA15" s="11">
        <f>(board_early+AA$14*(board_target-board_early))*'Macro &amp; Indexation'!AA$20</f>
        <v>21175.328190235166</v>
      </c>
      <c r="AB15" s="11">
        <f>(board_early+AB$14*(board_target-board_early))*'Macro &amp; Indexation'!AB$20</f>
        <v>21704.711394991045</v>
      </c>
      <c r="AC15" s="11">
        <f>(board_early+AC$14*(board_target-board_early))*'Macro &amp; Indexation'!AC$20</f>
        <v>22247.329179865817</v>
      </c>
      <c r="AD15" s="11">
        <f>(board_early+AD$14*(board_target-board_early))*'Macro &amp; Indexation'!AD$20</f>
        <v>22803.512409362462</v>
      </c>
      <c r="AE15" s="11">
        <f>(board_early+AE$14*(board_target-board_early))*'Macro &amp; Indexation'!AE$20</f>
        <v>23373.600219596523</v>
      </c>
      <c r="AF15" s="11">
        <f>(board_early+AF$14*(board_target-board_early))*'Macro &amp; Indexation'!AF$20</f>
        <v>23957.940225086433</v>
      </c>
      <c r="AG15" s="11">
        <f>(board_early+AG$14*(board_target-board_early))*'Macro &amp; Indexation'!AG$20</f>
        <v>24556.888730713588</v>
      </c>
      <c r="AH15" s="11">
        <f>(board_early+AH$14*(board_target-board_early))*'Macro &amp; Indexation'!AH$20</f>
        <v>25170.810948981431</v>
      </c>
      <c r="AI15" s="11">
        <f>(board_early+AI$14*(board_target-board_early))*'Macro &amp; Indexation'!AI$20</f>
        <v>25800.081222705961</v>
      </c>
      <c r="AJ15" s="11">
        <f>(board_early+AJ$14*(board_target-board_early))*'Macro &amp; Indexation'!AJ$20</f>
        <v>26445.083253273606</v>
      </c>
      <c r="AK15" s="11">
        <f>(board_early+AK$14*(board_target-board_early))*'Macro &amp; Indexation'!AK$20</f>
        <v>27106.210334605446</v>
      </c>
      <c r="AL15" s="11">
        <f>(board_early+AL$14*(board_target-board_early))*'Macro &amp; Indexation'!AL$20</f>
        <v>27783.865592970578</v>
      </c>
      <c r="AM15" s="11">
        <f>(board_early+AM$14*(board_target-board_early))*'Macro &amp; Indexation'!AM$20</f>
        <v>28478.462232794838</v>
      </c>
      <c r="AN15" s="11">
        <f>(board_early+AN$14*(board_target-board_early))*'Macro &amp; Indexation'!AN$20</f>
        <v>29190.423788614709</v>
      </c>
      <c r="AO15" s="11">
        <f>(board_early+AO$14*(board_target-board_early))*'Macro &amp; Indexation'!AO$20</f>
        <v>29920.184383330074</v>
      </c>
      <c r="AP15" s="11">
        <f>(board_early+AP$14*(board_target-board_early))*'Macro &amp; Indexation'!AP$20</f>
        <v>30668.188992913325</v>
      </c>
      <c r="AQ15" s="11">
        <f>(board_early+AQ$14*(board_target-board_early))*'Macro &amp; Indexation'!AQ$20</f>
        <v>31434.893717736159</v>
      </c>
      <c r="AR15" s="11">
        <f>(board_early+AR$14*(board_target-board_early))*'Macro &amp; Indexation'!AR$20</f>
        <v>32220.766060679558</v>
      </c>
      <c r="AS15" s="11">
        <f>(board_early+AS$14*(board_target-board_early))*'Macro &amp; Indexation'!AS$20</f>
        <v>33026.285212196541</v>
      </c>
      <c r="AT15" s="11">
        <f>(board_early+AT$14*(board_target-board_early))*'Macro &amp; Indexation'!AT$20</f>
        <v>33851.942342501454</v>
      </c>
      <c r="AU15" s="11">
        <f>(board_early+AU$14*(board_target-board_early))*'Macro &amp; Indexation'!AU$20</f>
        <v>34698.240901063989</v>
      </c>
      <c r="AV15" s="11">
        <f>(board_early+AV$14*(board_target-board_early))*'Macro &amp; Indexation'!AV$20</f>
        <v>35565.696923590585</v>
      </c>
      <c r="AW15" s="11">
        <f>(board_early+AW$14*(board_target-board_early))*'Macro &amp; Indexation'!AW$20</f>
        <v>36454.839346680354</v>
      </c>
      <c r="AX15" s="11">
        <f>(board_early+AX$14*(board_target-board_early))*'Macro &amp; Indexation'!AX$20</f>
        <v>37366.210330347356</v>
      </c>
      <c r="AY15" s="11">
        <f>(board_early+AY$14*(board_target-board_early))*'Macro &amp; Indexation'!AY$20</f>
        <v>38300.365588606044</v>
      </c>
      <c r="AZ15" s="11">
        <f>(board_early+AZ$14*(board_target-board_early))*'Macro &amp; Indexation'!AZ$20</f>
        <v>39257.874728321192</v>
      </c>
      <c r="BA15" s="11">
        <f>(board_early+BA$14*(board_target-board_early))*'Macro &amp; Indexation'!BA$20</f>
        <v>40239.321596529218</v>
      </c>
    </row>
    <row r="16" spans="1:53" x14ac:dyDescent="0.3">
      <c r="A16" s="3" t="s">
        <v>56</v>
      </c>
      <c r="B16" t="s">
        <v>48</v>
      </c>
      <c r="D16" s="11">
        <f>(acct_early+D$14*(acct_target-acct_early))*'Macro &amp; Indexation'!D$20</f>
        <v>3000</v>
      </c>
      <c r="E16" s="11">
        <f>(acct_early+E$14*(acct_target-acct_early))*'Macro &amp; Indexation'!E$20</f>
        <v>4783.3333333333321</v>
      </c>
      <c r="F16" s="11">
        <f>(acct_early+F$14*(acct_target-acct_early))*'Macro &amp; Indexation'!F$20</f>
        <v>6653.9583333333321</v>
      </c>
      <c r="G16" s="11">
        <f>(acct_early+G$14*(acct_target-acct_early))*'Macro &amp; Indexation'!G$20</f>
        <v>8615.1249999999982</v>
      </c>
      <c r="H16" s="11">
        <f>(acct_early+H$14*(acct_target-acct_early))*'Macro &amp; Indexation'!H$20</f>
        <v>8830.5031249999975</v>
      </c>
      <c r="I16" s="11">
        <f>(acct_early+I$14*(acct_target-acct_early))*'Macro &amp; Indexation'!I$20</f>
        <v>9051.2657031249964</v>
      </c>
      <c r="J16" s="11">
        <f>(acct_early+J$14*(acct_target-acct_early))*'Macro &amp; Indexation'!J$20</f>
        <v>9277.5473457031221</v>
      </c>
      <c r="K16" s="11">
        <f>(acct_early+K$14*(acct_target-acct_early))*'Macro &amp; Indexation'!K$20</f>
        <v>9509.4860293456986</v>
      </c>
      <c r="L16" s="11">
        <f>(acct_early+L$14*(acct_target-acct_early))*'Macro &amp; Indexation'!L$20</f>
        <v>9747.2231800793397</v>
      </c>
      <c r="M16" s="11">
        <f>(acct_early+M$14*(acct_target-acct_early))*'Macro &amp; Indexation'!M$20</f>
        <v>9990.9037595813224</v>
      </c>
      <c r="N16" s="11">
        <f>(acct_early+N$14*(acct_target-acct_early))*'Macro &amp; Indexation'!N$20</f>
        <v>10240.676353570852</v>
      </c>
      <c r="O16" s="11">
        <f>(acct_early+O$14*(acct_target-acct_early))*'Macro &amp; Indexation'!O$20</f>
        <v>10496.693262410125</v>
      </c>
      <c r="P16" s="11">
        <f>(acct_early+P$14*(acct_target-acct_early))*'Macro &amp; Indexation'!P$20</f>
        <v>10759.110593970378</v>
      </c>
      <c r="Q16" s="11">
        <f>(acct_early+Q$14*(acct_target-acct_early))*'Macro &amp; Indexation'!Q$20</f>
        <v>11028.088358819636</v>
      </c>
      <c r="R16" s="11">
        <f>(acct_early+R$14*(acct_target-acct_early))*'Macro &amp; Indexation'!R$20</f>
        <v>11303.790567790125</v>
      </c>
      <c r="S16" s="11">
        <f>(acct_early+S$14*(acct_target-acct_early))*'Macro &amp; Indexation'!S$20</f>
        <v>11586.385331984877</v>
      </c>
      <c r="T16" s="11">
        <f>(acct_early+T$14*(acct_target-acct_early))*'Macro &amp; Indexation'!T$20</f>
        <v>11876.044965284498</v>
      </c>
      <c r="U16" s="11">
        <f>(acct_early+U$14*(acct_target-acct_early))*'Macro &amp; Indexation'!U$20</f>
        <v>12172.94608941661</v>
      </c>
      <c r="V16" s="11">
        <f>(acct_early+V$14*(acct_target-acct_early))*'Macro &amp; Indexation'!V$20</f>
        <v>12477.269741652022</v>
      </c>
      <c r="W16" s="11">
        <f>(acct_early+W$14*(acct_target-acct_early))*'Macro &amp; Indexation'!W$20</f>
        <v>12789.201485193322</v>
      </c>
      <c r="X16" s="11">
        <f>(acct_early+X$14*(acct_target-acct_early))*'Macro &amp; Indexation'!X$20</f>
        <v>13108.931522323153</v>
      </c>
      <c r="Y16" s="11">
        <f>(acct_early+Y$14*(acct_target-acct_early))*'Macro &amp; Indexation'!Y$20</f>
        <v>13436.654810381231</v>
      </c>
      <c r="Z16" s="11">
        <f>(acct_early+Z$14*(acct_target-acct_early))*'Macro &amp; Indexation'!Z$20</f>
        <v>13772.57118064076</v>
      </c>
      <c r="AA16" s="11">
        <f>(acct_early+AA$14*(acct_target-acct_early))*'Macro &amp; Indexation'!AA$20</f>
        <v>14116.885460156778</v>
      </c>
      <c r="AB16" s="11">
        <f>(acct_early+AB$14*(acct_target-acct_early))*'Macro &amp; Indexation'!AB$20</f>
        <v>14469.807596660698</v>
      </c>
      <c r="AC16" s="11">
        <f>(acct_early+AC$14*(acct_target-acct_early))*'Macro &amp; Indexation'!AC$20</f>
        <v>14831.552786577213</v>
      </c>
      <c r="AD16" s="11">
        <f>(acct_early+AD$14*(acct_target-acct_early))*'Macro &amp; Indexation'!AD$20</f>
        <v>15202.341606241642</v>
      </c>
      <c r="AE16" s="11">
        <f>(acct_early+AE$14*(acct_target-acct_early))*'Macro &amp; Indexation'!AE$20</f>
        <v>15582.400146397682</v>
      </c>
      <c r="AF16" s="11">
        <f>(acct_early+AF$14*(acct_target-acct_early))*'Macro &amp; Indexation'!AF$20</f>
        <v>15971.960150057623</v>
      </c>
      <c r="AG16" s="11">
        <f>(acct_early+AG$14*(acct_target-acct_early))*'Macro &amp; Indexation'!AG$20</f>
        <v>16371.25915380906</v>
      </c>
      <c r="AH16" s="11">
        <f>(acct_early+AH$14*(acct_target-acct_early))*'Macro &amp; Indexation'!AH$20</f>
        <v>16780.540632654287</v>
      </c>
      <c r="AI16" s="11">
        <f>(acct_early+AI$14*(acct_target-acct_early))*'Macro &amp; Indexation'!AI$20</f>
        <v>17200.054148470641</v>
      </c>
      <c r="AJ16" s="11">
        <f>(acct_early+AJ$14*(acct_target-acct_early))*'Macro &amp; Indexation'!AJ$20</f>
        <v>17630.055502182404</v>
      </c>
      <c r="AK16" s="11">
        <f>(acct_early+AK$14*(acct_target-acct_early))*'Macro &amp; Indexation'!AK$20</f>
        <v>18070.806889736963</v>
      </c>
      <c r="AL16" s="11">
        <f>(acct_early+AL$14*(acct_target-acct_early))*'Macro &amp; Indexation'!AL$20</f>
        <v>18522.577061980384</v>
      </c>
      <c r="AM16" s="11">
        <f>(acct_early+AM$14*(acct_target-acct_early))*'Macro &amp; Indexation'!AM$20</f>
        <v>18985.641488529895</v>
      </c>
      <c r="AN16" s="11">
        <f>(acct_early+AN$14*(acct_target-acct_early))*'Macro &amp; Indexation'!AN$20</f>
        <v>19460.28252574314</v>
      </c>
      <c r="AO16" s="11">
        <f>(acct_early+AO$14*(acct_target-acct_early))*'Macro &amp; Indexation'!AO$20</f>
        <v>19946.789588886717</v>
      </c>
      <c r="AP16" s="11">
        <f>(acct_early+AP$14*(acct_target-acct_early))*'Macro &amp; Indexation'!AP$20</f>
        <v>20445.459328608882</v>
      </c>
      <c r="AQ16" s="11">
        <f>(acct_early+AQ$14*(acct_target-acct_early))*'Macro &amp; Indexation'!AQ$20</f>
        <v>20956.595811824103</v>
      </c>
      <c r="AR16" s="11">
        <f>(acct_early+AR$14*(acct_target-acct_early))*'Macro &amp; Indexation'!AR$20</f>
        <v>21480.510707119705</v>
      </c>
      <c r="AS16" s="11">
        <f>(acct_early+AS$14*(acct_target-acct_early))*'Macro &amp; Indexation'!AS$20</f>
        <v>22017.523474797694</v>
      </c>
      <c r="AT16" s="11">
        <f>(acct_early+AT$14*(acct_target-acct_early))*'Macro &amp; Indexation'!AT$20</f>
        <v>22567.961561667638</v>
      </c>
      <c r="AU16" s="11">
        <f>(acct_early+AU$14*(acct_target-acct_early))*'Macro &amp; Indexation'!AU$20</f>
        <v>23132.160600709325</v>
      </c>
      <c r="AV16" s="11">
        <f>(acct_early+AV$14*(acct_target-acct_early))*'Macro &amp; Indexation'!AV$20</f>
        <v>23710.464615727058</v>
      </c>
      <c r="AW16" s="11">
        <f>(acct_early+AW$14*(acct_target-acct_early))*'Macro &amp; Indexation'!AW$20</f>
        <v>24303.226231120236</v>
      </c>
      <c r="AX16" s="11">
        <f>(acct_early+AX$14*(acct_target-acct_early))*'Macro &amp; Indexation'!AX$20</f>
        <v>24910.806886898241</v>
      </c>
      <c r="AY16" s="11">
        <f>(acct_early+AY$14*(acct_target-acct_early))*'Macro &amp; Indexation'!AY$20</f>
        <v>25533.577059070696</v>
      </c>
      <c r="AZ16" s="11">
        <f>(acct_early+AZ$14*(acct_target-acct_early))*'Macro &amp; Indexation'!AZ$20</f>
        <v>26171.916485547459</v>
      </c>
      <c r="BA16" s="11">
        <f>(acct_early+BA$14*(acct_target-acct_early))*'Macro &amp; Indexation'!BA$20</f>
        <v>26826.214397686144</v>
      </c>
    </row>
    <row r="17" spans="1:53" x14ac:dyDescent="0.3">
      <c r="A17" s="3" t="s">
        <v>57</v>
      </c>
      <c r="B17" t="s">
        <v>48</v>
      </c>
      <c r="D17" s="11">
        <f>(fca_early+D$14*(fca_target-fca_early))*'Macro &amp; Indexation'!D$20</f>
        <v>1500</v>
      </c>
      <c r="E17" s="11">
        <f>(fca_early+E$14*(fca_target-fca_early))*'Macro &amp; Indexation'!E$20</f>
        <v>2050</v>
      </c>
      <c r="F17" s="11">
        <f>(fca_early+F$14*(fca_target-fca_early))*'Macro &amp; Indexation'!F$20</f>
        <v>2626.5625</v>
      </c>
      <c r="G17" s="11">
        <f>(fca_early+G$14*(fca_target-fca_early))*'Macro &amp; Indexation'!G$20</f>
        <v>3230.6718749999995</v>
      </c>
      <c r="H17" s="11">
        <f>(fca_early+H$14*(fca_target-fca_early))*'Macro &amp; Indexation'!H$20</f>
        <v>3311.4386718749993</v>
      </c>
      <c r="I17" s="11">
        <f>(fca_early+I$14*(fca_target-fca_early))*'Macro &amp; Indexation'!I$20</f>
        <v>3394.2246386718739</v>
      </c>
      <c r="J17" s="11">
        <f>(fca_early+J$14*(fca_target-fca_early))*'Macro &amp; Indexation'!J$20</f>
        <v>3479.0802546386703</v>
      </c>
      <c r="K17" s="11">
        <f>(fca_early+K$14*(fca_target-fca_early))*'Macro &amp; Indexation'!K$20</f>
        <v>3566.057261004637</v>
      </c>
      <c r="L17" s="11">
        <f>(fca_early+L$14*(fca_target-fca_early))*'Macro &amp; Indexation'!L$20</f>
        <v>3655.2086925297526</v>
      </c>
      <c r="M17" s="11">
        <f>(fca_early+M$14*(fca_target-fca_early))*'Macro &amp; Indexation'!M$20</f>
        <v>3746.5889098429957</v>
      </c>
      <c r="N17" s="11">
        <f>(fca_early+N$14*(fca_target-fca_early))*'Macro &amp; Indexation'!N$20</f>
        <v>3840.2536325890701</v>
      </c>
      <c r="O17" s="11">
        <f>(fca_early+O$14*(fca_target-fca_early))*'Macro &amp; Indexation'!O$20</f>
        <v>3936.2599734037967</v>
      </c>
      <c r="P17" s="11">
        <f>(fca_early+P$14*(fca_target-fca_early))*'Macro &amp; Indexation'!P$20</f>
        <v>4034.6664727388911</v>
      </c>
      <c r="Q17" s="11">
        <f>(fca_early+Q$14*(fca_target-fca_early))*'Macro &amp; Indexation'!Q$20</f>
        <v>4135.5331345573632</v>
      </c>
      <c r="R17" s="11">
        <f>(fca_early+R$14*(fca_target-fca_early))*'Macro &amp; Indexation'!R$20</f>
        <v>4238.9214629212975</v>
      </c>
      <c r="S17" s="11">
        <f>(fca_early+S$14*(fca_target-fca_early))*'Macro &amp; Indexation'!S$20</f>
        <v>4344.8944994943286</v>
      </c>
      <c r="T17" s="11">
        <f>(fca_early+T$14*(fca_target-fca_early))*'Macro &amp; Indexation'!T$20</f>
        <v>4453.5168619816868</v>
      </c>
      <c r="U17" s="11">
        <f>(fca_early+U$14*(fca_target-fca_early))*'Macro &amp; Indexation'!U$20</f>
        <v>4564.8547835312283</v>
      </c>
      <c r="V17" s="11">
        <f>(fca_early+V$14*(fca_target-fca_early))*'Macro &amp; Indexation'!V$20</f>
        <v>4678.976153119509</v>
      </c>
      <c r="W17" s="11">
        <f>(fca_early+W$14*(fca_target-fca_early))*'Macro &amp; Indexation'!W$20</f>
        <v>4795.9505569474959</v>
      </c>
      <c r="X17" s="11">
        <f>(fca_early+X$14*(fca_target-fca_early))*'Macro &amp; Indexation'!X$20</f>
        <v>4915.8493208711825</v>
      </c>
      <c r="Y17" s="11">
        <f>(fca_early+Y$14*(fca_target-fca_early))*'Macro &amp; Indexation'!Y$20</f>
        <v>5038.7455538929617</v>
      </c>
      <c r="Z17" s="11">
        <f>(fca_early+Z$14*(fca_target-fca_early))*'Macro &amp; Indexation'!Z$20</f>
        <v>5164.7141927402854</v>
      </c>
      <c r="AA17" s="11">
        <f>(fca_early+AA$14*(fca_target-fca_early))*'Macro &amp; Indexation'!AA$20</f>
        <v>5293.8320475587916</v>
      </c>
      <c r="AB17" s="11">
        <f>(fca_early+AB$14*(fca_target-fca_early))*'Macro &amp; Indexation'!AB$20</f>
        <v>5426.1778487477613</v>
      </c>
      <c r="AC17" s="11">
        <f>(fca_early+AC$14*(fca_target-fca_early))*'Macro &amp; Indexation'!AC$20</f>
        <v>5561.8322949664544</v>
      </c>
      <c r="AD17" s="11">
        <f>(fca_early+AD$14*(fca_target-fca_early))*'Macro &amp; Indexation'!AD$20</f>
        <v>5700.8781023406154</v>
      </c>
      <c r="AE17" s="11">
        <f>(fca_early+AE$14*(fca_target-fca_early))*'Macro &amp; Indexation'!AE$20</f>
        <v>5843.4000548991307</v>
      </c>
      <c r="AF17" s="11">
        <f>(fca_early+AF$14*(fca_target-fca_early))*'Macro &amp; Indexation'!AF$20</f>
        <v>5989.4850562716083</v>
      </c>
      <c r="AG17" s="11">
        <f>(fca_early+AG$14*(fca_target-fca_early))*'Macro &amp; Indexation'!AG$20</f>
        <v>6139.2221826783971</v>
      </c>
      <c r="AH17" s="11">
        <f>(fca_early+AH$14*(fca_target-fca_early))*'Macro &amp; Indexation'!AH$20</f>
        <v>6292.7027372453576</v>
      </c>
      <c r="AI17" s="11">
        <f>(fca_early+AI$14*(fca_target-fca_early))*'Macro &amp; Indexation'!AI$20</f>
        <v>6450.0203056764904</v>
      </c>
      <c r="AJ17" s="11">
        <f>(fca_early+AJ$14*(fca_target-fca_early))*'Macro &amp; Indexation'!AJ$20</f>
        <v>6611.2708133184015</v>
      </c>
      <c r="AK17" s="11">
        <f>(fca_early+AK$14*(fca_target-fca_early))*'Macro &amp; Indexation'!AK$20</f>
        <v>6776.5525836513616</v>
      </c>
      <c r="AL17" s="11">
        <f>(fca_early+AL$14*(fca_target-fca_early))*'Macro &amp; Indexation'!AL$20</f>
        <v>6945.9663982426446</v>
      </c>
      <c r="AM17" s="11">
        <f>(fca_early+AM$14*(fca_target-fca_early))*'Macro &amp; Indexation'!AM$20</f>
        <v>7119.6155581987096</v>
      </c>
      <c r="AN17" s="11">
        <f>(fca_early+AN$14*(fca_target-fca_early))*'Macro &amp; Indexation'!AN$20</f>
        <v>7297.6059471536773</v>
      </c>
      <c r="AO17" s="11">
        <f>(fca_early+AO$14*(fca_target-fca_early))*'Macro &amp; Indexation'!AO$20</f>
        <v>7480.0460958325184</v>
      </c>
      <c r="AP17" s="11">
        <f>(fca_early+AP$14*(fca_target-fca_early))*'Macro &amp; Indexation'!AP$20</f>
        <v>7667.0472482283312</v>
      </c>
      <c r="AQ17" s="11">
        <f>(fca_early+AQ$14*(fca_target-fca_early))*'Macro &amp; Indexation'!AQ$20</f>
        <v>7858.7234294340396</v>
      </c>
      <c r="AR17" s="11">
        <f>(fca_early+AR$14*(fca_target-fca_early))*'Macro &amp; Indexation'!AR$20</f>
        <v>8055.1915151698895</v>
      </c>
      <c r="AS17" s="11">
        <f>(fca_early+AS$14*(fca_target-fca_early))*'Macro &amp; Indexation'!AS$20</f>
        <v>8256.5713030491352</v>
      </c>
      <c r="AT17" s="11">
        <f>(fca_early+AT$14*(fca_target-fca_early))*'Macro &amp; Indexation'!AT$20</f>
        <v>8462.9855856253635</v>
      </c>
      <c r="AU17" s="11">
        <f>(fca_early+AU$14*(fca_target-fca_early))*'Macro &amp; Indexation'!AU$20</f>
        <v>8674.5602252659974</v>
      </c>
      <c r="AV17" s="11">
        <f>(fca_early+AV$14*(fca_target-fca_early))*'Macro &amp; Indexation'!AV$20</f>
        <v>8891.4242308976463</v>
      </c>
      <c r="AW17" s="11">
        <f>(fca_early+AW$14*(fca_target-fca_early))*'Macro &amp; Indexation'!AW$20</f>
        <v>9113.7098366700884</v>
      </c>
      <c r="AX17" s="11">
        <f>(fca_early+AX$14*(fca_target-fca_early))*'Macro &amp; Indexation'!AX$20</f>
        <v>9341.552582586839</v>
      </c>
      <c r="AY17" s="11">
        <f>(fca_early+AY$14*(fca_target-fca_early))*'Macro &amp; Indexation'!AY$20</f>
        <v>9575.091397151511</v>
      </c>
      <c r="AZ17" s="11">
        <f>(fca_early+AZ$14*(fca_target-fca_early))*'Macro &amp; Indexation'!AZ$20</f>
        <v>9814.4686820802981</v>
      </c>
      <c r="BA17" s="11">
        <f>(fca_early+BA$14*(fca_target-fca_early))*'Macro &amp; Indexation'!BA$20</f>
        <v>10059.830399132305</v>
      </c>
    </row>
    <row r="18" spans="1:53" x14ac:dyDescent="0.3">
      <c r="A18" s="3" t="s">
        <v>58</v>
      </c>
      <c r="B18" t="s">
        <v>48</v>
      </c>
      <c r="D18" s="11">
        <f>(ins_early+D$14*(ins_target-ins_early))*'Macro &amp; Indexation'!D$20</f>
        <v>1000</v>
      </c>
      <c r="E18" s="11">
        <f>(ins_early+E$14*(ins_target-ins_early))*'Macro &amp; Indexation'!E$20</f>
        <v>1366.6666666666665</v>
      </c>
      <c r="F18" s="11">
        <f>(ins_early+F$14*(ins_target-ins_early))*'Macro &amp; Indexation'!F$20</f>
        <v>1751.0416666666663</v>
      </c>
      <c r="G18" s="11">
        <f>(ins_early+G$14*(ins_target-ins_early))*'Macro &amp; Indexation'!G$20</f>
        <v>2153.7812499999995</v>
      </c>
      <c r="H18" s="11">
        <f>(ins_early+H$14*(ins_target-ins_early))*'Macro &amp; Indexation'!H$20</f>
        <v>2207.6257812499994</v>
      </c>
      <c r="I18" s="11">
        <f>(ins_early+I$14*(ins_target-ins_early))*'Macro &amp; Indexation'!I$20</f>
        <v>2262.8164257812491</v>
      </c>
      <c r="J18" s="11">
        <f>(ins_early+J$14*(ins_target-ins_early))*'Macro &amp; Indexation'!J$20</f>
        <v>2319.3868364257805</v>
      </c>
      <c r="K18" s="11">
        <f>(ins_early+K$14*(ins_target-ins_early))*'Macro &amp; Indexation'!K$20</f>
        <v>2377.3715073364247</v>
      </c>
      <c r="L18" s="11">
        <f>(ins_early+L$14*(ins_target-ins_early))*'Macro &amp; Indexation'!L$20</f>
        <v>2436.8057950198349</v>
      </c>
      <c r="M18" s="11">
        <f>(ins_early+M$14*(ins_target-ins_early))*'Macro &amp; Indexation'!M$20</f>
        <v>2497.7259398953306</v>
      </c>
      <c r="N18" s="11">
        <f>(ins_early+N$14*(ins_target-ins_early))*'Macro &amp; Indexation'!N$20</f>
        <v>2560.1690883927131</v>
      </c>
      <c r="O18" s="11">
        <f>(ins_early+O$14*(ins_target-ins_early))*'Macro &amp; Indexation'!O$20</f>
        <v>2624.1733156025311</v>
      </c>
      <c r="P18" s="11">
        <f>(ins_early+P$14*(ins_target-ins_early))*'Macro &amp; Indexation'!P$20</f>
        <v>2689.7776484925944</v>
      </c>
      <c r="Q18" s="11">
        <f>(ins_early+Q$14*(ins_target-ins_early))*'Macro &amp; Indexation'!Q$20</f>
        <v>2757.0220897049089</v>
      </c>
      <c r="R18" s="11">
        <f>(ins_early+R$14*(ins_target-ins_early))*'Macro &amp; Indexation'!R$20</f>
        <v>2825.9476419475313</v>
      </c>
      <c r="S18" s="11">
        <f>(ins_early+S$14*(ins_target-ins_early))*'Macro &amp; Indexation'!S$20</f>
        <v>2896.5963329962192</v>
      </c>
      <c r="T18" s="11">
        <f>(ins_early+T$14*(ins_target-ins_early))*'Macro &amp; Indexation'!T$20</f>
        <v>2969.0112413211245</v>
      </c>
      <c r="U18" s="11">
        <f>(ins_early+U$14*(ins_target-ins_early))*'Macro &amp; Indexation'!U$20</f>
        <v>3043.2365223541524</v>
      </c>
      <c r="V18" s="11">
        <f>(ins_early+V$14*(ins_target-ins_early))*'Macro &amp; Indexation'!V$20</f>
        <v>3119.3174354130056</v>
      </c>
      <c r="W18" s="11">
        <f>(ins_early+W$14*(ins_target-ins_early))*'Macro &amp; Indexation'!W$20</f>
        <v>3197.3003712983304</v>
      </c>
      <c r="X18" s="11">
        <f>(ins_early+X$14*(ins_target-ins_early))*'Macro &amp; Indexation'!X$20</f>
        <v>3277.2328805807883</v>
      </c>
      <c r="Y18" s="11">
        <f>(ins_early+Y$14*(ins_target-ins_early))*'Macro &amp; Indexation'!Y$20</f>
        <v>3359.1637025953078</v>
      </c>
      <c r="Z18" s="11">
        <f>(ins_early+Z$14*(ins_target-ins_early))*'Macro &amp; Indexation'!Z$20</f>
        <v>3443.14279516019</v>
      </c>
      <c r="AA18" s="11">
        <f>(ins_early+AA$14*(ins_target-ins_early))*'Macro &amp; Indexation'!AA$20</f>
        <v>3529.2213650391946</v>
      </c>
      <c r="AB18" s="11">
        <f>(ins_early+AB$14*(ins_target-ins_early))*'Macro &amp; Indexation'!AB$20</f>
        <v>3617.4518991651744</v>
      </c>
      <c r="AC18" s="11">
        <f>(ins_early+AC$14*(ins_target-ins_early))*'Macro &amp; Indexation'!AC$20</f>
        <v>3707.8881966443032</v>
      </c>
      <c r="AD18" s="11">
        <f>(ins_early+AD$14*(ins_target-ins_early))*'Macro &amp; Indexation'!AD$20</f>
        <v>3800.5854015604104</v>
      </c>
      <c r="AE18" s="11">
        <f>(ins_early+AE$14*(ins_target-ins_early))*'Macro &amp; Indexation'!AE$20</f>
        <v>3895.6000365994205</v>
      </c>
      <c r="AF18" s="11">
        <f>(ins_early+AF$14*(ins_target-ins_early))*'Macro &amp; Indexation'!AF$20</f>
        <v>3992.9900375144057</v>
      </c>
      <c r="AG18" s="11">
        <f>(ins_early+AG$14*(ins_target-ins_early))*'Macro &amp; Indexation'!AG$20</f>
        <v>4092.814788452265</v>
      </c>
      <c r="AH18" s="11">
        <f>(ins_early+AH$14*(ins_target-ins_early))*'Macro &amp; Indexation'!AH$20</f>
        <v>4195.1351581635718</v>
      </c>
      <c r="AI18" s="11">
        <f>(ins_early+AI$14*(ins_target-ins_early))*'Macro &amp; Indexation'!AI$20</f>
        <v>4300.0135371176602</v>
      </c>
      <c r="AJ18" s="11">
        <f>(ins_early+AJ$14*(ins_target-ins_early))*'Macro &amp; Indexation'!AJ$20</f>
        <v>4407.513875545601</v>
      </c>
      <c r="AK18" s="11">
        <f>(ins_early+AK$14*(ins_target-ins_early))*'Macro &amp; Indexation'!AK$20</f>
        <v>4517.7017224342408</v>
      </c>
      <c r="AL18" s="11">
        <f>(ins_early+AL$14*(ins_target-ins_early))*'Macro &amp; Indexation'!AL$20</f>
        <v>4630.6442654950961</v>
      </c>
      <c r="AM18" s="11">
        <f>(ins_early+AM$14*(ins_target-ins_early))*'Macro &amp; Indexation'!AM$20</f>
        <v>4746.4103721324736</v>
      </c>
      <c r="AN18" s="11">
        <f>(ins_early+AN$14*(ins_target-ins_early))*'Macro &amp; Indexation'!AN$20</f>
        <v>4865.0706314357849</v>
      </c>
      <c r="AO18" s="11">
        <f>(ins_early+AO$14*(ins_target-ins_early))*'Macro &amp; Indexation'!AO$20</f>
        <v>4986.6973972216792</v>
      </c>
      <c r="AP18" s="11">
        <f>(ins_early+AP$14*(ins_target-ins_early))*'Macro &amp; Indexation'!AP$20</f>
        <v>5111.3648321522205</v>
      </c>
      <c r="AQ18" s="11">
        <f>(ins_early+AQ$14*(ins_target-ins_early))*'Macro &amp; Indexation'!AQ$20</f>
        <v>5239.1489529560258</v>
      </c>
      <c r="AR18" s="11">
        <f>(ins_early+AR$14*(ins_target-ins_early))*'Macro &amp; Indexation'!AR$20</f>
        <v>5370.1276767799263</v>
      </c>
      <c r="AS18" s="11">
        <f>(ins_early+AS$14*(ins_target-ins_early))*'Macro &amp; Indexation'!AS$20</f>
        <v>5504.3808686994234</v>
      </c>
      <c r="AT18" s="11">
        <f>(ins_early+AT$14*(ins_target-ins_early))*'Macro &amp; Indexation'!AT$20</f>
        <v>5641.9903904169096</v>
      </c>
      <c r="AU18" s="11">
        <f>(ins_early+AU$14*(ins_target-ins_early))*'Macro &amp; Indexation'!AU$20</f>
        <v>5783.0401501773313</v>
      </c>
      <c r="AV18" s="11">
        <f>(ins_early+AV$14*(ins_target-ins_early))*'Macro &amp; Indexation'!AV$20</f>
        <v>5927.6161539317645</v>
      </c>
      <c r="AW18" s="11">
        <f>(ins_early+AW$14*(ins_target-ins_early))*'Macro &amp; Indexation'!AW$20</f>
        <v>6075.8065577800589</v>
      </c>
      <c r="AX18" s="11">
        <f>(ins_early+AX$14*(ins_target-ins_early))*'Macro &amp; Indexation'!AX$20</f>
        <v>6227.7017217245602</v>
      </c>
      <c r="AY18" s="11">
        <f>(ins_early+AY$14*(ins_target-ins_early))*'Macro &amp; Indexation'!AY$20</f>
        <v>6383.394264767674</v>
      </c>
      <c r="AZ18" s="11">
        <f>(ins_early+AZ$14*(ins_target-ins_early))*'Macro &amp; Indexation'!AZ$20</f>
        <v>6542.9791213868648</v>
      </c>
      <c r="BA18" s="11">
        <f>(ins_early+BA$14*(ins_target-ins_early))*'Macro &amp; Indexation'!BA$20</f>
        <v>6706.5535994215361</v>
      </c>
    </row>
    <row r="19" spans="1:53" x14ac:dyDescent="0.3">
      <c r="A19" s="3" t="s">
        <v>113</v>
      </c>
      <c r="B19" t="s">
        <v>48</v>
      </c>
      <c r="D19" s="11">
        <f ca="1">admin_per_prop*D11*'Macro &amp; Indexation'!D$20</f>
        <v>150</v>
      </c>
      <c r="E19" s="11">
        <f ca="1">admin_per_prop*E11*'Macro &amp; Indexation'!E$20</f>
        <v>461.24999999999994</v>
      </c>
      <c r="F19" s="11">
        <f ca="1">admin_per_prop*F11*'Macro &amp; Indexation'!F$20</f>
        <v>945.56249999999989</v>
      </c>
      <c r="G19" s="11">
        <f ca="1">admin_per_prop*G11*'Macro &amp; Indexation'!G$20</f>
        <v>1453.8023437499999</v>
      </c>
      <c r="H19" s="11">
        <f ca="1">admin_per_prop*H11*'Macro &amp; Indexation'!H$20</f>
        <v>1986.8632031249995</v>
      </c>
      <c r="I19" s="11">
        <f ca="1">admin_per_prop*I11*'Macro &amp; Indexation'!I$20</f>
        <v>2545.6684790039053</v>
      </c>
      <c r="J19" s="11">
        <f ca="1">admin_per_prop*J11*'Macro &amp; Indexation'!J$20</f>
        <v>3131.1722291748033</v>
      </c>
      <c r="K19" s="11">
        <f ca="1">admin_per_prop*K11*'Macro &amp; Indexation'!K$20</f>
        <v>3744.3601240548687</v>
      </c>
      <c r="L19" s="11">
        <f ca="1">admin_per_prop*L11*'Macro &amp; Indexation'!L$20</f>
        <v>4386.2504310357026</v>
      </c>
      <c r="M19" s="11">
        <f ca="1">admin_per_prop*M11*'Macro &amp; Indexation'!M$20</f>
        <v>5057.8950282880442</v>
      </c>
      <c r="N19" s="11">
        <f ca="1">admin_per_prop*N11*'Macro &amp; Indexation'!N$20</f>
        <v>5376.3550856246975</v>
      </c>
      <c r="O19" s="11">
        <f ca="1">admin_per_prop*O11*'Macro &amp; Indexation'!O$20</f>
        <v>5510.7639627653152</v>
      </c>
      <c r="P19" s="11">
        <f ca="1">admin_per_prop*P11*'Macro &amp; Indexation'!P$20</f>
        <v>5648.5330618344478</v>
      </c>
      <c r="Q19" s="11">
        <f ca="1">admin_per_prop*Q11*'Macro &amp; Indexation'!Q$20</f>
        <v>5789.7463883803084</v>
      </c>
      <c r="R19" s="11">
        <f ca="1">admin_per_prop*R11*'Macro &amp; Indexation'!R$20</f>
        <v>5934.4900480898159</v>
      </c>
      <c r="S19" s="11">
        <f ca="1">admin_per_prop*S11*'Macro &amp; Indexation'!S$20</f>
        <v>6082.8522992920607</v>
      </c>
      <c r="T19" s="11">
        <f ca="1">admin_per_prop*T11*'Macro &amp; Indexation'!T$20</f>
        <v>6234.9236067743614</v>
      </c>
      <c r="U19" s="11">
        <f ca="1">admin_per_prop*U11*'Macro &amp; Indexation'!U$20</f>
        <v>6390.7966969437193</v>
      </c>
      <c r="V19" s="11">
        <f ca="1">admin_per_prop*V11*'Macro &amp; Indexation'!V$20</f>
        <v>6550.5666143673125</v>
      </c>
      <c r="W19" s="11">
        <f ca="1">admin_per_prop*W11*'Macro &amp; Indexation'!W$20</f>
        <v>6714.3307797264943</v>
      </c>
      <c r="X19" s="11">
        <f ca="1">admin_per_prop*X11*'Macro &amp; Indexation'!X$20</f>
        <v>6882.1890492196553</v>
      </c>
      <c r="Y19" s="11">
        <f ca="1">admin_per_prop*Y11*'Macro &amp; Indexation'!Y$20</f>
        <v>7054.2437754501461</v>
      </c>
      <c r="Z19" s="11">
        <f ca="1">admin_per_prop*Z11*'Macro &amp; Indexation'!Z$20</f>
        <v>7488.8355794734134</v>
      </c>
      <c r="AA19" s="11">
        <f ca="1">admin_per_prop*AA11*'Macro &amp; Indexation'!AA$20</f>
        <v>7676.0564689602479</v>
      </c>
      <c r="AB19" s="11">
        <f ca="1">admin_per_prop*AB11*'Macro &amp; Indexation'!AB$20</f>
        <v>7867.9578806842537</v>
      </c>
      <c r="AC19" s="11">
        <f ca="1">admin_per_prop*AC11*'Macro &amp; Indexation'!AC$20</f>
        <v>8064.6568277013594</v>
      </c>
      <c r="AD19" s="11">
        <f ca="1">admin_per_prop*AD11*'Macro &amp; Indexation'!AD$20</f>
        <v>8551.3171535109232</v>
      </c>
      <c r="AE19" s="11">
        <f ca="1">admin_per_prop*AE11*'Macro &amp; Indexation'!AE$20</f>
        <v>8765.1000823486957</v>
      </c>
      <c r="AF19" s="11">
        <f ca="1">admin_per_prop*AF11*'Macro &amp; Indexation'!AF$20</f>
        <v>8984.227584407412</v>
      </c>
      <c r="AG19" s="11">
        <f ca="1">admin_per_prop*AG11*'Macro &amp; Indexation'!AG$20</f>
        <v>9515.7943831515167</v>
      </c>
      <c r="AH19" s="11">
        <f ca="1">admin_per_prop*AH11*'Macro &amp; Indexation'!AH$20</f>
        <v>9753.6892427303046</v>
      </c>
      <c r="AI19" s="11">
        <f ca="1">admin_per_prop*AI11*'Macro &amp; Indexation'!AI$20</f>
        <v>10320.032489082385</v>
      </c>
      <c r="AJ19" s="11">
        <f ca="1">admin_per_prop*AJ11*'Macro &amp; Indexation'!AJ$20</f>
        <v>10908.596841975363</v>
      </c>
      <c r="AK19" s="11">
        <f ca="1">admin_per_prop*AK11*'Macro &amp; Indexation'!AK$20</f>
        <v>11181.311763024747</v>
      </c>
      <c r="AL19" s="11">
        <f ca="1">admin_per_prop*AL11*'Macro &amp; Indexation'!AL$20</f>
        <v>11808.142877012495</v>
      </c>
      <c r="AM19" s="11">
        <f ca="1">admin_per_prop*AM11*'Macro &amp; Indexation'!AM$20</f>
        <v>12459.327226847743</v>
      </c>
      <c r="AN19" s="11">
        <f ca="1">admin_per_prop*AN11*'Macro &amp; Indexation'!AN$20</f>
        <v>12770.810407518935</v>
      </c>
      <c r="AO19" s="11">
        <f ca="1">admin_per_prop*AO11*'Macro &amp; Indexation'!AO$20</f>
        <v>13464.082972498534</v>
      </c>
      <c r="AP19" s="11">
        <f ca="1">admin_per_prop*AP11*'Macro &amp; Indexation'!AP$20</f>
        <v>14184.037409222414</v>
      </c>
      <c r="AQ19" s="11">
        <f ca="1">admin_per_prop*AQ11*'Macro &amp; Indexation'!AQ$20</f>
        <v>14931.574515924674</v>
      </c>
      <c r="AR19" s="11">
        <f ca="1">admin_per_prop*AR11*'Macro &amp; Indexation'!AR$20</f>
        <v>15707.623454581284</v>
      </c>
      <c r="AS19" s="11">
        <f ca="1">admin_per_prop*AS11*'Macro &amp; Indexation'!AS$20</f>
        <v>16513.14260609827</v>
      </c>
      <c r="AT19" s="11">
        <f ca="1">admin_per_prop*AT11*'Macro &amp; Indexation'!AT$20</f>
        <v>17349.120450531995</v>
      </c>
      <c r="AU19" s="11">
        <f ca="1">admin_per_prop*AU11*'Macro &amp; Indexation'!AU$20</f>
        <v>18216.576473058594</v>
      </c>
      <c r="AV19" s="11">
        <f ca="1">admin_per_prop*AV11*'Macro &amp; Indexation'!AV$20</f>
        <v>19116.562096429941</v>
      </c>
      <c r="AW19" s="11">
        <f ca="1">admin_per_prop*AW11*'Macro &amp; Indexation'!AW$20</f>
        <v>20050.161640674192</v>
      </c>
      <c r="AX19" s="11">
        <f ca="1">admin_per_prop*AX11*'Macro &amp; Indexation'!AX$20</f>
        <v>21485.570939949732</v>
      </c>
      <c r="AY19" s="11">
        <f ca="1">admin_per_prop*AY11*'Macro &amp; Indexation'!AY$20</f>
        <v>22501.464783306048</v>
      </c>
      <c r="AZ19" s="11">
        <f ca="1">admin_per_prop*AZ11*'Macro &amp; Indexation'!AZ$20</f>
        <v>23554.724836992715</v>
      </c>
      <c r="BA19" s="11">
        <f ca="1">admin_per_prop*BA11*'Macro &amp; Indexation'!BA$20</f>
        <v>24646.584477874145</v>
      </c>
    </row>
    <row r="20" spans="1:53" x14ac:dyDescent="0.3">
      <c r="A20" s="3" t="s">
        <v>114</v>
      </c>
      <c r="B20" s="3" t="s">
        <v>48</v>
      </c>
      <c r="C20" s="3"/>
      <c r="D20" s="38">
        <f t="shared" ref="D20:AI20" ca="1" si="6">SUM(D15:D19)</f>
        <v>5650</v>
      </c>
      <c r="E20" s="38">
        <f t="shared" ca="1" si="6"/>
        <v>12761.249999999998</v>
      </c>
      <c r="F20" s="38">
        <f t="shared" ca="1" si="6"/>
        <v>20382.125</v>
      </c>
      <c r="G20" s="38">
        <f t="shared" ca="1" si="6"/>
        <v>28376.067968749998</v>
      </c>
      <c r="H20" s="38">
        <f t="shared" ca="1" si="6"/>
        <v>29582.185468749991</v>
      </c>
      <c r="I20" s="38">
        <f t="shared" ca="1" si="6"/>
        <v>30830.873801269518</v>
      </c>
      <c r="J20" s="38">
        <f t="shared" ca="1" si="6"/>
        <v>32123.507684497057</v>
      </c>
      <c r="K20" s="38">
        <f t="shared" ca="1" si="6"/>
        <v>33461.503965760181</v>
      </c>
      <c r="L20" s="38">
        <f t="shared" ca="1" si="6"/>
        <v>34846.322868783638</v>
      </c>
      <c r="M20" s="38">
        <f t="shared" ca="1" si="6"/>
        <v>36279.469276979675</v>
      </c>
      <c r="N20" s="38">
        <f t="shared" ca="1" si="6"/>
        <v>37378.468690533613</v>
      </c>
      <c r="O20" s="38">
        <f t="shared" ca="1" si="6"/>
        <v>38312.930407796957</v>
      </c>
      <c r="P20" s="38">
        <f t="shared" ca="1" si="6"/>
        <v>39270.75366799187</v>
      </c>
      <c r="Q20" s="38">
        <f t="shared" ca="1" si="6"/>
        <v>40252.522509691669</v>
      </c>
      <c r="R20" s="38">
        <f t="shared" ca="1" si="6"/>
        <v>41258.835572433956</v>
      </c>
      <c r="S20" s="38">
        <f t="shared" ca="1" si="6"/>
        <v>42290.306461744804</v>
      </c>
      <c r="T20" s="38">
        <f t="shared" ca="1" si="6"/>
        <v>43347.564123288415</v>
      </c>
      <c r="U20" s="38">
        <f t="shared" ca="1" si="6"/>
        <v>44431.253226370616</v>
      </c>
      <c r="V20" s="38">
        <f t="shared" ca="1" si="6"/>
        <v>45542.034557029889</v>
      </c>
      <c r="W20" s="38">
        <f t="shared" ca="1" si="6"/>
        <v>46680.585420955627</v>
      </c>
      <c r="X20" s="38">
        <f t="shared" ca="1" si="6"/>
        <v>47847.60005647951</v>
      </c>
      <c r="Y20" s="38">
        <f t="shared" ca="1" si="6"/>
        <v>49043.7900578915</v>
      </c>
      <c r="Z20" s="38">
        <f t="shared" ca="1" si="6"/>
        <v>50528.120518975789</v>
      </c>
      <c r="AA20" s="38">
        <f t="shared" ca="1" si="6"/>
        <v>51791.323531950176</v>
      </c>
      <c r="AB20" s="38">
        <f t="shared" ca="1" si="6"/>
        <v>53086.106620248931</v>
      </c>
      <c r="AC20" s="38">
        <f t="shared" ca="1" si="6"/>
        <v>54413.25928575515</v>
      </c>
      <c r="AD20" s="38">
        <f t="shared" ca="1" si="6"/>
        <v>56058.634673016051</v>
      </c>
      <c r="AE20" s="38">
        <f t="shared" ca="1" si="6"/>
        <v>57460.100539841449</v>
      </c>
      <c r="AF20" s="38">
        <f t="shared" ca="1" si="6"/>
        <v>58896.60305333748</v>
      </c>
      <c r="AG20" s="38">
        <f t="shared" ca="1" si="6"/>
        <v>60675.979238804823</v>
      </c>
      <c r="AH20" s="38">
        <f t="shared" ca="1" si="6"/>
        <v>62192.878719774955</v>
      </c>
      <c r="AI20" s="38">
        <f t="shared" ca="1" si="6"/>
        <v>64070.201703053128</v>
      </c>
      <c r="AJ20" s="38">
        <f t="shared" ref="AJ20:BA20" ca="1" si="7">SUM(AJ15:AJ19)</f>
        <v>66002.520286295359</v>
      </c>
      <c r="AK20" s="38">
        <f t="shared" ca="1" si="7"/>
        <v>67652.583293452757</v>
      </c>
      <c r="AL20" s="38">
        <f t="shared" ca="1" si="7"/>
        <v>69691.196195701195</v>
      </c>
      <c r="AM20" s="38">
        <f t="shared" ca="1" si="7"/>
        <v>71789.456878503654</v>
      </c>
      <c r="AN20" s="38">
        <f t="shared" ca="1" si="7"/>
        <v>73584.193300466242</v>
      </c>
      <c r="AO20" s="38">
        <f t="shared" ca="1" si="7"/>
        <v>75797.800437769518</v>
      </c>
      <c r="AP20" s="38">
        <f t="shared" ca="1" si="7"/>
        <v>78076.097811125175</v>
      </c>
      <c r="AQ20" s="38">
        <f t="shared" ca="1" si="7"/>
        <v>80420.936427875</v>
      </c>
      <c r="AR20" s="38">
        <f t="shared" ca="1" si="7"/>
        <v>82834.219414330379</v>
      </c>
      <c r="AS20" s="38">
        <f t="shared" ca="1" si="7"/>
        <v>85317.903464841045</v>
      </c>
      <c r="AT20" s="38">
        <f t="shared" ca="1" si="7"/>
        <v>87874.000330743351</v>
      </c>
      <c r="AU20" s="38">
        <f t="shared" ca="1" si="7"/>
        <v>90504.578350275246</v>
      </c>
      <c r="AV20" s="38">
        <f t="shared" ca="1" si="7"/>
        <v>93211.764020577</v>
      </c>
      <c r="AW20" s="38">
        <f t="shared" ca="1" si="7"/>
        <v>95997.743612924925</v>
      </c>
      <c r="AX20" s="38">
        <f t="shared" ca="1" si="7"/>
        <v>99331.84246150672</v>
      </c>
      <c r="AY20" s="38">
        <f t="shared" ca="1" si="7"/>
        <v>102293.89309290197</v>
      </c>
      <c r="AZ20" s="38">
        <f t="shared" ca="1" si="7"/>
        <v>105341.96385432853</v>
      </c>
      <c r="BA20" s="38">
        <f t="shared" ca="1" si="7"/>
        <v>108478.50447064334</v>
      </c>
    </row>
    <row r="22" spans="1:53" x14ac:dyDescent="0.3">
      <c r="A22" s="37" t="s">
        <v>311</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row>
    <row r="23" spans="1:53" x14ac:dyDescent="0.3">
      <c r="A23" s="3" t="s">
        <v>312</v>
      </c>
      <c r="B23" t="s">
        <v>48</v>
      </c>
      <c r="D23" s="11">
        <f>'Macro &amp; Indexation'!D19*(1+sdlt_rate)+(conveyancing+survey_cost+retrofit_cost)*'Macro &amp; Indexation'!D20</f>
        <v>288300</v>
      </c>
      <c r="E23" s="11">
        <f>'Macro &amp; Indexation'!E19*(1+sdlt_rate)+(conveyancing+survey_cost+retrofit_cost)*'Macro &amp; Indexation'!E20</f>
        <v>298307.5</v>
      </c>
      <c r="F23" s="11">
        <f>'Macro &amp; Indexation'!F19*(1+sdlt_rate)+(conveyancing+survey_cost+retrofit_cost)*'Macro &amp; Indexation'!F20</f>
        <v>308663.18749999994</v>
      </c>
      <c r="G23" s="11">
        <f>'Macro &amp; Indexation'!G19*(1+sdlt_rate)+(conveyancing+survey_cost+retrofit_cost)*'Macro &amp; Indexation'!G20</f>
        <v>319379.19718749996</v>
      </c>
      <c r="H23" s="11">
        <f>'Macro &amp; Indexation'!H19*(1+sdlt_rate)+(conveyancing+survey_cost+retrofit_cost)*'Macro &amp; Indexation'!H20</f>
        <v>330468.08716718742</v>
      </c>
      <c r="I23" s="11">
        <f>'Macro &amp; Indexation'!I19*(1+sdlt_rate)+(conveyancing+survey_cost+retrofit_cost)*'Macro &amp; Indexation'!I20</f>
        <v>341942.85374811699</v>
      </c>
      <c r="J23" s="11">
        <f>'Macro &amp; Indexation'!J19*(1+sdlt_rate)+(conveyancing+survey_cost+retrofit_cost)*'Macro &amp; Indexation'!J20</f>
        <v>353816.94674763118</v>
      </c>
      <c r="K23" s="11">
        <f>'Macro &amp; Indexation'!K19*(1+sdlt_rate)+(conveyancing+survey_cost+retrofit_cost)*'Macro &amp; Indexation'!K20</f>
        <v>366104.2853300866</v>
      </c>
      <c r="L23" s="11">
        <f>'Macro &amp; Indexation'!L19*(1+sdlt_rate)+(conveyancing+survey_cost+retrofit_cost)*'Macro &amp; Indexation'!L20</f>
        <v>378819.27439908514</v>
      </c>
      <c r="M23" s="11">
        <f>'Macro &amp; Indexation'!M19*(1+sdlt_rate)+(conveyancing+survey_cost+retrofit_cost)*'Macro &amp; Indexation'!M20</f>
        <v>391976.82156255975</v>
      </c>
      <c r="N23" s="11">
        <f>'Macro &amp; Indexation'!N19*(1+sdlt_rate)+(conveyancing+survey_cost+retrofit_cost)*'Macro &amp; Indexation'!N20</f>
        <v>405592.35469074361</v>
      </c>
      <c r="O23" s="11">
        <f>'Macro &amp; Indexation'!O19*(1+sdlt_rate)+(conveyancing+survey_cost+retrofit_cost)*'Macro &amp; Indexation'!O20</f>
        <v>419681.84008775128</v>
      </c>
      <c r="P23" s="11">
        <f>'Macro &amp; Indexation'!P19*(1+sdlt_rate)+(conveyancing+survey_cost+retrofit_cost)*'Macro &amp; Indexation'!P20</f>
        <v>434261.80129822507</v>
      </c>
      <c r="Q23" s="11">
        <f>'Macro &amp; Indexation'!Q19*(1+sdlt_rate)+(conveyancing+survey_cost+retrofit_cost)*'Macro &amp; Indexation'!Q20</f>
        <v>449349.3385712505</v>
      </c>
      <c r="R23" s="11">
        <f>'Macro &amp; Indexation'!R19*(1+sdlt_rate)+(conveyancing+survey_cost+retrofit_cost)*'Macro &amp; Indexation'!R20</f>
        <v>464962.14900452143</v>
      </c>
      <c r="S23" s="11">
        <f>'Macro &amp; Indexation'!S19*(1+sdlt_rate)+(conveyancing+survey_cost+retrofit_cost)*'Macro &amp; Indexation'!S20</f>
        <v>481118.54739253881</v>
      </c>
      <c r="T23" s="11">
        <f>'Macro &amp; Indexation'!T19*(1+sdlt_rate)+(conveyancing+survey_cost+retrofit_cost)*'Macro &amp; Indexation'!T20</f>
        <v>497837.48780345829</v>
      </c>
      <c r="U23" s="11">
        <f>'Macro &amp; Indexation'!U19*(1+sdlt_rate)+(conveyancing+survey_cost+retrofit_cost)*'Macro &amp; Indexation'!U20</f>
        <v>515138.58591006446</v>
      </c>
      <c r="V23" s="11">
        <f>'Macro &amp; Indexation'!V19*(1+sdlt_rate)+(conveyancing+survey_cost+retrofit_cost)*'Macro &amp; Indexation'!V20</f>
        <v>533042.14210123906</v>
      </c>
      <c r="W23" s="11">
        <f>'Macro &amp; Indexation'!W19*(1+sdlt_rate)+(conveyancing+survey_cost+retrofit_cost)*'Macro &amp; Indexation'!W20</f>
        <v>551569.16540121264</v>
      </c>
      <c r="X23" s="11">
        <f>'Macro &amp; Indexation'!X19*(1+sdlt_rate)+(conveyancing+survey_cost+retrofit_cost)*'Macro &amp; Indexation'!X20</f>
        <v>570741.39822484623</v>
      </c>
      <c r="Y23" s="11">
        <f>'Macro &amp; Indexation'!Y19*(1+sdlt_rate)+(conveyancing+survey_cost+retrofit_cost)*'Macro &amp; Indexation'!Y20</f>
        <v>590581.34199817164</v>
      </c>
      <c r="Z23" s="11">
        <f>'Macro &amp; Indexation'!Z19*(1+sdlt_rate)+(conveyancing+survey_cost+retrofit_cost)*'Macro &amp; Indexation'!Z20</f>
        <v>611112.28367444989</v>
      </c>
      <c r="AA23" s="11">
        <f>'Macro &amp; Indexation'!AA19*(1+sdlt_rate)+(conveyancing+survey_cost+retrofit_cost)*'Macro &amp; Indexation'!AA20</f>
        <v>632358.3231770565</v>
      </c>
      <c r="AB23" s="11">
        <f>'Macro &amp; Indexation'!AB19*(1+sdlt_rate)+(conveyancing+survey_cost+retrofit_cost)*'Macro &amp; Indexation'!AB20</f>
        <v>654344.4018016042</v>
      </c>
      <c r="AC23" s="11">
        <f>'Macro &amp; Indexation'!AC19*(1+sdlt_rate)+(conveyancing+survey_cost+retrofit_cost)*'Macro &amp; Indexation'!AC20</f>
        <v>677096.33161084494</v>
      </c>
      <c r="AD23" s="11">
        <f>'Macro &amp; Indexation'!AD19*(1+sdlt_rate)+(conveyancing+survey_cost+retrofit_cost)*'Macro &amp; Indexation'!AD20</f>
        <v>700640.82585706387</v>
      </c>
      <c r="AE23" s="11">
        <f>'Macro &amp; Indexation'!AE19*(1+sdlt_rate)+(conveyancing+survey_cost+retrofit_cost)*'Macro &amp; Indexation'!AE20</f>
        <v>725005.53046789626</v>
      </c>
      <c r="AF23" s="11">
        <f>'Macro &amp; Indexation'!AF19*(1+sdlt_rate)+(conveyancing+survey_cost+retrofit_cost)*'Macro &amp; Indexation'!AF20</f>
        <v>750219.05663275369</v>
      </c>
      <c r="AG23" s="11">
        <f>'Macro &amp; Indexation'!AG19*(1+sdlt_rate)+(conveyancing+survey_cost+retrofit_cost)*'Macro &amp; Indexation'!AG20</f>
        <v>776311.0145283431</v>
      </c>
      <c r="AH23" s="11">
        <f>'Macro &amp; Indexation'!AH19*(1+sdlt_rate)+(conveyancing+survey_cost+retrofit_cost)*'Macro &amp; Indexation'!AH20</f>
        <v>803312.04822311434</v>
      </c>
      <c r="AI23" s="11">
        <f>'Macro &amp; Indexation'!AI19*(1+sdlt_rate)+(conveyancing+survey_cost+retrofit_cost)*'Macro &amp; Indexation'!AI20</f>
        <v>831253.87180185947</v>
      </c>
      <c r="AJ23" s="11">
        <f>'Macro &amp; Indexation'!AJ19*(1+sdlt_rate)+(conveyancing+survey_cost+retrofit_cost)*'Macro &amp; Indexation'!AJ20</f>
        <v>860169.30675313401</v>
      </c>
      <c r="AK23" s="11">
        <f>'Macro &amp; Indexation'!AK19*(1+sdlt_rate)+(conveyancing+survey_cost+retrofit_cost)*'Macro &amp; Indexation'!AK20</f>
        <v>890092.32066365855</v>
      </c>
      <c r="AL23" s="11">
        <f>'Macro &amp; Indexation'!AL19*(1+sdlt_rate)+(conveyancing+survey_cost+retrofit_cost)*'Macro &amp; Indexation'!AL20</f>
        <v>921058.06726540544</v>
      </c>
      <c r="AM23" s="11">
        <f>'Macro &amp; Indexation'!AM19*(1+sdlt_rate)+(conveyancing+survey_cost+retrofit_cost)*'Macro &amp; Indexation'!AM20</f>
        <v>953102.92788267659</v>
      </c>
      <c r="AN23" s="11">
        <f>'Macro &amp; Indexation'!AN19*(1+sdlt_rate)+(conveyancing+survey_cost+retrofit_cost)*'Macro &amp; Indexation'!AN20</f>
        <v>986264.55432812672</v>
      </c>
      <c r="AO23" s="11">
        <f>'Macro &amp; Indexation'!AO19*(1+sdlt_rate)+(conveyancing+survey_cost+retrofit_cost)*'Macro &amp; Indexation'!AO20</f>
        <v>1020581.9132984064</v>
      </c>
      <c r="AP23" s="11">
        <f>'Macro &amp; Indexation'!AP19*(1+sdlt_rate)+(conveyancing+survey_cost+retrofit_cost)*'Macro &amp; Indexation'!AP20</f>
        <v>1056095.3323218659</v>
      </c>
      <c r="AQ23" s="11">
        <f>'Macro &amp; Indexation'!AQ19*(1+sdlt_rate)+(conveyancing+survey_cost+retrofit_cost)*'Macro &amp; Indexation'!AQ20</f>
        <v>1092846.5473125968</v>
      </c>
      <c r="AR23" s="11">
        <f>'Macro &amp; Indexation'!AR19*(1+sdlt_rate)+(conveyancing+survey_cost+retrofit_cost)*'Macro &amp; Indexation'!AR20</f>
        <v>1130878.7517869899</v>
      </c>
      <c r="AS23" s="11">
        <f>'Macro &amp; Indexation'!AS19*(1+sdlt_rate)+(conveyancing+survey_cost+retrofit_cost)*'Macro &amp; Indexation'!AS20</f>
        <v>1170236.647800948</v>
      </c>
      <c r="AT23" s="11">
        <f>'Macro &amp; Indexation'!AT19*(1+sdlt_rate)+(conveyancing+survey_cost+retrofit_cost)*'Macro &amp; Indexation'!AT20</f>
        <v>1210966.4986679303</v>
      </c>
      <c r="AU23" s="11">
        <f>'Macro &amp; Indexation'!AU19*(1+sdlt_rate)+(conveyancing+survey_cost+retrofit_cost)*'Macro &amp; Indexation'!AU20</f>
        <v>1253116.1835201052</v>
      </c>
      <c r="AV23" s="11">
        <f>'Macro &amp; Indexation'!AV19*(1+sdlt_rate)+(conveyancing+survey_cost+retrofit_cost)*'Macro &amp; Indexation'!AV20</f>
        <v>1296735.2537770765</v>
      </c>
      <c r="AW23" s="11">
        <f>'Macro &amp; Indexation'!AW19*(1+sdlt_rate)+(conveyancing+survey_cost+retrofit_cost)*'Macro &amp; Indexation'!AW20</f>
        <v>1341874.9915888857</v>
      </c>
      <c r="AX23" s="11">
        <f>'Macro &amp; Indexation'!AX19*(1+sdlt_rate)+(conveyancing+survey_cost+retrofit_cost)*'Macro &amp; Indexation'!AX20</f>
        <v>1388588.4703223489</v>
      </c>
      <c r="AY23" s="11">
        <f>'Macro &amp; Indexation'!AY19*(1+sdlt_rate)+(conveyancing+survey_cost+retrofit_cost)*'Macro &amp; Indexation'!AY20</f>
        <v>1436930.6171621792</v>
      </c>
      <c r="AZ23" s="11">
        <f>'Macro &amp; Indexation'!AZ19*(1+sdlt_rate)+(conveyancing+survey_cost+retrofit_cost)*'Macro &amp; Indexation'!AZ20</f>
        <v>1486958.2779008676</v>
      </c>
      <c r="BA23" s="11">
        <f>'Macro &amp; Indexation'!BA19*(1+sdlt_rate)+(conveyancing+survey_cost+retrofit_cost)*'Macro &amp; Indexation'!BA20</f>
        <v>1538730.28399386</v>
      </c>
    </row>
    <row r="24" spans="1:53" x14ac:dyDescent="0.3">
      <c r="A24" s="3" t="s">
        <v>313</v>
      </c>
      <c r="B24" t="s">
        <v>48</v>
      </c>
      <c r="D24" s="11">
        <f ca="1">D27*MIN(MAX(0,pf_ltv_limit*'Asset Register'!C61-'Capital &amp; Debt'!C43-'Capital &amp; Debt'!C50),MAX(0,pf_max_raise-'Capital &amp; Debt'!C38))+MAX(0,'Financial Statements'!C65-MAX('Capital &amp; Debt'!C60,min_cash_buffer))+'Capital &amp; Debt'!D14+'Capital &amp; Debt'!D22+'Capital &amp; Debt'!D24+'Capital &amp; Debt'!D25</f>
        <v>260000</v>
      </c>
      <c r="E24" s="11">
        <f ca="1">E27*MIN(MAX(0,pf_ltv_limit*'Asset Register'!D61-'Capital &amp; Debt'!D43-'Capital &amp; Debt'!D50),MAX(0,pf_max_raise-'Capital &amp; Debt'!D38))+MAX(0,'Financial Statements'!D65-MAX('Capital &amp; Debt'!D60,min_cash_buffer))+'Capital &amp; Debt'!E14+'Capital &amp; Debt'!E22+'Capital &amp; Debt'!E24+'Capital &amp; Debt'!E25</f>
        <v>330335.1640625</v>
      </c>
      <c r="F24" s="11">
        <f ca="1">F27*MIN(MAX(0,pf_ltv_limit*'Asset Register'!E61-'Capital &amp; Debt'!E43-'Capital &amp; Debt'!E50),MAX(0,pf_max_raise-'Capital &amp; Debt'!E38))+MAX(0,'Financial Statements'!E65-MAX('Capital &amp; Debt'!E60,min_cash_buffer))+'Capital &amp; Debt'!F14+'Capital &amp; Debt'!F22+'Capital &amp; Debt'!F24+'Capital &amp; Debt'!F25</f>
        <v>381977.76465515135</v>
      </c>
      <c r="G24" s="11">
        <f ca="1">G27*MIN(MAX(0,pf_ltv_limit*'Asset Register'!F61-'Capital &amp; Debt'!F43-'Capital &amp; Debt'!F50),MAX(0,pf_max_raise-'Capital &amp; Debt'!F38))+MAX(0,'Financial Statements'!F65-MAX('Capital &amp; Debt'!F60,min_cash_buffer))+'Capital &amp; Debt'!G14+'Capital &amp; Debt'!G22+'Capital &amp; Debt'!G24+'Capital &amp; Debt'!G25</f>
        <v>400774.68218628113</v>
      </c>
      <c r="H24" s="11">
        <f ca="1">H27*MIN(MAX(0,pf_ltv_limit*'Asset Register'!G61-'Capital &amp; Debt'!G43-'Capital &amp; Debt'!G50),MAX(0,pf_max_raise-'Capital &amp; Debt'!G38))+MAX(0,'Financial Statements'!G65-MAX('Capital &amp; Debt'!G60,min_cash_buffer))+'Capital &amp; Debt'!H14+'Capital &amp; Debt'!H22+'Capital &amp; Debt'!H24+'Capital &amp; Debt'!H25</f>
        <v>401592.17227423337</v>
      </c>
      <c r="I24" s="11">
        <f ca="1">I27*MIN(MAX(0,pf_ltv_limit*'Asset Register'!H61-'Capital &amp; Debt'!H43-'Capital &amp; Debt'!H50),MAX(0,pf_max_raise-'Capital &amp; Debt'!H38))+MAX(0,'Financial Statements'!H65-MAX('Capital &amp; Debt'!H60,min_cash_buffer))+'Capital &amp; Debt'!I14+'Capital &amp; Debt'!I22+'Capital &amp; Debt'!I24+'Capital &amp; Debt'!I25</f>
        <v>398137.68864933471</v>
      </c>
      <c r="J24" s="11">
        <f ca="1">J27*MIN(MAX(0,pf_ltv_limit*'Asset Register'!I61-'Capital &amp; Debt'!I43-'Capital &amp; Debt'!I50),MAX(0,pf_max_raise-'Capital &amp; Debt'!I38))+MAX(0,'Financial Statements'!I65-MAX('Capital &amp; Debt'!I60,min_cash_buffer))+'Capital &amp; Debt'!J14+'Capital &amp; Debt'!J22+'Capital &amp; Debt'!J24+'Capital &amp; Debt'!J25</f>
        <v>386348.08588279976</v>
      </c>
      <c r="K24" s="11">
        <f ca="1">K27*MIN(MAX(0,pf_ltv_limit*'Asset Register'!J61-'Capital &amp; Debt'!J43-'Capital &amp; Debt'!J50),MAX(0,pf_max_raise-'Capital &amp; Debt'!J38))+MAX(0,'Financial Statements'!J65-MAX('Capital &amp; Debt'!J60,min_cash_buffer))+'Capital &amp; Debt'!K14+'Capital &amp; Debt'!K22+'Capital &amp; Debt'!K24+'Capital &amp; Debt'!K25</f>
        <v>365119.02160556684</v>
      </c>
      <c r="L24" s="11">
        <f ca="1">L27*MIN(MAX(0,pf_ltv_limit*'Asset Register'!K61-'Capital &amp; Debt'!K43-'Capital &amp; Debt'!K50),MAX(0,pf_max_raise-'Capital &amp; Debt'!K38))+MAX(0,'Financial Statements'!K65-MAX('Capital &amp; Debt'!K60,min_cash_buffer))+'Capital &amp; Debt'!L14+'Capital &amp; Debt'!L22+'Capital &amp; Debt'!L24+'Capital &amp; Debt'!L25</f>
        <v>371985.82436111796</v>
      </c>
      <c r="M24" s="11">
        <f ca="1">M27*MIN(MAX(0,pf_ltv_limit*'Asset Register'!L61-'Capital &amp; Debt'!L43-'Capital &amp; Debt'!L50),MAX(0,pf_max_raise-'Capital &amp; Debt'!L38))+MAX(0,'Financial Statements'!L65-MAX('Capital &amp; Debt'!L60,min_cash_buffer))+'Capital &amp; Debt'!M14+'Capital &amp; Debt'!M22+'Capital &amp; Debt'!M24+'Capital &amp; Debt'!M25</f>
        <v>391375.82939935918</v>
      </c>
      <c r="N24" s="11">
        <f ca="1">N27*MIN(MAX(0,pf_ltv_limit*'Asset Register'!M61-'Capital &amp; Debt'!M43-'Capital &amp; Debt'!M50),MAX(0,pf_max_raise-'Capital &amp; Debt'!M38))+MAX(0,'Financial Statements'!M65-MAX('Capital &amp; Debt'!M60,min_cash_buffer))+'Capital &amp; Debt'!N14+'Capital &amp; Debt'!N22+'Capital &amp; Debt'!N24+'Capital &amp; Debt'!N25</f>
        <v>410950.81450619933</v>
      </c>
      <c r="O24" s="11">
        <f ca="1">O27*MIN(MAX(0,pf_ltv_limit*'Asset Register'!N61-'Capital &amp; Debt'!N43-'Capital &amp; Debt'!N50),MAX(0,pf_max_raise-'Capital &amp; Debt'!N38))+MAX(0,'Financial Statements'!N65-MAX('Capital &amp; Debt'!N60,min_cash_buffer))+'Capital &amp; Debt'!O14+'Capital &amp; Debt'!O22+'Capital &amp; Debt'!O24+'Capital &amp; Debt'!O25</f>
        <v>222578.23603189611</v>
      </c>
      <c r="P24" s="11">
        <f ca="1">P27*MIN(MAX(0,pf_ltv_limit*'Asset Register'!O61-'Capital &amp; Debt'!O43-'Capital &amp; Debt'!O50),MAX(0,pf_max_raise-'Capital &amp; Debt'!O38))+MAX(0,'Financial Statements'!O65-MAX('Capital &amp; Debt'!O60,min_cash_buffer))+'Capital &amp; Debt'!P14+'Capital &amp; Debt'!P22+'Capital &amp; Debt'!P24+'Capital &amp; Debt'!P25</f>
        <v>236861.51092164838</v>
      </c>
      <c r="Q24" s="11">
        <f ca="1">Q27*MIN(MAX(0,pf_ltv_limit*'Asset Register'!P61-'Capital &amp; Debt'!P43-'Capital &amp; Debt'!P50),MAX(0,pf_max_raise-'Capital &amp; Debt'!P38))+MAX(0,'Financial Statements'!P65-MAX('Capital &amp; Debt'!P60,min_cash_buffer))+'Capital &amp; Debt'!Q14+'Capital &amp; Debt'!Q22+'Capital &amp; Debt'!Q24+'Capital &amp; Debt'!Q25</f>
        <v>243360.91052047373</v>
      </c>
      <c r="R24" s="11">
        <f ca="1">R27*MIN(MAX(0,pf_ltv_limit*'Asset Register'!Q61-'Capital &amp; Debt'!Q43-'Capital &amp; Debt'!Q50),MAX(0,pf_max_raise-'Capital &amp; Debt'!Q38))+MAX(0,'Financial Statements'!Q65-MAX('Capital &amp; Debt'!Q60,min_cash_buffer))+'Capital &amp; Debt'!R14+'Capital &amp; Debt'!R22+'Capital &amp; Debt'!R24+'Capital &amp; Debt'!R25</f>
        <v>249899.58923419617</v>
      </c>
      <c r="S24" s="11">
        <f ca="1">S27*MIN(MAX(0,pf_ltv_limit*'Asset Register'!R61-'Capital &amp; Debt'!R43-'Capital &amp; Debt'!R50),MAX(0,pf_max_raise-'Capital &amp; Debt'!R38))+MAX(0,'Financial Statements'!R65-MAX('Capital &amp; Debt'!R60,min_cash_buffer))+'Capital &amp; Debt'!S14+'Capital &amp; Debt'!S22+'Capital &amp; Debt'!S24+'Capital &amp; Debt'!S25</f>
        <v>256628.99813988432</v>
      </c>
      <c r="T24" s="11">
        <f ca="1">T27*MIN(MAX(0,pf_ltv_limit*'Asset Register'!S61-'Capital &amp; Debt'!S43-'Capital &amp; Debt'!S50),MAX(0,pf_max_raise-'Capital &amp; Debt'!S38))+MAX(0,'Financial Statements'!S65-MAX('Capital &amp; Debt'!S60,min_cash_buffer))+'Capital &amp; Debt'!T14+'Capital &amp; Debt'!T22+'Capital &amp; Debt'!T24+'Capital &amp; Debt'!T25</f>
        <v>267935.61594072921</v>
      </c>
      <c r="U24" s="11">
        <f ca="1">U27*MIN(MAX(0,pf_ltv_limit*'Asset Register'!T61-'Capital &amp; Debt'!T43-'Capital &amp; Debt'!T50),MAX(0,pf_max_raise-'Capital &amp; Debt'!T38))+MAX(0,'Financial Statements'!T65-MAX('Capital &amp; Debt'!T60,min_cash_buffer))+'Capital &amp; Debt'!U14+'Capital &amp; Debt'!U22+'Capital &amp; Debt'!U24+'Capital &amp; Debt'!U25</f>
        <v>275400.73819875607</v>
      </c>
      <c r="V24" s="11">
        <f ca="1">V27*MIN(MAX(0,pf_ltv_limit*'Asset Register'!U61-'Capital &amp; Debt'!U43-'Capital &amp; Debt'!U50),MAX(0,pf_max_raise-'Capital &amp; Debt'!U38))+MAX(0,'Financial Statements'!U65-MAX('Capital &amp; Debt'!U60,min_cash_buffer))+'Capital &amp; Debt'!V14+'Capital &amp; Debt'!V22+'Capital &amp; Debt'!V24+'Capital &amp; Debt'!V25</f>
        <v>283300.63390606293</v>
      </c>
      <c r="W24" s="11">
        <f ca="1">W27*MIN(MAX(0,pf_ltv_limit*'Asset Register'!V61-'Capital &amp; Debt'!V43-'Capital &amp; Debt'!V50),MAX(0,pf_max_raise-'Capital &amp; Debt'!V38))+MAX(0,'Financial Statements'!V65-MAX('Capital &amp; Debt'!V60,min_cash_buffer))+'Capital &amp; Debt'!W14+'Capital &amp; Debt'!W22+'Capital &amp; Debt'!W24+'Capital &amp; Debt'!W25</f>
        <v>365995.58039753843</v>
      </c>
      <c r="X24" s="11">
        <f ca="1">X27*MIN(MAX(0,pf_ltv_limit*'Asset Register'!W61-'Capital &amp; Debt'!W43-'Capital &amp; Debt'!W50),MAX(0,pf_max_raise-'Capital &amp; Debt'!W38))+MAX(0,'Financial Statements'!W65-MAX('Capital &amp; Debt'!W60,min_cash_buffer))+'Capital &amp; Debt'!X14+'Capital &amp; Debt'!X22+'Capital &amp; Debt'!X24+'Capital &amp; Debt'!X25</f>
        <v>468743.39802059653</v>
      </c>
      <c r="Y24" s="11">
        <f ca="1">Y27*MIN(MAX(0,pf_ltv_limit*'Asset Register'!X61-'Capital &amp; Debt'!X43-'Capital &amp; Debt'!X50),MAX(0,pf_max_raise-'Capital &amp; Debt'!X38))+MAX(0,'Financial Statements'!X65-MAX('Capital &amp; Debt'!X60,min_cash_buffer))+'Capital &amp; Debt'!Y14+'Capital &amp; Debt'!Y22+'Capital &amp; Debt'!Y24+'Capital &amp; Debt'!Y25</f>
        <v>575099.71427626442</v>
      </c>
      <c r="Z24" s="11">
        <f ca="1">Z27*MIN(MAX(0,pf_ltv_limit*'Asset Register'!Y61-'Capital &amp; Debt'!Y43-'Capital &amp; Debt'!Y50),MAX(0,pf_max_raise-'Capital &amp; Debt'!Y38))+MAX(0,'Financial Statements'!Y65-MAX('Capital &amp; Debt'!Y60,min_cash_buffer))+'Capital &amp; Debt'!Z14+'Capital &amp; Debt'!Z22+'Capital &amp; Debt'!Z24+'Capital &amp; Debt'!Z25</f>
        <v>685277.87141077546</v>
      </c>
      <c r="AA24" s="11">
        <f ca="1">AA27*MIN(MAX(0,pf_ltv_limit*'Asset Register'!Z61-'Capital &amp; Debt'!Z43-'Capital &amp; Debt'!Z50),MAX(0,pf_max_raise-'Capital &amp; Debt'!Z38))+MAX(0,'Financial Statements'!Z65-MAX('Capital &amp; Debt'!Z60,min_cash_buffer))+'Capital &amp; Debt'!AA14+'Capital &amp; Debt'!AA22+'Capital &amp; Debt'!AA24+'Capital &amp; Debt'!AA25</f>
        <v>327990.06059545861</v>
      </c>
      <c r="AB24" s="11">
        <f ca="1">AB27*MIN(MAX(0,pf_ltv_limit*'Asset Register'!AA61-'Capital &amp; Debt'!AA43-'Capital &amp; Debt'!AA50),MAX(0,pf_max_raise-'Capital &amp; Debt'!AA38))+MAX(0,'Financial Statements'!AA65-MAX('Capital &amp; Debt'!AA60,min_cash_buffer))+'Capital &amp; Debt'!AB14+'Capital &amp; Debt'!AB22+'Capital &amp; Debt'!AB24+'Capital &amp; Debt'!AB25</f>
        <v>358447.46064165462</v>
      </c>
      <c r="AC24" s="11">
        <f ca="1">AC27*MIN(MAX(0,pf_ltv_limit*'Asset Register'!AB61-'Capital &amp; Debt'!AB43-'Capital &amp; Debt'!AB50),MAX(0,pf_max_raise-'Capital &amp; Debt'!AB38))+MAX(0,'Financial Statements'!AB65-MAX('Capital &amp; Debt'!AB60,min_cash_buffer))+'Capital &amp; Debt'!AC14+'Capital &amp; Debt'!AC22+'Capital &amp; Debt'!AC24+'Capital &amp; Debt'!AC25</f>
        <v>512060.889905249</v>
      </c>
      <c r="AD24" s="11">
        <f ca="1">AD27*MIN(MAX(0,pf_ltv_limit*'Asset Register'!AC61-'Capital &amp; Debt'!AC43-'Capital &amp; Debt'!AC50),MAX(0,pf_max_raise-'Capital &amp; Debt'!AC38))+MAX(0,'Financial Statements'!AC65-MAX('Capital &amp; Debt'!AC60,min_cash_buffer))+'Capital &amp; Debt'!AD14+'Capital &amp; Debt'!AD22+'Capital &amp; Debt'!AD24+'Capital &amp; Debt'!AD25</f>
        <v>740662.41829435655</v>
      </c>
      <c r="AE24" s="11">
        <f ca="1">AE27*MIN(MAX(0,pf_ltv_limit*'Asset Register'!AD61-'Capital &amp; Debt'!AD43-'Capital &amp; Debt'!AD50),MAX(0,pf_max_raise-'Capital &amp; Debt'!AD38))+MAX(0,'Financial Statements'!AD65-MAX('Capital &amp; Debt'!AD60,min_cash_buffer))+'Capital &amp; Debt'!AE14+'Capital &amp; Debt'!AE22+'Capital &amp; Debt'!AE24+'Capital &amp; Debt'!AE25</f>
        <v>397481.63562223502</v>
      </c>
      <c r="AF24" s="11">
        <f ca="1">AF27*MIN(MAX(0,pf_ltv_limit*'Asset Register'!AE61-'Capital &amp; Debt'!AE43-'Capital &amp; Debt'!AE50),MAX(0,pf_max_raise-'Capital &amp; Debt'!AE38))+MAX(0,'Financial Statements'!AE65-MAX('Capital &amp; Debt'!AE60,min_cash_buffer))+'Capital &amp; Debt'!AF14+'Capital &amp; Debt'!AF22+'Capital &amp; Debt'!AF24+'Capital &amp; Debt'!AF25</f>
        <v>719396.40614786244</v>
      </c>
      <c r="AG24" s="11">
        <f ca="1">AG27*MIN(MAX(0,pf_ltv_limit*'Asset Register'!AF61-'Capital &amp; Debt'!AF43-'Capital &amp; Debt'!AF50),MAX(0,pf_max_raise-'Capital &amp; Debt'!AF38))+MAX(0,'Financial Statements'!AF65-MAX('Capital &amp; Debt'!AF60,min_cash_buffer))+'Capital &amp; Debt'!AG14+'Capital &amp; Debt'!AG22+'Capital &amp; Debt'!AG24+'Capital &amp; Debt'!AG25</f>
        <v>1144060.3592242415</v>
      </c>
      <c r="AH24" s="11">
        <f ca="1">AH27*MIN(MAX(0,pf_ltv_limit*'Asset Register'!AG61-'Capital &amp; Debt'!AG43-'Capital &amp; Debt'!AG50),MAX(0,pf_max_raise-'Capital &amp; Debt'!AG38))+MAX(0,'Financial Statements'!AG65-MAX('Capital &amp; Debt'!AG60,min_cash_buffer))+'Capital &amp; Debt'!AH14+'Capital &amp; Debt'!AH22+'Capital &amp; Debt'!AH24+'Capital &amp; Debt'!AH25</f>
        <v>803255.24758366379</v>
      </c>
      <c r="AI24" s="11">
        <f ca="1">AI27*MIN(MAX(0,pf_ltv_limit*'Asset Register'!AH61-'Capital &amp; Debt'!AH43-'Capital &amp; Debt'!AH50),MAX(0,pf_max_raise-'Capital &amp; Debt'!AH38))+MAX(0,'Financial Statements'!AH65-MAX('Capital &amp; Debt'!AH60,min_cash_buffer))+'Capital &amp; Debt'!AI14+'Capital &amp; Debt'!AI22+'Capital &amp; Debt'!AI24+'Capital &amp; Debt'!AI25</f>
        <v>1223340.4000926546</v>
      </c>
      <c r="AJ24" s="11">
        <f ca="1">AJ27*MIN(MAX(0,pf_ltv_limit*'Asset Register'!AI61-'Capital &amp; Debt'!AI43-'Capital &amp; Debt'!AI50),MAX(0,pf_max_raise-'Capital &amp; Debt'!AI38))+MAX(0,'Financial Statements'!AI65-MAX('Capital &amp; Debt'!AI60,min_cash_buffer))+'Capital &amp; Debt'!AJ14+'Capital &amp; Debt'!AJ22+'Capital &amp; Debt'!AJ24+'Capital &amp; Debt'!AJ25</f>
        <v>865204.01836814894</v>
      </c>
      <c r="AK24" s="11">
        <f ca="1">AK27*MIN(MAX(0,pf_ltv_limit*'Asset Register'!AJ61-'Capital &amp; Debt'!AJ43-'Capital &amp; Debt'!AJ50),MAX(0,pf_max_raise-'Capital &amp; Debt'!AJ38))+MAX(0,'Financial Statements'!AJ65-MAX('Capital &amp; Debt'!AJ60,min_cash_buffer))+'Capital &amp; Debt'!AK14+'Capital &amp; Debt'!AK22+'Capital &amp; Debt'!AK24+'Capital &amp; Debt'!AK25</f>
        <v>566603.97434394516</v>
      </c>
      <c r="AL24" s="11">
        <f ca="1">AL27*MIN(MAX(0,pf_ltv_limit*'Asset Register'!AK61-'Capital &amp; Debt'!AK43-'Capital &amp; Debt'!AK50),MAX(0,pf_max_raise-'Capital &amp; Debt'!AK38))+MAX(0,'Financial Statements'!AK65-MAX('Capital &amp; Debt'!AK60,min_cash_buffer))+'Capital &amp; Debt'!AL14+'Capital &amp; Debt'!AL22+'Capital &amp; Debt'!AL24+'Capital &amp; Debt'!AL25</f>
        <v>1186521.9413189522</v>
      </c>
      <c r="AM24" s="11">
        <f ca="1">AM27*MIN(MAX(0,pf_ltv_limit*'Asset Register'!AL61-'Capital &amp; Debt'!AL43-'Capital &amp; Debt'!AL50),MAX(0,pf_max_raise-'Capital &amp; Debt'!AL38))+MAX(0,'Financial Statements'!AL65-MAX('Capital &amp; Debt'!AL60,min_cash_buffer))+'Capital &amp; Debt'!AM14+'Capital &amp; Debt'!AM22+'Capital &amp; Debt'!AM24+'Capital &amp; Debt'!AM25</f>
        <v>965512.48626304395</v>
      </c>
      <c r="AN24" s="11">
        <f ca="1">AN27*MIN(MAX(0,pf_ltv_limit*'Asset Register'!AM61-'Capital &amp; Debt'!AM43-'Capital &amp; Debt'!AM50),MAX(0,pf_max_raise-'Capital &amp; Debt'!AM38))+MAX(0,'Financial Statements'!AM65-MAX('Capital &amp; Debt'!AM60,min_cash_buffer))+'Capital &amp; Debt'!AN14+'Capital &amp; Debt'!AN22+'Capital &amp; Debt'!AN24+'Capital &amp; Debt'!AN25</f>
        <v>806054.81000655866</v>
      </c>
      <c r="AO24" s="11">
        <f ca="1">AO27*MIN(MAX(0,pf_ltv_limit*'Asset Register'!AN61-'Capital &amp; Debt'!AN43-'Capital &amp; Debt'!AN50),MAX(0,pf_max_raise-'Capital &amp; Debt'!AN38))+MAX(0,'Financial Statements'!AN65-MAX('Capital &amp; Debt'!AN60,min_cash_buffer))+'Capital &amp; Debt'!AO14+'Capital &amp; Debt'!AO22+'Capital &amp; Debt'!AO24+'Capital &amp; Debt'!AO25</f>
        <v>1659506.4009191764</v>
      </c>
      <c r="AP24" s="11">
        <f ca="1">AP27*MIN(MAX(0,pf_ltv_limit*'Asset Register'!AO61-'Capital &amp; Debt'!AO43-'Capital &amp; Debt'!AO50),MAX(0,pf_max_raise-'Capital &amp; Debt'!AO38))+MAX(0,'Financial Statements'!AO65-MAX('Capital &amp; Debt'!AO60,min_cash_buffer))+'Capital &amp; Debt'!AP14+'Capital &amp; Debt'!AP22+'Capital &amp; Debt'!AP24+'Capital &amp; Debt'!AP25</f>
        <v>1576406.0738183293</v>
      </c>
      <c r="AQ24" s="11">
        <f ca="1">AQ27*MIN(MAX(0,pf_ltv_limit*'Asset Register'!AP61-'Capital &amp; Debt'!AP43-'Capital &amp; Debt'!AP50),MAX(0,pf_max_raise-'Capital &amp; Debt'!AP38))+MAX(0,'Financial Statements'!AP65-MAX('Capital &amp; Debt'!AP60,min_cash_buffer))+'Capital &amp; Debt'!AQ14+'Capital &amp; Debt'!AQ22+'Capital &amp; Debt'!AQ24+'Capital &amp; Debt'!AQ25</f>
        <v>1557009.694591338</v>
      </c>
      <c r="AR24" s="11">
        <f ca="1">AR27*MIN(MAX(0,pf_ltv_limit*'Asset Register'!AQ61-'Capital &amp; Debt'!AQ43-'Capital &amp; Debt'!AQ50),MAX(0,pf_max_raise-'Capital &amp; Debt'!AQ38))+MAX(0,'Financial Statements'!AQ65-MAX('Capital &amp; Debt'!AQ60,min_cash_buffer))+'Capital &amp; Debt'!AR14+'Capital &amp; Debt'!AR22+'Capital &amp; Debt'!AR24+'Capital &amp; Debt'!AR25</f>
        <v>1603101.3744628574</v>
      </c>
      <c r="AS24" s="11">
        <f ca="1">AS27*MIN(MAX(0,pf_ltv_limit*'Asset Register'!AR61-'Capital &amp; Debt'!AR43-'Capital &amp; Debt'!AR50),MAX(0,pf_max_raise-'Capital &amp; Debt'!AR38))+MAX(0,'Financial Statements'!AR65-MAX('Capital &amp; Debt'!AR60,min_cash_buffer))+'Capital &amp; Debt'!AS14+'Capital &amp; Debt'!AS22+'Capital &amp; Debt'!AS24+'Capital &amp; Debt'!AS25</f>
        <v>1715833.1206397407</v>
      </c>
      <c r="AT24" s="11">
        <f ca="1">AT27*MIN(MAX(0,pf_ltv_limit*'Asset Register'!AS61-'Capital &amp; Debt'!AS43-'Capital &amp; Debt'!AS50),MAX(0,pf_max_raise-'Capital &amp; Debt'!AS38))+MAX(0,'Financial Statements'!AS65-MAX('Capital &amp; Debt'!AS60,min_cash_buffer))+'Capital &amp; Debt'!AT14+'Capital &amp; Debt'!AT22+'Capital &amp; Debt'!AT24+'Capital &amp; Debt'!AT25</f>
        <v>1880626.7788489661</v>
      </c>
      <c r="AU24" s="11">
        <f ca="1">AU27*MIN(MAX(0,pf_ltv_limit*'Asset Register'!AT61-'Capital &amp; Debt'!AT43-'Capital &amp; Debt'!AT50),MAX(0,pf_max_raise-'Capital &amp; Debt'!AT38))+MAX(0,'Financial Statements'!AT65-MAX('Capital &amp; Debt'!AT60,min_cash_buffer))+'Capital &amp; Debt'!AU14+'Capital &amp; Debt'!AU22+'Capital &amp; Debt'!AU24+'Capital &amp; Debt'!AU25</f>
        <v>2084922.1010981635</v>
      </c>
      <c r="AV24" s="11">
        <f ca="1">AV27*MIN(MAX(0,pf_ltv_limit*'Asset Register'!AU61-'Capital &amp; Debt'!AU43-'Capital &amp; Debt'!AU50),MAX(0,pf_max_raise-'Capital &amp; Debt'!AU38))+MAX(0,'Financial Statements'!AU65-MAX('Capital &amp; Debt'!AU60,min_cash_buffer))+'Capital &amp; Debt'!AV14+'Capital &amp; Debt'!AV22+'Capital &amp; Debt'!AV24+'Capital &amp; Debt'!AV25</f>
        <v>2329233.9169390253</v>
      </c>
      <c r="AW24" s="11">
        <f ca="1">AW27*MIN(MAX(0,pf_ltv_limit*'Asset Register'!AV61-'Capital &amp; Debt'!AV43-'Capital &amp; Debt'!AV50),MAX(0,pf_max_raise-'Capital &amp; Debt'!AV38))+MAX(0,'Financial Statements'!AV65-MAX('Capital &amp; Debt'!AV60,min_cash_buffer))+'Capital &amp; Debt'!AW14+'Capital &amp; Debt'!AW22+'Capital &amp; Debt'!AW24+'Capital &amp; Debt'!AW25</f>
        <v>2614566.3128426494</v>
      </c>
      <c r="AX24" s="11">
        <f ca="1">AX27*MIN(MAX(0,pf_ltv_limit*'Asset Register'!AW61-'Capital &amp; Debt'!AW43-'Capital &amp; Debt'!AW50),MAX(0,pf_max_raise-'Capital &amp; Debt'!AW38))+MAX(0,'Financial Statements'!AW65-MAX('Capital &amp; Debt'!AW60,min_cash_buffer))+'Capital &amp; Debt'!AX14+'Capital &amp; Debt'!AX22+'Capital &amp; Debt'!AX24+'Capital &amp; Debt'!AX25</f>
        <v>2942026.0644574575</v>
      </c>
      <c r="AY24" s="11">
        <f ca="1">AY27*MIN(MAX(0,pf_ltv_limit*'Asset Register'!AX61-'Capital &amp; Debt'!AX43-'Capital &amp; Debt'!AX50),MAX(0,pf_max_raise-'Capital &amp; Debt'!AX38))+MAX(0,'Financial Statements'!AX65-MAX('Capital &amp; Debt'!AX60,min_cash_buffer))+'Capital &amp; Debt'!AY14+'Capital &amp; Debt'!AY22+'Capital &amp; Debt'!AY24+'Capital &amp; Debt'!AY25</f>
        <v>1971216.7762790278</v>
      </c>
      <c r="AZ24" s="11">
        <f ca="1">AZ27*MIN(MAX(0,pf_ltv_limit*'Asset Register'!AY61-'Capital &amp; Debt'!AY43-'Capital &amp; Debt'!AY50),MAX(0,pf_max_raise-'Capital &amp; Debt'!AY38))+MAX(0,'Financial Statements'!AY65-MAX('Capital &amp; Debt'!AY60,min_cash_buffer))+'Capital &amp; Debt'!AZ14+'Capital &amp; Debt'!AZ22+'Capital &amp; Debt'!AZ24+'Capital &amp; Debt'!AZ25</f>
        <v>2435782.654233072</v>
      </c>
      <c r="BA24" s="11">
        <f ca="1">BA27*MIN(MAX(0,pf_ltv_limit*'Asset Register'!AZ61-'Capital &amp; Debt'!AZ43-'Capital &amp; Debt'!AZ50),MAX(0,pf_max_raise-'Capital &amp; Debt'!AZ38))+MAX(0,'Financial Statements'!AZ65-MAX('Capital &amp; Debt'!AZ60,min_cash_buffer))+'Capital &amp; Debt'!BA14+'Capital &amp; Debt'!BA22+'Capital &amp; Debt'!BA24+'Capital &amp; Debt'!BA25</f>
        <v>2949244.107400394</v>
      </c>
    </row>
    <row r="25" spans="1:53" x14ac:dyDescent="0.3">
      <c r="A25" s="3" t="s">
        <v>314</v>
      </c>
      <c r="B25" t="s">
        <v>69</v>
      </c>
      <c r="D25" s="36">
        <f ca="1">IF(constrain_growth=1,MAX(0,INT(D24/(D23*IF(D27=1,MAX(0.01,1-pf_ltv_limit),1)))),999999)</f>
        <v>3</v>
      </c>
      <c r="E25" s="36">
        <f ca="1">IF(constrain_growth=1,MAX(0,INT(E24/(E23*IF(E27=1,MAX(0.01,1-pf_ltv_limit),1)))),999999)</f>
        <v>3</v>
      </c>
      <c r="F25" s="36">
        <f ca="1">IF(constrain_growth=1,MAX(0,INT(F24/(F23*IF(F27=1,MAX(0.01,1-pf_ltv_limit),1)))),999999)</f>
        <v>4</v>
      </c>
      <c r="G25" s="36">
        <f ca="1">IF(constrain_growth=1,MAX(0,INT(G24/(G23*IF(G27=1,MAX(0.01,1-pf_ltv_limit),1)))),999999)</f>
        <v>4</v>
      </c>
      <c r="H25" s="36">
        <f ca="1">IF(constrain_growth=1,MAX(0,INT(H24/(H23*IF(H27=1,MAX(0.01,1-pf_ltv_limit),1)))),999999)</f>
        <v>4</v>
      </c>
      <c r="I25" s="36">
        <f ca="1">IF(constrain_growth=1,MAX(0,INT(I24/(I23*IF(I27=1,MAX(0.01,1-pf_ltv_limit),1)))),999999)</f>
        <v>3</v>
      </c>
      <c r="J25" s="36">
        <f ca="1">IF(constrain_growth=1,MAX(0,INT(J24/(J23*IF(J27=1,MAX(0.01,1-pf_ltv_limit),1)))),999999)</f>
        <v>3</v>
      </c>
      <c r="K25" s="36">
        <f ca="1">IF(constrain_growth=1,MAX(0,INT(K24/(K23*IF(K27=1,MAX(0.01,1-pf_ltv_limit),1)))),999999)</f>
        <v>3</v>
      </c>
      <c r="L25" s="36">
        <f ca="1">IF(constrain_growth=1,MAX(0,INT(L24/(L23*IF(L27=1,MAX(0.01,1-pf_ltv_limit),1)))),999999)</f>
        <v>3</v>
      </c>
      <c r="M25" s="36">
        <f ca="1">IF(constrain_growth=1,MAX(0,INT(M24/(M23*IF(M27=1,MAX(0.01,1-pf_ltv_limit),1)))),999999)</f>
        <v>3</v>
      </c>
      <c r="N25" s="36">
        <f ca="1">IF(constrain_growth=1,MAX(0,INT(N24/(N23*IF(N27=1,MAX(0.01,1-pf_ltv_limit),1)))),999999)</f>
        <v>1</v>
      </c>
      <c r="O25" s="36">
        <f ca="1">IF(constrain_growth=1,MAX(0,INT(O24/(O23*IF(O27=1,MAX(0.01,1-pf_ltv_limit),1)))),999999)</f>
        <v>0</v>
      </c>
      <c r="P25" s="36">
        <f ca="1">IF(constrain_growth=1,MAX(0,INT(P24/(P23*IF(P27=1,MAX(0.01,1-pf_ltv_limit),1)))),999999)</f>
        <v>0</v>
      </c>
      <c r="Q25" s="36">
        <f ca="1">IF(constrain_growth=1,MAX(0,INT(Q24/(Q23*IF(Q27=1,MAX(0.01,1-pf_ltv_limit),1)))),999999)</f>
        <v>0</v>
      </c>
      <c r="R25" s="36">
        <f ca="1">IF(constrain_growth=1,MAX(0,INT(R24/(R23*IF(R27=1,MAX(0.01,1-pf_ltv_limit),1)))),999999)</f>
        <v>0</v>
      </c>
      <c r="S25" s="36">
        <f ca="1">IF(constrain_growth=1,MAX(0,INT(S24/(S23*IF(S27=1,MAX(0.01,1-pf_ltv_limit),1)))),999999)</f>
        <v>0</v>
      </c>
      <c r="T25" s="36">
        <f ca="1">IF(constrain_growth=1,MAX(0,INT(T24/(T23*IF(T27=1,MAX(0.01,1-pf_ltv_limit),1)))),999999)</f>
        <v>0</v>
      </c>
      <c r="U25" s="36">
        <f ca="1">IF(constrain_growth=1,MAX(0,INT(U24/(U23*IF(U27=1,MAX(0.01,1-pf_ltv_limit),1)))),999999)</f>
        <v>0</v>
      </c>
      <c r="V25" s="36">
        <f ca="1">IF(constrain_growth=1,MAX(0,INT(V24/(V23*IF(V27=1,MAX(0.01,1-pf_ltv_limit),1)))),999999)</f>
        <v>0</v>
      </c>
      <c r="W25" s="36">
        <f ca="1">IF(constrain_growth=1,MAX(0,INT(W24/(W23*IF(W27=1,MAX(0.01,1-pf_ltv_limit),1)))),999999)</f>
        <v>0</v>
      </c>
      <c r="X25" s="36">
        <f ca="1">IF(constrain_growth=1,MAX(0,INT(X24/(X23*IF(X27=1,MAX(0.01,1-pf_ltv_limit),1)))),999999)</f>
        <v>0</v>
      </c>
      <c r="Y25" s="36">
        <f ca="1">IF(constrain_growth=1,MAX(0,INT(Y24/(Y23*IF(Y27=1,MAX(0.01,1-pf_ltv_limit),1)))),999999)</f>
        <v>0</v>
      </c>
      <c r="Z25" s="36">
        <f ca="1">IF(constrain_growth=1,MAX(0,INT(Z24/(Z23*IF(Z27=1,MAX(0.01,1-pf_ltv_limit),1)))),999999)</f>
        <v>1</v>
      </c>
      <c r="AA25" s="36">
        <f ca="1">IF(constrain_growth=1,MAX(0,INT(AA24/(AA23*IF(AA27=1,MAX(0.01,1-pf_ltv_limit),1)))),999999)</f>
        <v>0</v>
      </c>
      <c r="AB25" s="36">
        <f ca="1">IF(constrain_growth=1,MAX(0,INT(AB24/(AB23*IF(AB27=1,MAX(0.01,1-pf_ltv_limit),1)))),999999)</f>
        <v>0</v>
      </c>
      <c r="AC25" s="36">
        <f ca="1">IF(constrain_growth=1,MAX(0,INT(AC24/(AC23*IF(AC27=1,MAX(0.01,1-pf_ltv_limit),1)))),999999)</f>
        <v>0</v>
      </c>
      <c r="AD25" s="36">
        <f ca="1">IF(constrain_growth=1,MAX(0,INT(AD24/(AD23*IF(AD27=1,MAX(0.01,1-pf_ltv_limit),1)))),999999)</f>
        <v>1</v>
      </c>
      <c r="AE25" s="36">
        <f ca="1">IF(constrain_growth=1,MAX(0,INT(AE24/(AE23*IF(AE27=1,MAX(0.01,1-pf_ltv_limit),1)))),999999)</f>
        <v>0</v>
      </c>
      <c r="AF25" s="36">
        <f ca="1">IF(constrain_growth=1,MAX(0,INT(AF24/(AF23*IF(AF27=1,MAX(0.01,1-pf_ltv_limit),1)))),999999)</f>
        <v>0</v>
      </c>
      <c r="AG25" s="36">
        <f ca="1">IF(constrain_growth=1,MAX(0,INT(AG24/(AG23*IF(AG27=1,MAX(0.01,1-pf_ltv_limit),1)))),999999)</f>
        <v>1</v>
      </c>
      <c r="AH25" s="36">
        <f ca="1">IF(constrain_growth=1,MAX(0,INT(AH24/(AH23*IF(AH27=1,MAX(0.01,1-pf_ltv_limit),1)))),999999)</f>
        <v>0</v>
      </c>
      <c r="AI25" s="36">
        <f ca="1">IF(constrain_growth=1,MAX(0,INT(AI24/(AI23*IF(AI27=1,MAX(0.01,1-pf_ltv_limit),1)))),999999)</f>
        <v>1</v>
      </c>
      <c r="AJ25" s="36">
        <f ca="1">IF(constrain_growth=1,MAX(0,INT(AJ24/(AJ23*IF(AJ27=1,MAX(0.01,1-pf_ltv_limit),1)))),999999)</f>
        <v>1</v>
      </c>
      <c r="AK25" s="36">
        <f ca="1">IF(constrain_growth=1,MAX(0,INT(AK24/(AK23*IF(AK27=1,MAX(0.01,1-pf_ltv_limit),1)))),999999)</f>
        <v>0</v>
      </c>
      <c r="AL25" s="36">
        <f ca="1">IF(constrain_growth=1,MAX(0,INT(AL24/(AL23*IF(AL27=1,MAX(0.01,1-pf_ltv_limit),1)))),999999)</f>
        <v>1</v>
      </c>
      <c r="AM25" s="36">
        <f ca="1">IF(constrain_growth=1,MAX(0,INT(AM24/(AM23*IF(AM27=1,MAX(0.01,1-pf_ltv_limit),1)))),999999)</f>
        <v>1</v>
      </c>
      <c r="AN25" s="36">
        <f ca="1">IF(constrain_growth=1,MAX(0,INT(AN24/(AN23*IF(AN27=1,MAX(0.01,1-pf_ltv_limit),1)))),999999)</f>
        <v>0</v>
      </c>
      <c r="AO25" s="36">
        <f ca="1">IF(constrain_growth=1,MAX(0,INT(AO24/(AO23*IF(AO27=1,MAX(0.01,1-pf_ltv_limit),1)))),999999)</f>
        <v>1</v>
      </c>
      <c r="AP25" s="36">
        <f ca="1">IF(constrain_growth=1,MAX(0,INT(AP24/(AP23*IF(AP27=1,MAX(0.01,1-pf_ltv_limit),1)))),999999)</f>
        <v>1</v>
      </c>
      <c r="AQ25" s="36">
        <f ca="1">IF(constrain_growth=1,MAX(0,INT(AQ24/(AQ23*IF(AQ27=1,MAX(0.01,1-pf_ltv_limit),1)))),999999)</f>
        <v>1</v>
      </c>
      <c r="AR25" s="36">
        <f ca="1">IF(constrain_growth=1,MAX(0,INT(AR24/(AR23*IF(AR27=1,MAX(0.01,1-pf_ltv_limit),1)))),999999)</f>
        <v>1</v>
      </c>
      <c r="AS25" s="36">
        <f ca="1">IF(constrain_growth=1,MAX(0,INT(AS24/(AS23*IF(AS27=1,MAX(0.01,1-pf_ltv_limit),1)))),999999)</f>
        <v>1</v>
      </c>
      <c r="AT25" s="36">
        <f ca="1">IF(constrain_growth=1,MAX(0,INT(AT24/(AT23*IF(AT27=1,MAX(0.01,1-pf_ltv_limit),1)))),999999)</f>
        <v>1</v>
      </c>
      <c r="AU25" s="36">
        <f ca="1">IF(constrain_growth=1,MAX(0,INT(AU24/(AU23*IF(AU27=1,MAX(0.01,1-pf_ltv_limit),1)))),999999)</f>
        <v>1</v>
      </c>
      <c r="AV25" s="36">
        <f ca="1">IF(constrain_growth=1,MAX(0,INT(AV24/(AV23*IF(AV27=1,MAX(0.01,1-pf_ltv_limit),1)))),999999)</f>
        <v>1</v>
      </c>
      <c r="AW25" s="36">
        <f ca="1">IF(constrain_growth=1,MAX(0,INT(AW24/(AW23*IF(AW27=1,MAX(0.01,1-pf_ltv_limit),1)))),999999)</f>
        <v>1</v>
      </c>
      <c r="AX25" s="36">
        <f ca="1">IF(constrain_growth=1,MAX(0,INT(AX24/(AX23*IF(AX27=1,MAX(0.01,1-pf_ltv_limit),1)))),999999)</f>
        <v>2</v>
      </c>
      <c r="AY25" s="36">
        <f ca="1">IF(constrain_growth=1,MAX(0,INT(AY24/(AY23*IF(AY27=1,MAX(0.01,1-pf_ltv_limit),1)))),999999)</f>
        <v>1</v>
      </c>
      <c r="AZ25" s="36">
        <f ca="1">IF(constrain_growth=1,MAX(0,INT(AZ24/(AZ23*IF(AZ27=1,MAX(0.01,1-pf_ltv_limit),1)))),999999)</f>
        <v>1</v>
      </c>
      <c r="BA25" s="36">
        <f ca="1">IF(constrain_growth=1,MAX(0,INT(BA24/(BA23*IF(BA27=1,MAX(0.01,1-pf_ltv_limit),1)))),999999)</f>
        <v>1</v>
      </c>
    </row>
    <row r="26" spans="1:53" x14ac:dyDescent="0.3">
      <c r="A26" s="3" t="s">
        <v>315</v>
      </c>
      <c r="B26" t="s">
        <v>69</v>
      </c>
      <c r="D26" s="36">
        <f>IF(D$6&lt;=3,CHOOSE(D$6,acq_year1,acq_year2,acq_year3),MIN(MAX(logistic_floor,IF(D$6&gt;=logistic_start_yr,ROUND($C$4*D9*(1-D9/logistic_ceiling),0),0)),MAX(0,logistic_ceiling-D9)))</f>
        <v>1</v>
      </c>
      <c r="E26" s="36">
        <f>IF(E$6&lt;=3,CHOOSE(E$6,acq_year1,acq_year2,acq_year3),MIN(MAX(logistic_floor,IF(E$6&gt;=logistic_start_yr,ROUND($C$4*E9*(1-E9/logistic_ceiling),0),0)),MAX(0,logistic_ceiling-E9)))</f>
        <v>2</v>
      </c>
      <c r="F26" s="36">
        <f>IF(F$6&lt;=3,CHOOSE(F$6,acq_year1,acq_year2,acq_year3),MIN(MAX(logistic_floor,IF(F$6&gt;=logistic_start_yr,ROUND($C$4*F9*(1-F9/logistic_ceiling),0),0)),MAX(0,logistic_ceiling-F9)))</f>
        <v>3</v>
      </c>
      <c r="G26" s="36">
        <f ca="1">IF(G$6&lt;=3,CHOOSE(G$6,acq_year1,acq_year2,acq_year3),MIN(MAX(logistic_floor,IF(G$6&gt;=logistic_start_yr,ROUND($C$4*G9*(1-G9/logistic_ceiling),0),0)),MAX(0,logistic_ceiling-G9)))</f>
        <v>3</v>
      </c>
      <c r="H26" s="36">
        <f ca="1">IF(H$6&lt;=3,CHOOSE(H$6,acq_year1,acq_year2,acq_year3),MIN(MAX(logistic_floor,IF(H$6&gt;=logistic_start_yr,ROUND($C$4*H9*(1-H9/logistic_ceiling),0),0)),MAX(0,logistic_ceiling-H9)))</f>
        <v>3</v>
      </c>
      <c r="I26" s="36">
        <f ca="1">IF(I$6&lt;=3,CHOOSE(I$6,acq_year1,acq_year2,acq_year3),MIN(MAX(logistic_floor,IF(I$6&gt;=logistic_start_yr,ROUND($C$4*I9*(1-I9/logistic_ceiling),0),0)),MAX(0,logistic_ceiling-I9)))</f>
        <v>3</v>
      </c>
      <c r="J26" s="36">
        <f ca="1">IF(J$6&lt;=3,CHOOSE(J$6,acq_year1,acq_year2,acq_year3),MIN(MAX(logistic_floor,IF(J$6&gt;=logistic_start_yr,ROUND($C$4*J9*(1-J9/logistic_ceiling),0),0)),MAX(0,logistic_ceiling-J9)))</f>
        <v>3</v>
      </c>
      <c r="K26" s="36">
        <f ca="1">IF(K$6&lt;=3,CHOOSE(K$6,acq_year1,acq_year2,acq_year3),MIN(MAX(logistic_floor,IF(K$6&gt;=logistic_start_yr,ROUND($C$4*K9*(1-K9/logistic_ceiling),0),0)),MAX(0,logistic_ceiling-K9)))</f>
        <v>3</v>
      </c>
      <c r="L26" s="36">
        <f ca="1">IF(L$6&lt;=3,CHOOSE(L$6,acq_year1,acq_year2,acq_year3),MIN(MAX(logistic_floor,IF(L$6&gt;=logistic_start_yr,ROUND($C$4*L9*(1-L9/logistic_ceiling),0),0)),MAX(0,logistic_ceiling-L9)))</f>
        <v>3</v>
      </c>
      <c r="M26" s="36">
        <f ca="1">IF(M$6&lt;=3,CHOOSE(M$6,acq_year1,acq_year2,acq_year3),MIN(MAX(logistic_floor,IF(M$6&gt;=logistic_start_yr,ROUND($C$4*M9*(1-M9/logistic_ceiling),0),0)),MAX(0,logistic_ceiling-M9)))</f>
        <v>4</v>
      </c>
      <c r="N26" s="36">
        <f ca="1">IF(N$6&lt;=3,CHOOSE(N$6,acq_year1,acq_year2,acq_year3),MIN(MAX(logistic_floor,IF(N$6&gt;=logistic_start_yr,ROUND($C$4*N9*(1-N9/logistic_ceiling),0),0)),MAX(0,logistic_ceiling-N9)))</f>
        <v>4</v>
      </c>
      <c r="O26" s="36">
        <f ca="1">IF(O$6&lt;=3,CHOOSE(O$6,acq_year1,acq_year2,acq_year3),MIN(MAX(logistic_floor,IF(O$6&gt;=logistic_start_yr,ROUND($C$4*O9*(1-O9/logistic_ceiling),0),0)),MAX(0,logistic_ceiling-O9)))</f>
        <v>4</v>
      </c>
      <c r="P26" s="36">
        <f ca="1">IF(P$6&lt;=3,CHOOSE(P$6,acq_year1,acq_year2,acq_year3),MIN(MAX(logistic_floor,IF(P$6&gt;=logistic_start_yr,ROUND($C$4*P9*(1-P9/logistic_ceiling),0),0)),MAX(0,logistic_ceiling-P9)))</f>
        <v>4</v>
      </c>
      <c r="Q26" s="36">
        <f ca="1">IF(Q$6&lt;=3,CHOOSE(Q$6,acq_year1,acq_year2,acq_year3),MIN(MAX(logistic_floor,IF(Q$6&gt;=logistic_start_yr,ROUND($C$4*Q9*(1-Q9/logistic_ceiling),0),0)),MAX(0,logistic_ceiling-Q9)))</f>
        <v>4</v>
      </c>
      <c r="R26" s="36">
        <f ca="1">IF(R$6&lt;=3,CHOOSE(R$6,acq_year1,acq_year2,acq_year3),MIN(MAX(logistic_floor,IF(R$6&gt;=logistic_start_yr,ROUND($C$4*R9*(1-R9/logistic_ceiling),0),0)),MAX(0,logistic_ceiling-R9)))</f>
        <v>4</v>
      </c>
      <c r="S26" s="36">
        <f ca="1">IF(S$6&lt;=3,CHOOSE(S$6,acq_year1,acq_year2,acq_year3),MIN(MAX(logistic_floor,IF(S$6&gt;=logistic_start_yr,ROUND($C$4*S9*(1-S9/logistic_ceiling),0),0)),MAX(0,logistic_ceiling-S9)))</f>
        <v>4</v>
      </c>
      <c r="T26" s="36">
        <f ca="1">IF(T$6&lt;=3,CHOOSE(T$6,acq_year1,acq_year2,acq_year3),MIN(MAX(logistic_floor,IF(T$6&gt;=logistic_start_yr,ROUND($C$4*T9*(1-T9/logistic_ceiling),0),0)),MAX(0,logistic_ceiling-T9)))</f>
        <v>4</v>
      </c>
      <c r="U26" s="36">
        <f ca="1">IF(U$6&lt;=3,CHOOSE(U$6,acq_year1,acq_year2,acq_year3),MIN(MAX(logistic_floor,IF(U$6&gt;=logistic_start_yr,ROUND($C$4*U9*(1-U9/logistic_ceiling),0),0)),MAX(0,logistic_ceiling-U9)))</f>
        <v>4</v>
      </c>
      <c r="V26" s="36">
        <f ca="1">IF(V$6&lt;=3,CHOOSE(V$6,acq_year1,acq_year2,acq_year3),MIN(MAX(logistic_floor,IF(V$6&gt;=logistic_start_yr,ROUND($C$4*V9*(1-V9/logistic_ceiling),0),0)),MAX(0,logistic_ceiling-V9)))</f>
        <v>4</v>
      </c>
      <c r="W26" s="36">
        <f ca="1">IF(W$6&lt;=3,CHOOSE(W$6,acq_year1,acq_year2,acq_year3),MIN(MAX(logistic_floor,IF(W$6&gt;=logistic_start_yr,ROUND($C$4*W9*(1-W9/logistic_ceiling),0),0)),MAX(0,logistic_ceiling-W9)))</f>
        <v>4</v>
      </c>
      <c r="X26" s="36">
        <f ca="1">IF(X$6&lt;=3,CHOOSE(X$6,acq_year1,acq_year2,acq_year3),MIN(MAX(logistic_floor,IF(X$6&gt;=logistic_start_yr,ROUND($C$4*X9*(1-X9/logistic_ceiling),0),0)),MAX(0,logistic_ceiling-X9)))</f>
        <v>4</v>
      </c>
      <c r="Y26" s="36">
        <f ca="1">IF(Y$6&lt;=3,CHOOSE(Y$6,acq_year1,acq_year2,acq_year3),MIN(MAX(logistic_floor,IF(Y$6&gt;=logistic_start_yr,ROUND($C$4*Y9*(1-Y9/logistic_ceiling),0),0)),MAX(0,logistic_ceiling-Y9)))</f>
        <v>4</v>
      </c>
      <c r="Z26" s="36">
        <f ca="1">IF(Z$6&lt;=3,CHOOSE(Z$6,acq_year1,acq_year2,acq_year3),MIN(MAX(logistic_floor,IF(Z$6&gt;=logistic_start_yr,ROUND($C$4*Z9*(1-Z9/logistic_ceiling),0),0)),MAX(0,logistic_ceiling-Z9)))</f>
        <v>4</v>
      </c>
      <c r="AA26" s="36">
        <f ca="1">IF(AA$6&lt;=3,CHOOSE(AA$6,acq_year1,acq_year2,acq_year3),MIN(MAX(logistic_floor,IF(AA$6&gt;=logistic_start_yr,ROUND($C$4*AA9*(1-AA9/logistic_ceiling),0),0)),MAX(0,logistic_ceiling-AA9)))</f>
        <v>4</v>
      </c>
      <c r="AB26" s="36">
        <f ca="1">IF(AB$6&lt;=3,CHOOSE(AB$6,acq_year1,acq_year2,acq_year3),MIN(MAX(logistic_floor,IF(AB$6&gt;=logistic_start_yr,ROUND($C$4*AB9*(1-AB9/logistic_ceiling),0),0)),MAX(0,logistic_ceiling-AB9)))</f>
        <v>4</v>
      </c>
      <c r="AC26" s="36">
        <f ca="1">IF(AC$6&lt;=3,CHOOSE(AC$6,acq_year1,acq_year2,acq_year3),MIN(MAX(logistic_floor,IF(AC$6&gt;=logistic_start_yr,ROUND($C$4*AC9*(1-AC9/logistic_ceiling),0),0)),MAX(0,logistic_ceiling-AC9)))</f>
        <v>4</v>
      </c>
      <c r="AD26" s="36">
        <f ca="1">IF(AD$6&lt;=3,CHOOSE(AD$6,acq_year1,acq_year2,acq_year3),MIN(MAX(logistic_floor,IF(AD$6&gt;=logistic_start_yr,ROUND($C$4*AD9*(1-AD9/logistic_ceiling),0),0)),MAX(0,logistic_ceiling-AD9)))</f>
        <v>4</v>
      </c>
      <c r="AE26" s="36">
        <f ca="1">IF(AE$6&lt;=3,CHOOSE(AE$6,acq_year1,acq_year2,acq_year3),MIN(MAX(logistic_floor,IF(AE$6&gt;=logistic_start_yr,ROUND($C$4*AE9*(1-AE9/logistic_ceiling),0),0)),MAX(0,logistic_ceiling-AE9)))</f>
        <v>4</v>
      </c>
      <c r="AF26" s="36">
        <f ca="1">IF(AF$6&lt;=3,CHOOSE(AF$6,acq_year1,acq_year2,acq_year3),MIN(MAX(logistic_floor,IF(AF$6&gt;=logistic_start_yr,ROUND($C$4*AF9*(1-AF9/logistic_ceiling),0),0)),MAX(0,logistic_ceiling-AF9)))</f>
        <v>4</v>
      </c>
      <c r="AG26" s="36">
        <f ca="1">IF(AG$6&lt;=3,CHOOSE(AG$6,acq_year1,acq_year2,acq_year3),MIN(MAX(logistic_floor,IF(AG$6&gt;=logistic_start_yr,ROUND($C$4*AG9*(1-AG9/logistic_ceiling),0),0)),MAX(0,logistic_ceiling-AG9)))</f>
        <v>4</v>
      </c>
      <c r="AH26" s="36">
        <f ca="1">IF(AH$6&lt;=3,CHOOSE(AH$6,acq_year1,acq_year2,acq_year3),MIN(MAX(logistic_floor,IF(AH$6&gt;=logistic_start_yr,ROUND($C$4*AH9*(1-AH9/logistic_ceiling),0),0)),MAX(0,logistic_ceiling-AH9)))</f>
        <v>5</v>
      </c>
      <c r="AI26" s="36">
        <f ca="1">IF(AI$6&lt;=3,CHOOSE(AI$6,acq_year1,acq_year2,acq_year3),MIN(MAX(logistic_floor,IF(AI$6&gt;=logistic_start_yr,ROUND($C$4*AI9*(1-AI9/logistic_ceiling),0),0)),MAX(0,logistic_ceiling-AI9)))</f>
        <v>5</v>
      </c>
      <c r="AJ26" s="36">
        <f ca="1">IF(AJ$6&lt;=3,CHOOSE(AJ$6,acq_year1,acq_year2,acq_year3),MIN(MAX(logistic_floor,IF(AJ$6&gt;=logistic_start_yr,ROUND($C$4*AJ9*(1-AJ9/logistic_ceiling),0),0)),MAX(0,logistic_ceiling-AJ9)))</f>
        <v>5</v>
      </c>
      <c r="AK26" s="36">
        <f ca="1">IF(AK$6&lt;=3,CHOOSE(AK$6,acq_year1,acq_year2,acq_year3),MIN(MAX(logistic_floor,IF(AK$6&gt;=logistic_start_yr,ROUND($C$4*AK9*(1-AK9/logistic_ceiling),0),0)),MAX(0,logistic_ceiling-AK9)))</f>
        <v>5</v>
      </c>
      <c r="AL26" s="36">
        <f ca="1">IF(AL$6&lt;=3,CHOOSE(AL$6,acq_year1,acq_year2,acq_year3),MIN(MAX(logistic_floor,IF(AL$6&gt;=logistic_start_yr,ROUND($C$4*AL9*(1-AL9/logistic_ceiling),0),0)),MAX(0,logistic_ceiling-AL9)))</f>
        <v>5</v>
      </c>
      <c r="AM26" s="36">
        <f ca="1">IF(AM$6&lt;=3,CHOOSE(AM$6,acq_year1,acq_year2,acq_year3),MIN(MAX(logistic_floor,IF(AM$6&gt;=logistic_start_yr,ROUND($C$4*AM9*(1-AM9/logistic_ceiling),0),0)),MAX(0,logistic_ceiling-AM9)))</f>
        <v>5</v>
      </c>
      <c r="AN26" s="36">
        <f ca="1">IF(AN$6&lt;=3,CHOOSE(AN$6,acq_year1,acq_year2,acq_year3),MIN(MAX(logistic_floor,IF(AN$6&gt;=logistic_start_yr,ROUND($C$4*AN9*(1-AN9/logistic_ceiling),0),0)),MAX(0,logistic_ceiling-AN9)))</f>
        <v>5</v>
      </c>
      <c r="AO26" s="36">
        <f ca="1">IF(AO$6&lt;=3,CHOOSE(AO$6,acq_year1,acq_year2,acq_year3),MIN(MAX(logistic_floor,IF(AO$6&gt;=logistic_start_yr,ROUND($C$4*AO9*(1-AO9/logistic_ceiling),0),0)),MAX(0,logistic_ceiling-AO9)))</f>
        <v>5</v>
      </c>
      <c r="AP26" s="36">
        <f ca="1">IF(AP$6&lt;=3,CHOOSE(AP$6,acq_year1,acq_year2,acq_year3),MIN(MAX(logistic_floor,IF(AP$6&gt;=logistic_start_yr,ROUND($C$4*AP9*(1-AP9/logistic_ceiling),0),0)),MAX(0,logistic_ceiling-AP9)))</f>
        <v>5</v>
      </c>
      <c r="AQ26" s="36">
        <f ca="1">IF(AQ$6&lt;=3,CHOOSE(AQ$6,acq_year1,acq_year2,acq_year3),MIN(MAX(logistic_floor,IF(AQ$6&gt;=logistic_start_yr,ROUND($C$4*AQ9*(1-AQ9/logistic_ceiling),0),0)),MAX(0,logistic_ceiling-AQ9)))</f>
        <v>5</v>
      </c>
      <c r="AR26" s="36">
        <f ca="1">IF(AR$6&lt;=3,CHOOSE(AR$6,acq_year1,acq_year2,acq_year3),MIN(MAX(logistic_floor,IF(AR$6&gt;=logistic_start_yr,ROUND($C$4*AR9*(1-AR9/logistic_ceiling),0),0)),MAX(0,logistic_ceiling-AR9)))</f>
        <v>5</v>
      </c>
      <c r="AS26" s="36">
        <f ca="1">IF(AS$6&lt;=3,CHOOSE(AS$6,acq_year1,acq_year2,acq_year3),MIN(MAX(logistic_floor,IF(AS$6&gt;=logistic_start_yr,ROUND($C$4*AS9*(1-AS9/logistic_ceiling),0),0)),MAX(0,logistic_ceiling-AS9)))</f>
        <v>5</v>
      </c>
      <c r="AT26" s="36">
        <f ca="1">IF(AT$6&lt;=3,CHOOSE(AT$6,acq_year1,acq_year2,acq_year3),MIN(MAX(logistic_floor,IF(AT$6&gt;=logistic_start_yr,ROUND($C$4*AT9*(1-AT9/logistic_ceiling),0),0)),MAX(0,logistic_ceiling-AT9)))</f>
        <v>6</v>
      </c>
      <c r="AU26" s="36">
        <f ca="1">IF(AU$6&lt;=3,CHOOSE(AU$6,acq_year1,acq_year2,acq_year3),MIN(MAX(logistic_floor,IF(AU$6&gt;=logistic_start_yr,ROUND($C$4*AU9*(1-AU9/logistic_ceiling),0),0)),MAX(0,logistic_ceiling-AU9)))</f>
        <v>6</v>
      </c>
      <c r="AV26" s="36">
        <f ca="1">IF(AV$6&lt;=3,CHOOSE(AV$6,acq_year1,acq_year2,acq_year3),MIN(MAX(logistic_floor,IF(AV$6&gt;=logistic_start_yr,ROUND($C$4*AV9*(1-AV9/logistic_ceiling),0),0)),MAX(0,logistic_ceiling-AV9)))</f>
        <v>6</v>
      </c>
      <c r="AW26" s="36">
        <f ca="1">IF(AW$6&lt;=3,CHOOSE(AW$6,acq_year1,acq_year2,acq_year3),MIN(MAX(logistic_floor,IF(AW$6&gt;=logistic_start_yr,ROUND($C$4*AW9*(1-AW9/logistic_ceiling),0),0)),MAX(0,logistic_ceiling-AW9)))</f>
        <v>6</v>
      </c>
      <c r="AX26" s="36">
        <f ca="1">IF(AX$6&lt;=3,CHOOSE(AX$6,acq_year1,acq_year2,acq_year3),MIN(MAX(logistic_floor,IF(AX$6&gt;=logistic_start_yr,ROUND($C$4*AX9*(1-AX9/logistic_ceiling),0),0)),MAX(0,logistic_ceiling-AX9)))</f>
        <v>6</v>
      </c>
      <c r="AY26" s="36">
        <f ca="1">IF(AY$6&lt;=3,CHOOSE(AY$6,acq_year1,acq_year2,acq_year3),MIN(MAX(logistic_floor,IF(AY$6&gt;=logistic_start_yr,ROUND($C$4*AY9*(1-AY9/logistic_ceiling),0),0)),MAX(0,logistic_ceiling-AY9)))</f>
        <v>6</v>
      </c>
      <c r="AZ26" s="36">
        <f ca="1">IF(AZ$6&lt;=3,CHOOSE(AZ$6,acq_year1,acq_year2,acq_year3),MIN(MAX(logistic_floor,IF(AZ$6&gt;=logistic_start_yr,ROUND($C$4*AZ9*(1-AZ9/logistic_ceiling),0),0)),MAX(0,logistic_ceiling-AZ9)))</f>
        <v>6</v>
      </c>
      <c r="BA26" s="36">
        <f ca="1">IF(BA$6&lt;=3,CHOOSE(BA$6,acq_year1,acq_year2,acq_year3),MIN(MAX(logistic_floor,IF(BA$6&gt;=logistic_start_yr,ROUND($C$4*BA9*(1-BA9/logistic_ceiling),0),0)),MAX(0,logistic_ceiling-BA9)))</f>
        <v>6</v>
      </c>
    </row>
    <row r="27" spans="1:53" x14ac:dyDescent="0.3">
      <c r="A27" s="3" t="s">
        <v>342</v>
      </c>
      <c r="B27" s="10">
        <v>36526</v>
      </c>
      <c r="D27" s="9">
        <f>IF(AND(D$6&lt;=pf_invest_phase_yrs,OR(pf_refi_toggle=0,D$6&lt;pf_refi_year),'Capital &amp; Debt'!C38&lt;pf_max_raise),1,0)</f>
        <v>1</v>
      </c>
      <c r="E27" s="9">
        <f ca="1">IF(AND(E$6&lt;=pf_invest_phase_yrs,OR(pf_refi_toggle=0,E$6&lt;pf_refi_year),'Capital &amp; Debt'!D38&lt;pf_max_raise),1,0)</f>
        <v>1</v>
      </c>
      <c r="F27" s="9">
        <f ca="1">IF(AND(F$6&lt;=pf_invest_phase_yrs,OR(pf_refi_toggle=0,F$6&lt;pf_refi_year),'Capital &amp; Debt'!E38&lt;pf_max_raise),1,0)</f>
        <v>1</v>
      </c>
      <c r="G27" s="9">
        <f ca="1">IF(AND(G$6&lt;=pf_invest_phase_yrs,OR(pf_refi_toggle=0,G$6&lt;pf_refi_year),'Capital &amp; Debt'!F38&lt;pf_max_raise),1,0)</f>
        <v>1</v>
      </c>
      <c r="H27" s="9">
        <f ca="1">IF(AND(H$6&lt;=pf_invest_phase_yrs,OR(pf_refi_toggle=0,H$6&lt;pf_refi_year),'Capital &amp; Debt'!G38&lt;pf_max_raise),1,0)</f>
        <v>1</v>
      </c>
      <c r="I27" s="9">
        <f ca="1">IF(AND(I$6&lt;=pf_invest_phase_yrs,OR(pf_refi_toggle=0,I$6&lt;pf_refi_year),'Capital &amp; Debt'!H38&lt;pf_max_raise),1,0)</f>
        <v>1</v>
      </c>
      <c r="J27" s="9">
        <f ca="1">IF(AND(J$6&lt;=pf_invest_phase_yrs,OR(pf_refi_toggle=0,J$6&lt;pf_refi_year),'Capital &amp; Debt'!I38&lt;pf_max_raise),1,0)</f>
        <v>1</v>
      </c>
      <c r="K27" s="9">
        <f ca="1">IF(AND(K$6&lt;=pf_invest_phase_yrs,OR(pf_refi_toggle=0,K$6&lt;pf_refi_year),'Capital &amp; Debt'!J38&lt;pf_max_raise),1,0)</f>
        <v>1</v>
      </c>
      <c r="L27" s="9">
        <f ca="1">IF(AND(L$6&lt;=pf_invest_phase_yrs,OR(pf_refi_toggle=0,L$6&lt;pf_refi_year),'Capital &amp; Debt'!K38&lt;pf_max_raise),1,0)</f>
        <v>1</v>
      </c>
      <c r="M27" s="9">
        <f ca="1">IF(AND(M$6&lt;=pf_invest_phase_yrs,OR(pf_refi_toggle=0,M$6&lt;pf_refi_year),'Capital &amp; Debt'!L38&lt;pf_max_raise),1,0)</f>
        <v>1</v>
      </c>
      <c r="N27" s="9">
        <f ca="1">IF(AND(N$6&lt;=pf_invest_phase_yrs,OR(pf_refi_toggle=0,N$6&lt;pf_refi_year),'Capital &amp; Debt'!M38&lt;pf_max_raise),1,0)</f>
        <v>0</v>
      </c>
      <c r="O27" s="9">
        <f ca="1">IF(AND(O$6&lt;=pf_invest_phase_yrs,OR(pf_refi_toggle=0,O$6&lt;pf_refi_year),'Capital &amp; Debt'!N38&lt;pf_max_raise),1,0)</f>
        <v>0</v>
      </c>
      <c r="P27" s="9">
        <f ca="1">IF(AND(P$6&lt;=pf_invest_phase_yrs,OR(pf_refi_toggle=0,P$6&lt;pf_refi_year),'Capital &amp; Debt'!O38&lt;pf_max_raise),1,0)</f>
        <v>0</v>
      </c>
      <c r="Q27" s="9">
        <f ca="1">IF(AND(Q$6&lt;=pf_invest_phase_yrs,OR(pf_refi_toggle=0,Q$6&lt;pf_refi_year),'Capital &amp; Debt'!P38&lt;pf_max_raise),1,0)</f>
        <v>0</v>
      </c>
      <c r="R27" s="9">
        <f ca="1">IF(AND(R$6&lt;=pf_invest_phase_yrs,OR(pf_refi_toggle=0,R$6&lt;pf_refi_year),'Capital &amp; Debt'!Q38&lt;pf_max_raise),1,0)</f>
        <v>0</v>
      </c>
      <c r="S27" s="9">
        <f ca="1">IF(AND(S$6&lt;=pf_invest_phase_yrs,OR(pf_refi_toggle=0,S$6&lt;pf_refi_year),'Capital &amp; Debt'!R38&lt;pf_max_raise),1,0)</f>
        <v>0</v>
      </c>
      <c r="T27" s="9">
        <f ca="1">IF(AND(T$6&lt;=pf_invest_phase_yrs,OR(pf_refi_toggle=0,T$6&lt;pf_refi_year),'Capital &amp; Debt'!S38&lt;pf_max_raise),1,0)</f>
        <v>0</v>
      </c>
      <c r="U27" s="9">
        <f ca="1">IF(AND(U$6&lt;=pf_invest_phase_yrs,OR(pf_refi_toggle=0,U$6&lt;pf_refi_year),'Capital &amp; Debt'!T38&lt;pf_max_raise),1,0)</f>
        <v>0</v>
      </c>
      <c r="V27" s="9">
        <f ca="1">IF(AND(V$6&lt;=pf_invest_phase_yrs,OR(pf_refi_toggle=0,V$6&lt;pf_refi_year),'Capital &amp; Debt'!U38&lt;pf_max_raise),1,0)</f>
        <v>0</v>
      </c>
      <c r="W27" s="9">
        <f ca="1">IF(AND(W$6&lt;=pf_invest_phase_yrs,OR(pf_refi_toggle=0,W$6&lt;pf_refi_year),'Capital &amp; Debt'!V38&lt;pf_max_raise),1,0)</f>
        <v>0</v>
      </c>
      <c r="X27" s="9">
        <f ca="1">IF(AND(X$6&lt;=pf_invest_phase_yrs,OR(pf_refi_toggle=0,X$6&lt;pf_refi_year),'Capital &amp; Debt'!W38&lt;pf_max_raise),1,0)</f>
        <v>0</v>
      </c>
      <c r="Y27" s="9">
        <f ca="1">IF(AND(Y$6&lt;=pf_invest_phase_yrs,OR(pf_refi_toggle=0,Y$6&lt;pf_refi_year),'Capital &amp; Debt'!X38&lt;pf_max_raise),1,0)</f>
        <v>0</v>
      </c>
      <c r="Z27" s="9">
        <f ca="1">IF(AND(Z$6&lt;=pf_invest_phase_yrs,OR(pf_refi_toggle=0,Z$6&lt;pf_refi_year),'Capital &amp; Debt'!Y38&lt;pf_max_raise),1,0)</f>
        <v>0</v>
      </c>
      <c r="AA27" s="9">
        <f ca="1">IF(AND(AA$6&lt;=pf_invest_phase_yrs,OR(pf_refi_toggle=0,AA$6&lt;pf_refi_year),'Capital &amp; Debt'!Z38&lt;pf_max_raise),1,0)</f>
        <v>0</v>
      </c>
      <c r="AB27" s="9">
        <f ca="1">IF(AND(AB$6&lt;=pf_invest_phase_yrs,OR(pf_refi_toggle=0,AB$6&lt;pf_refi_year),'Capital &amp; Debt'!AA38&lt;pf_max_raise),1,0)</f>
        <v>0</v>
      </c>
      <c r="AC27" s="9">
        <f ca="1">IF(AND(AC$6&lt;=pf_invest_phase_yrs,OR(pf_refi_toggle=0,AC$6&lt;pf_refi_year),'Capital &amp; Debt'!AB38&lt;pf_max_raise),1,0)</f>
        <v>0</v>
      </c>
      <c r="AD27" s="9">
        <f ca="1">IF(AND(AD$6&lt;=pf_invest_phase_yrs,OR(pf_refi_toggle=0,AD$6&lt;pf_refi_year),'Capital &amp; Debt'!AC38&lt;pf_max_raise),1,0)</f>
        <v>0</v>
      </c>
      <c r="AE27" s="9">
        <f ca="1">IF(AND(AE$6&lt;=pf_invest_phase_yrs,OR(pf_refi_toggle=0,AE$6&lt;pf_refi_year),'Capital &amp; Debt'!AD38&lt;pf_max_raise),1,0)</f>
        <v>0</v>
      </c>
      <c r="AF27" s="9">
        <f ca="1">IF(AND(AF$6&lt;=pf_invest_phase_yrs,OR(pf_refi_toggle=0,AF$6&lt;pf_refi_year),'Capital &amp; Debt'!AE38&lt;pf_max_raise),1,0)</f>
        <v>0</v>
      </c>
      <c r="AG27" s="9">
        <f ca="1">IF(AND(AG$6&lt;=pf_invest_phase_yrs,OR(pf_refi_toggle=0,AG$6&lt;pf_refi_year),'Capital &amp; Debt'!AF38&lt;pf_max_raise),1,0)</f>
        <v>0</v>
      </c>
      <c r="AH27" s="9">
        <f ca="1">IF(AND(AH$6&lt;=pf_invest_phase_yrs,OR(pf_refi_toggle=0,AH$6&lt;pf_refi_year),'Capital &amp; Debt'!AG38&lt;pf_max_raise),1,0)</f>
        <v>0</v>
      </c>
      <c r="AI27" s="9">
        <f ca="1">IF(AND(AI$6&lt;=pf_invest_phase_yrs,OR(pf_refi_toggle=0,AI$6&lt;pf_refi_year),'Capital &amp; Debt'!AH38&lt;pf_max_raise),1,0)</f>
        <v>0</v>
      </c>
      <c r="AJ27" s="9">
        <f ca="1">IF(AND(AJ$6&lt;=pf_invest_phase_yrs,OR(pf_refi_toggle=0,AJ$6&lt;pf_refi_year),'Capital &amp; Debt'!AI38&lt;pf_max_raise),1,0)</f>
        <v>0</v>
      </c>
      <c r="AK27" s="9">
        <f ca="1">IF(AND(AK$6&lt;=pf_invest_phase_yrs,OR(pf_refi_toggle=0,AK$6&lt;pf_refi_year),'Capital &amp; Debt'!AJ38&lt;pf_max_raise),1,0)</f>
        <v>0</v>
      </c>
      <c r="AL27" s="9">
        <f ca="1">IF(AND(AL$6&lt;=pf_invest_phase_yrs,OR(pf_refi_toggle=0,AL$6&lt;pf_refi_year),'Capital &amp; Debt'!AK38&lt;pf_max_raise),1,0)</f>
        <v>0</v>
      </c>
      <c r="AM27" s="9">
        <f ca="1">IF(AND(AM$6&lt;=pf_invest_phase_yrs,OR(pf_refi_toggle=0,AM$6&lt;pf_refi_year),'Capital &amp; Debt'!AL38&lt;pf_max_raise),1,0)</f>
        <v>0</v>
      </c>
      <c r="AN27" s="9">
        <f ca="1">IF(AND(AN$6&lt;=pf_invest_phase_yrs,OR(pf_refi_toggle=0,AN$6&lt;pf_refi_year),'Capital &amp; Debt'!AM38&lt;pf_max_raise),1,0)</f>
        <v>0</v>
      </c>
      <c r="AO27" s="9">
        <f ca="1">IF(AND(AO$6&lt;=pf_invest_phase_yrs,OR(pf_refi_toggle=0,AO$6&lt;pf_refi_year),'Capital &amp; Debt'!AN38&lt;pf_max_raise),1,0)</f>
        <v>0</v>
      </c>
      <c r="AP27" s="9">
        <f ca="1">IF(AND(AP$6&lt;=pf_invest_phase_yrs,OR(pf_refi_toggle=0,AP$6&lt;pf_refi_year),'Capital &amp; Debt'!AO38&lt;pf_max_raise),1,0)</f>
        <v>0</v>
      </c>
      <c r="AQ27" s="9">
        <f ca="1">IF(AND(AQ$6&lt;=pf_invest_phase_yrs,OR(pf_refi_toggle=0,AQ$6&lt;pf_refi_year),'Capital &amp; Debt'!AP38&lt;pf_max_raise),1,0)</f>
        <v>0</v>
      </c>
      <c r="AR27" s="9">
        <f ca="1">IF(AND(AR$6&lt;=pf_invest_phase_yrs,OR(pf_refi_toggle=0,AR$6&lt;pf_refi_year),'Capital &amp; Debt'!AQ38&lt;pf_max_raise),1,0)</f>
        <v>0</v>
      </c>
      <c r="AS27" s="9">
        <f ca="1">IF(AND(AS$6&lt;=pf_invest_phase_yrs,OR(pf_refi_toggle=0,AS$6&lt;pf_refi_year),'Capital &amp; Debt'!AR38&lt;pf_max_raise),1,0)</f>
        <v>0</v>
      </c>
      <c r="AT27" s="9">
        <f ca="1">IF(AND(AT$6&lt;=pf_invest_phase_yrs,OR(pf_refi_toggle=0,AT$6&lt;pf_refi_year),'Capital &amp; Debt'!AS38&lt;pf_max_raise),1,0)</f>
        <v>0</v>
      </c>
      <c r="AU27" s="9">
        <f ca="1">IF(AND(AU$6&lt;=pf_invest_phase_yrs,OR(pf_refi_toggle=0,AU$6&lt;pf_refi_year),'Capital &amp; Debt'!AT38&lt;pf_max_raise),1,0)</f>
        <v>0</v>
      </c>
      <c r="AV27" s="9">
        <f ca="1">IF(AND(AV$6&lt;=pf_invest_phase_yrs,OR(pf_refi_toggle=0,AV$6&lt;pf_refi_year),'Capital &amp; Debt'!AU38&lt;pf_max_raise),1,0)</f>
        <v>0</v>
      </c>
      <c r="AW27" s="9">
        <f ca="1">IF(AND(AW$6&lt;=pf_invest_phase_yrs,OR(pf_refi_toggle=0,AW$6&lt;pf_refi_year),'Capital &amp; Debt'!AV38&lt;pf_max_raise),1,0)</f>
        <v>0</v>
      </c>
      <c r="AX27" s="9">
        <f ca="1">IF(AND(AX$6&lt;=pf_invest_phase_yrs,OR(pf_refi_toggle=0,AX$6&lt;pf_refi_year),'Capital &amp; Debt'!AW38&lt;pf_max_raise),1,0)</f>
        <v>0</v>
      </c>
      <c r="AY27" s="9">
        <f ca="1">IF(AND(AY$6&lt;=pf_invest_phase_yrs,OR(pf_refi_toggle=0,AY$6&lt;pf_refi_year),'Capital &amp; Debt'!AX38&lt;pf_max_raise),1,0)</f>
        <v>0</v>
      </c>
      <c r="AZ27" s="9">
        <f ca="1">IF(AND(AZ$6&lt;=pf_invest_phase_yrs,OR(pf_refi_toggle=0,AZ$6&lt;pf_refi_year),'Capital &amp; Debt'!AY38&lt;pf_max_raise),1,0)</f>
        <v>0</v>
      </c>
      <c r="BA27" s="9">
        <f ca="1">IF(AND(BA$6&lt;=pf_invest_phase_yrs,OR(pf_refi_toggle=0,BA$6&lt;pf_refi_year),'Capital &amp; Debt'!AZ38&lt;pf_max_raise),1,0)</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4D64C-10E4-4E25-8BF4-42F03E0C9EDC}">
  <dimension ref="A1:BA65"/>
  <sheetViews>
    <sheetView topLeftCell="A16" workbookViewId="0">
      <pane xSplit="3" topLeftCell="D1" activePane="topRight" state="frozen"/>
      <selection pane="topRight"/>
    </sheetView>
  </sheetViews>
  <sheetFormatPr defaultRowHeight="14.4" x14ac:dyDescent="0.3"/>
  <cols>
    <col min="1" max="1" width="53.6640625" customWidth="1"/>
    <col min="2" max="2" width="27.77734375" customWidth="1"/>
    <col min="3" max="3" width="14.77734375" customWidth="1"/>
    <col min="4" max="53" width="15.21875" customWidth="1"/>
  </cols>
  <sheetData>
    <row r="1" spans="1:53" ht="18" x14ac:dyDescent="0.35">
      <c r="A1" s="1" t="s">
        <v>187</v>
      </c>
    </row>
    <row r="2" spans="1:53" x14ac:dyDescent="0.3">
      <c r="A2" s="2" t="s">
        <v>188</v>
      </c>
    </row>
    <row r="4" spans="1:53" x14ac:dyDescent="0.3">
      <c r="A4" t="s">
        <v>189</v>
      </c>
      <c r="B4" t="s">
        <v>23</v>
      </c>
    </row>
    <row r="5" spans="1:53" x14ac:dyDescent="0.3">
      <c r="A5" s="2" t="s">
        <v>307</v>
      </c>
    </row>
    <row r="6" spans="1:53" x14ac:dyDescent="0.3">
      <c r="A6" t="s">
        <v>88</v>
      </c>
      <c r="D6" s="27">
        <v>1</v>
      </c>
      <c r="E6" s="27">
        <v>2</v>
      </c>
      <c r="F6" s="27">
        <v>3</v>
      </c>
      <c r="G6" s="27">
        <v>4</v>
      </c>
      <c r="H6" s="27">
        <v>5</v>
      </c>
      <c r="I6" s="27">
        <v>6</v>
      </c>
      <c r="J6" s="27">
        <v>7</v>
      </c>
      <c r="K6" s="27">
        <v>8</v>
      </c>
      <c r="L6" s="27">
        <v>9</v>
      </c>
      <c r="M6" s="27">
        <v>10</v>
      </c>
      <c r="N6" s="27">
        <v>11</v>
      </c>
      <c r="O6" s="27">
        <v>12</v>
      </c>
      <c r="P6" s="27">
        <v>13</v>
      </c>
      <c r="Q6" s="27">
        <v>14</v>
      </c>
      <c r="R6" s="27">
        <v>15</v>
      </c>
      <c r="S6" s="27">
        <v>16</v>
      </c>
      <c r="T6" s="27">
        <v>17</v>
      </c>
      <c r="U6" s="27">
        <v>18</v>
      </c>
      <c r="V6" s="27">
        <v>19</v>
      </c>
      <c r="W6" s="27">
        <v>20</v>
      </c>
      <c r="X6" s="27">
        <v>21</v>
      </c>
      <c r="Y6" s="27">
        <v>22</v>
      </c>
      <c r="Z6" s="27">
        <v>23</v>
      </c>
      <c r="AA6" s="27">
        <v>24</v>
      </c>
      <c r="AB6" s="27">
        <v>25</v>
      </c>
      <c r="AC6" s="27">
        <v>26</v>
      </c>
      <c r="AD6" s="27">
        <v>27</v>
      </c>
      <c r="AE6" s="27">
        <v>28</v>
      </c>
      <c r="AF6" s="27">
        <v>29</v>
      </c>
      <c r="AG6" s="27">
        <v>30</v>
      </c>
      <c r="AH6" s="27">
        <v>31</v>
      </c>
      <c r="AI6" s="27">
        <v>32</v>
      </c>
      <c r="AJ6" s="27">
        <v>33</v>
      </c>
      <c r="AK6" s="27">
        <v>34</v>
      </c>
      <c r="AL6" s="27">
        <v>35</v>
      </c>
      <c r="AM6" s="27">
        <v>36</v>
      </c>
      <c r="AN6" s="27">
        <v>37</v>
      </c>
      <c r="AO6" s="27">
        <v>38</v>
      </c>
      <c r="AP6" s="27">
        <v>39</v>
      </c>
      <c r="AQ6" s="27">
        <v>40</v>
      </c>
      <c r="AR6" s="27">
        <v>41</v>
      </c>
      <c r="AS6" s="27">
        <v>42</v>
      </c>
      <c r="AT6" s="27">
        <v>43</v>
      </c>
      <c r="AU6" s="27">
        <v>44</v>
      </c>
      <c r="AV6" s="27">
        <v>45</v>
      </c>
      <c r="AW6" s="27">
        <v>46</v>
      </c>
      <c r="AX6" s="27">
        <v>47</v>
      </c>
      <c r="AY6" s="27">
        <v>48</v>
      </c>
      <c r="AZ6" s="27">
        <v>49</v>
      </c>
      <c r="BA6" s="27">
        <v>50</v>
      </c>
    </row>
    <row r="7" spans="1:53" x14ac:dyDescent="0.3">
      <c r="A7" t="s">
        <v>89</v>
      </c>
      <c r="D7" s="27">
        <f>base_calendar_year+D$6-1</f>
        <v>2026</v>
      </c>
      <c r="E7" s="27">
        <f>base_calendar_year+E$6-1</f>
        <v>2027</v>
      </c>
      <c r="F7" s="27">
        <f>base_calendar_year+F$6-1</f>
        <v>2028</v>
      </c>
      <c r="G7" s="27">
        <f>base_calendar_year+G$6-1</f>
        <v>2029</v>
      </c>
      <c r="H7" s="27">
        <f>base_calendar_year+H$6-1</f>
        <v>2030</v>
      </c>
      <c r="I7" s="27">
        <f>base_calendar_year+I$6-1</f>
        <v>2031</v>
      </c>
      <c r="J7" s="27">
        <f>base_calendar_year+J$6-1</f>
        <v>2032</v>
      </c>
      <c r="K7" s="27">
        <f>base_calendar_year+K$6-1</f>
        <v>2033</v>
      </c>
      <c r="L7" s="27">
        <f>base_calendar_year+L$6-1</f>
        <v>2034</v>
      </c>
      <c r="M7" s="27">
        <f>base_calendar_year+M$6-1</f>
        <v>2035</v>
      </c>
      <c r="N7" s="27">
        <f>base_calendar_year+N$6-1</f>
        <v>2036</v>
      </c>
      <c r="O7" s="27">
        <f>base_calendar_year+O$6-1</f>
        <v>2037</v>
      </c>
      <c r="P7" s="27">
        <f>base_calendar_year+P$6-1</f>
        <v>2038</v>
      </c>
      <c r="Q7" s="27">
        <f>base_calendar_year+Q$6-1</f>
        <v>2039</v>
      </c>
      <c r="R7" s="27">
        <f>base_calendar_year+R$6-1</f>
        <v>2040</v>
      </c>
      <c r="S7" s="27">
        <f>base_calendar_year+S$6-1</f>
        <v>2041</v>
      </c>
      <c r="T7" s="27">
        <f>base_calendar_year+T$6-1</f>
        <v>2042</v>
      </c>
      <c r="U7" s="27">
        <f>base_calendar_year+U$6-1</f>
        <v>2043</v>
      </c>
      <c r="V7" s="27">
        <f>base_calendar_year+V$6-1</f>
        <v>2044</v>
      </c>
      <c r="W7" s="27">
        <f>base_calendar_year+W$6-1</f>
        <v>2045</v>
      </c>
      <c r="X7" s="27">
        <f>base_calendar_year+X$6-1</f>
        <v>2046</v>
      </c>
      <c r="Y7" s="27">
        <f>base_calendar_year+Y$6-1</f>
        <v>2047</v>
      </c>
      <c r="Z7" s="27">
        <f>base_calendar_year+Z$6-1</f>
        <v>2048</v>
      </c>
      <c r="AA7" s="27">
        <f>base_calendar_year+AA$6-1</f>
        <v>2049</v>
      </c>
      <c r="AB7" s="27">
        <f>base_calendar_year+AB$6-1</f>
        <v>2050</v>
      </c>
      <c r="AC7" s="27">
        <f>base_calendar_year+AC$6-1</f>
        <v>2051</v>
      </c>
      <c r="AD7" s="27">
        <f>base_calendar_year+AD$6-1</f>
        <v>2052</v>
      </c>
      <c r="AE7" s="27">
        <f>base_calendar_year+AE$6-1</f>
        <v>2053</v>
      </c>
      <c r="AF7" s="27">
        <f>base_calendar_year+AF$6-1</f>
        <v>2054</v>
      </c>
      <c r="AG7" s="27">
        <f>base_calendar_year+AG$6-1</f>
        <v>2055</v>
      </c>
      <c r="AH7" s="27">
        <f>base_calendar_year+AH$6-1</f>
        <v>2056</v>
      </c>
      <c r="AI7" s="27">
        <f>base_calendar_year+AI$6-1</f>
        <v>2057</v>
      </c>
      <c r="AJ7" s="27">
        <f>base_calendar_year+AJ$6-1</f>
        <v>2058</v>
      </c>
      <c r="AK7" s="27">
        <f>base_calendar_year+AK$6-1</f>
        <v>2059</v>
      </c>
      <c r="AL7" s="27">
        <f>base_calendar_year+AL$6-1</f>
        <v>2060</v>
      </c>
      <c r="AM7" s="27">
        <f>base_calendar_year+AM$6-1</f>
        <v>2061</v>
      </c>
      <c r="AN7" s="27">
        <f>base_calendar_year+AN$6-1</f>
        <v>2062</v>
      </c>
      <c r="AO7" s="27">
        <f>base_calendar_year+AO$6-1</f>
        <v>2063</v>
      </c>
      <c r="AP7" s="27">
        <f>base_calendar_year+AP$6-1</f>
        <v>2064</v>
      </c>
      <c r="AQ7" s="27">
        <f>base_calendar_year+AQ$6-1</f>
        <v>2065</v>
      </c>
      <c r="AR7" s="27">
        <f>base_calendar_year+AR$6-1</f>
        <v>2066</v>
      </c>
      <c r="AS7" s="27">
        <f>base_calendar_year+AS$6-1</f>
        <v>2067</v>
      </c>
      <c r="AT7" s="27">
        <f>base_calendar_year+AT$6-1</f>
        <v>2068</v>
      </c>
      <c r="AU7" s="27">
        <f>base_calendar_year+AU$6-1</f>
        <v>2069</v>
      </c>
      <c r="AV7" s="27">
        <f>base_calendar_year+AV$6-1</f>
        <v>2070</v>
      </c>
      <c r="AW7" s="27">
        <f>base_calendar_year+AW$6-1</f>
        <v>2071</v>
      </c>
      <c r="AX7" s="27">
        <f>base_calendar_year+AX$6-1</f>
        <v>2072</v>
      </c>
      <c r="AY7" s="27">
        <f>base_calendar_year+AY$6-1</f>
        <v>2073</v>
      </c>
      <c r="AZ7" s="27">
        <f>base_calendar_year+AZ$6-1</f>
        <v>2074</v>
      </c>
      <c r="BA7" s="27">
        <f>base_calendar_year+BA$6-1</f>
        <v>2075</v>
      </c>
    </row>
    <row r="9" spans="1:53" x14ac:dyDescent="0.3">
      <c r="A9" s="37" t="s">
        <v>38</v>
      </c>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row>
    <row r="10" spans="1:53" x14ac:dyDescent="0.3">
      <c r="A10" t="s">
        <v>361</v>
      </c>
      <c r="B10" t="s">
        <v>48</v>
      </c>
      <c r="D10" s="62">
        <f>gift_baseline*(1+beq_growth_mult)^(D$6-1)*'Macro &amp; Indexation'!D$20</f>
        <v>40000</v>
      </c>
      <c r="E10" s="62">
        <f>gift_baseline*(1+beq_growth_mult)^(E$6-1)*'Macro &amp; Indexation'!E$20</f>
        <v>41000</v>
      </c>
      <c r="F10" s="62">
        <f>gift_baseline*(1+beq_growth_mult)^(F$6-1)*'Macro &amp; Indexation'!F$20</f>
        <v>42025</v>
      </c>
      <c r="G10" s="62">
        <f>gift_baseline*(1+beq_growth_mult)^(G$6-1)*'Macro &amp; Indexation'!G$20</f>
        <v>43075.624999999993</v>
      </c>
      <c r="H10" s="62">
        <f>gift_baseline*(1+beq_growth_mult)^(H$6-1)*'Macro &amp; Indexation'!H$20</f>
        <v>44152.515624999993</v>
      </c>
      <c r="I10" s="62">
        <f>gift_baseline*(1+beq_growth_mult)^(I$6-1)*'Macro &amp; Indexation'!I$20</f>
        <v>45256.328515624984</v>
      </c>
      <c r="J10" s="62">
        <f>gift_baseline*(1+beq_growth_mult)^(J$6-1)*'Macro &amp; Indexation'!J$20</f>
        <v>46387.736728515607</v>
      </c>
      <c r="K10" s="62">
        <f>gift_baseline*(1+beq_growth_mult)^(K$6-1)*'Macro &amp; Indexation'!K$20</f>
        <v>47547.430146728489</v>
      </c>
      <c r="L10" s="62">
        <f>gift_baseline*(1+beq_growth_mult)^(L$6-1)*'Macro &amp; Indexation'!L$20</f>
        <v>48736.115900396697</v>
      </c>
      <c r="M10" s="62">
        <f>gift_baseline*(1+beq_growth_mult)^(M$6-1)*'Macro &amp; Indexation'!M$20</f>
        <v>49954.51879790661</v>
      </c>
      <c r="N10" s="62">
        <f>gift_baseline*(1+beq_growth_mult)^(N$6-1)*'Macro &amp; Indexation'!N$20</f>
        <v>51203.381767854269</v>
      </c>
      <c r="O10" s="62">
        <f>gift_baseline*(1+beq_growth_mult)^(O$6-1)*'Macro &amp; Indexation'!O$20</f>
        <v>52483.466312050623</v>
      </c>
      <c r="P10" s="62">
        <f>gift_baseline*(1+beq_growth_mult)^(P$6-1)*'Macro &amp; Indexation'!P$20</f>
        <v>53795.55296985188</v>
      </c>
      <c r="Q10" s="62">
        <f>gift_baseline*(1+beq_growth_mult)^(Q$6-1)*'Macro &amp; Indexation'!Q$20</f>
        <v>55140.44179409818</v>
      </c>
      <c r="R10" s="62">
        <f>gift_baseline*(1+beq_growth_mult)^(R$6-1)*'Macro &amp; Indexation'!R$20</f>
        <v>56518.95283895063</v>
      </c>
      <c r="S10" s="62">
        <f>gift_baseline*(1+beq_growth_mult)^(S$6-1)*'Macro &amp; Indexation'!S$20</f>
        <v>57931.926659924386</v>
      </c>
      <c r="T10" s="62">
        <f>gift_baseline*(1+beq_growth_mult)^(T$6-1)*'Macro &amp; Indexation'!T$20</f>
        <v>59380.224826422491</v>
      </c>
      <c r="U10" s="62">
        <f>gift_baseline*(1+beq_growth_mult)^(U$6-1)*'Macro &amp; Indexation'!U$20</f>
        <v>60864.730447083042</v>
      </c>
      <c r="V10" s="62">
        <f>gift_baseline*(1+beq_growth_mult)^(V$6-1)*'Macro &amp; Indexation'!V$20</f>
        <v>62386.348708260113</v>
      </c>
      <c r="W10" s="62">
        <f>gift_baseline*(1+beq_growth_mult)^(W$6-1)*'Macro &amp; Indexation'!W$20</f>
        <v>63946.007425966614</v>
      </c>
      <c r="X10" s="62">
        <f>gift_baseline*(1+beq_growth_mult)^(X$6-1)*'Macro &amp; Indexation'!X$20</f>
        <v>65544.657611615767</v>
      </c>
      <c r="Y10" s="62">
        <f>gift_baseline*(1+beq_growth_mult)^(Y$6-1)*'Macro &amp; Indexation'!Y$20</f>
        <v>67183.274051906163</v>
      </c>
      <c r="Z10" s="62">
        <f>gift_baseline*(1+beq_growth_mult)^(Z$6-1)*'Macro &amp; Indexation'!Z$20</f>
        <v>68862.855903203803</v>
      </c>
      <c r="AA10" s="62">
        <f>gift_baseline*(1+beq_growth_mult)^(AA$6-1)*'Macro &amp; Indexation'!AA$20</f>
        <v>70584.427300783893</v>
      </c>
      <c r="AB10" s="62">
        <f>gift_baseline*(1+beq_growth_mult)^(AB$6-1)*'Macro &amp; Indexation'!AB$20</f>
        <v>72349.037983303482</v>
      </c>
      <c r="AC10" s="62">
        <f>gift_baseline*(1+beq_growth_mult)^(AC$6-1)*'Macro &amp; Indexation'!AC$20</f>
        <v>74157.763932886068</v>
      </c>
      <c r="AD10" s="62">
        <f>gift_baseline*(1+beq_growth_mult)^(AD$6-1)*'Macro &amp; Indexation'!AD$20</f>
        <v>76011.708031208211</v>
      </c>
      <c r="AE10" s="62">
        <f>gift_baseline*(1+beq_growth_mult)^(AE$6-1)*'Macro &amp; Indexation'!AE$20</f>
        <v>77912.000731988403</v>
      </c>
      <c r="AF10" s="62">
        <f>gift_baseline*(1+beq_growth_mult)^(AF$6-1)*'Macro &amp; Indexation'!AF$20</f>
        <v>79859.800750288108</v>
      </c>
      <c r="AG10" s="62">
        <f>gift_baseline*(1+beq_growth_mult)^(AG$6-1)*'Macro &amp; Indexation'!AG$20</f>
        <v>81856.295769045304</v>
      </c>
      <c r="AH10" s="62">
        <f>gift_baseline*(1+beq_growth_mult)^(AH$6-1)*'Macro &amp; Indexation'!AH$20</f>
        <v>83902.703163271435</v>
      </c>
      <c r="AI10" s="62">
        <f>gift_baseline*(1+beq_growth_mult)^(AI$6-1)*'Macro &amp; Indexation'!AI$20</f>
        <v>86000.270742353212</v>
      </c>
      <c r="AJ10" s="62">
        <f>gift_baseline*(1+beq_growth_mult)^(AJ$6-1)*'Macro &amp; Indexation'!AJ$20</f>
        <v>88150.277510912027</v>
      </c>
      <c r="AK10" s="62">
        <f>gift_baseline*(1+beq_growth_mult)^(AK$6-1)*'Macro &amp; Indexation'!AK$20</f>
        <v>90354.034448684819</v>
      </c>
      <c r="AL10" s="62">
        <f>gift_baseline*(1+beq_growth_mult)^(AL$6-1)*'Macro &amp; Indexation'!AL$20</f>
        <v>92612.885309901932</v>
      </c>
      <c r="AM10" s="62">
        <f>gift_baseline*(1+beq_growth_mult)^(AM$6-1)*'Macro &amp; Indexation'!AM$20</f>
        <v>94928.207442649466</v>
      </c>
      <c r="AN10" s="62">
        <f>gift_baseline*(1+beq_growth_mult)^(AN$6-1)*'Macro &amp; Indexation'!AN$20</f>
        <v>97301.412628715698</v>
      </c>
      <c r="AO10" s="62">
        <f>gift_baseline*(1+beq_growth_mult)^(AO$6-1)*'Macro &amp; Indexation'!AO$20</f>
        <v>99733.947944433574</v>
      </c>
      <c r="AP10" s="62">
        <f>gift_baseline*(1+beq_growth_mult)^(AP$6-1)*'Macro &amp; Indexation'!AP$20</f>
        <v>102227.29664304442</v>
      </c>
      <c r="AQ10" s="62">
        <f>gift_baseline*(1+beq_growth_mult)^(AQ$6-1)*'Macro &amp; Indexation'!AQ$20</f>
        <v>104782.97905912052</v>
      </c>
      <c r="AR10" s="62">
        <f>gift_baseline*(1+beq_growth_mult)^(AR$6-1)*'Macro &amp; Indexation'!AR$20</f>
        <v>107402.55353559853</v>
      </c>
      <c r="AS10" s="62">
        <f>gift_baseline*(1+beq_growth_mult)^(AS$6-1)*'Macro &amp; Indexation'!AS$20</f>
        <v>110087.61737398847</v>
      </c>
      <c r="AT10" s="62">
        <f>gift_baseline*(1+beq_growth_mult)^(AT$6-1)*'Macro &amp; Indexation'!AT$20</f>
        <v>112839.80780833818</v>
      </c>
      <c r="AU10" s="62">
        <f>gift_baseline*(1+beq_growth_mult)^(AU$6-1)*'Macro &amp; Indexation'!AU$20</f>
        <v>115660.80300354664</v>
      </c>
      <c r="AV10" s="62">
        <f>gift_baseline*(1+beq_growth_mult)^(AV$6-1)*'Macro &amp; Indexation'!AV$20</f>
        <v>118552.32307863529</v>
      </c>
      <c r="AW10" s="62">
        <f>gift_baseline*(1+beq_growth_mult)^(AW$6-1)*'Macro &amp; Indexation'!AW$20</f>
        <v>121516.13115560118</v>
      </c>
      <c r="AX10" s="62">
        <f>gift_baseline*(1+beq_growth_mult)^(AX$6-1)*'Macro &amp; Indexation'!AX$20</f>
        <v>124554.0344344912</v>
      </c>
      <c r="AY10" s="62">
        <f>gift_baseline*(1+beq_growth_mult)^(AY$6-1)*'Macro &amp; Indexation'!AY$20</f>
        <v>127667.88529535347</v>
      </c>
      <c r="AZ10" s="62">
        <f>gift_baseline*(1+beq_growth_mult)^(AZ$6-1)*'Macro &amp; Indexation'!AZ$20</f>
        <v>130859.5824277373</v>
      </c>
      <c r="BA10" s="62">
        <f>gift_baseline*(1+beq_growth_mult)^(BA$6-1)*'Macro &amp; Indexation'!BA$20</f>
        <v>134131.07198843072</v>
      </c>
    </row>
    <row r="11" spans="1:53" x14ac:dyDescent="0.3">
      <c r="A11" t="s">
        <v>362</v>
      </c>
      <c r="B11" t="s">
        <v>48</v>
      </c>
      <c r="D11" s="62">
        <f>beq_baseline*(1+beq_growth_mult)^(D$6-1)*'Macro &amp; Indexation'!D$20</f>
        <v>60000</v>
      </c>
      <c r="E11" s="62">
        <f>beq_baseline*(1+beq_growth_mult)^(E$6-1)*'Macro &amp; Indexation'!E$20</f>
        <v>61499.999999999993</v>
      </c>
      <c r="F11" s="62">
        <f>beq_baseline*(1+beq_growth_mult)^(F$6-1)*'Macro &amp; Indexation'!F$20</f>
        <v>63037.499999999993</v>
      </c>
      <c r="G11" s="62">
        <f>beq_baseline*(1+beq_growth_mult)^(G$6-1)*'Macro &amp; Indexation'!G$20</f>
        <v>64613.437499999993</v>
      </c>
      <c r="H11" s="62">
        <f>beq_baseline*(1+beq_growth_mult)^(H$6-1)*'Macro &amp; Indexation'!H$20</f>
        <v>66228.773437499985</v>
      </c>
      <c r="I11" s="62">
        <f>beq_baseline*(1+beq_growth_mult)^(I$6-1)*'Macro &amp; Indexation'!I$20</f>
        <v>67884.49277343748</v>
      </c>
      <c r="J11" s="62">
        <f>beq_baseline*(1+beq_growth_mult)^(J$6-1)*'Macro &amp; Indexation'!J$20</f>
        <v>69581.605092773418</v>
      </c>
      <c r="K11" s="62">
        <f>beq_baseline*(1+beq_growth_mult)^(K$6-1)*'Macro &amp; Indexation'!K$20</f>
        <v>71321.145220092731</v>
      </c>
      <c r="L11" s="62">
        <f>beq_baseline*(1+beq_growth_mult)^(L$6-1)*'Macro &amp; Indexation'!L$20</f>
        <v>73104.173850595049</v>
      </c>
      <c r="M11" s="62">
        <f>beq_baseline*(1+beq_growth_mult)^(M$6-1)*'Macro &amp; Indexation'!M$20</f>
        <v>74931.778196859916</v>
      </c>
      <c r="N11" s="62">
        <f>beq_baseline*(1+beq_growth_mult)^(N$6-1)*'Macro &amp; Indexation'!N$20</f>
        <v>76805.072651781404</v>
      </c>
      <c r="O11" s="62">
        <f>beq_baseline*(1+beq_growth_mult)^(O$6-1)*'Macro &amp; Indexation'!O$20</f>
        <v>78725.199468075938</v>
      </c>
      <c r="P11" s="62">
        <f>beq_baseline*(1+beq_growth_mult)^(P$6-1)*'Macro &amp; Indexation'!P$20</f>
        <v>80693.329454777821</v>
      </c>
      <c r="Q11" s="62">
        <f>beq_baseline*(1+beq_growth_mult)^(Q$6-1)*'Macro &amp; Indexation'!Q$20</f>
        <v>82710.66269114727</v>
      </c>
      <c r="R11" s="62">
        <f>beq_baseline*(1+beq_growth_mult)^(R$6-1)*'Macro &amp; Indexation'!R$20</f>
        <v>84778.429258425938</v>
      </c>
      <c r="S11" s="62">
        <f>beq_baseline*(1+beq_growth_mult)^(S$6-1)*'Macro &amp; Indexation'!S$20</f>
        <v>86897.889989886578</v>
      </c>
      <c r="T11" s="62">
        <f>beq_baseline*(1+beq_growth_mult)^(T$6-1)*'Macro &amp; Indexation'!T$20</f>
        <v>89070.337239633736</v>
      </c>
      <c r="U11" s="62">
        <f>beq_baseline*(1+beq_growth_mult)^(U$6-1)*'Macro &amp; Indexation'!U$20</f>
        <v>91297.095670624563</v>
      </c>
      <c r="V11" s="62">
        <f>beq_baseline*(1+beq_growth_mult)^(V$6-1)*'Macro &amp; Indexation'!V$20</f>
        <v>93579.523062390173</v>
      </c>
      <c r="W11" s="62">
        <f>beq_baseline*(1+beq_growth_mult)^(W$6-1)*'Macro &amp; Indexation'!W$20</f>
        <v>95919.011138949922</v>
      </c>
      <c r="X11" s="62">
        <f>beq_baseline*(1+beq_growth_mult)^(X$6-1)*'Macro &amp; Indexation'!X$20</f>
        <v>98316.986417423657</v>
      </c>
      <c r="Y11" s="62">
        <f>beq_baseline*(1+beq_growth_mult)^(Y$6-1)*'Macro &amp; Indexation'!Y$20</f>
        <v>100774.91107785923</v>
      </c>
      <c r="Z11" s="62">
        <f>beq_baseline*(1+beq_growth_mult)^(Z$6-1)*'Macro &amp; Indexation'!Z$20</f>
        <v>103294.2838548057</v>
      </c>
      <c r="AA11" s="62">
        <f>beq_baseline*(1+beq_growth_mult)^(AA$6-1)*'Macro &amp; Indexation'!AA$20</f>
        <v>105876.64095117584</v>
      </c>
      <c r="AB11" s="62">
        <f>beq_baseline*(1+beq_growth_mult)^(AB$6-1)*'Macro &amp; Indexation'!AB$20</f>
        <v>108523.55697495522</v>
      </c>
      <c r="AC11" s="62">
        <f>beq_baseline*(1+beq_growth_mult)^(AC$6-1)*'Macro &amp; Indexation'!AC$20</f>
        <v>111236.64589932909</v>
      </c>
      <c r="AD11" s="62">
        <f>beq_baseline*(1+beq_growth_mult)^(AD$6-1)*'Macro &amp; Indexation'!AD$20</f>
        <v>114017.56204681232</v>
      </c>
      <c r="AE11" s="62">
        <f>beq_baseline*(1+beq_growth_mult)^(AE$6-1)*'Macro &amp; Indexation'!AE$20</f>
        <v>116868.0010979826</v>
      </c>
      <c r="AF11" s="62">
        <f>beq_baseline*(1+beq_growth_mult)^(AF$6-1)*'Macro &amp; Indexation'!AF$20</f>
        <v>119789.70112543217</v>
      </c>
      <c r="AG11" s="62">
        <f>beq_baseline*(1+beq_growth_mult)^(AG$6-1)*'Macro &amp; Indexation'!AG$20</f>
        <v>122784.44365356796</v>
      </c>
      <c r="AH11" s="62">
        <f>beq_baseline*(1+beq_growth_mult)^(AH$6-1)*'Macro &amp; Indexation'!AH$20</f>
        <v>125854.05474490715</v>
      </c>
      <c r="AI11" s="62">
        <f>beq_baseline*(1+beq_growth_mult)^(AI$6-1)*'Macro &amp; Indexation'!AI$20</f>
        <v>129000.40611352981</v>
      </c>
      <c r="AJ11" s="62">
        <f>beq_baseline*(1+beq_growth_mult)^(AJ$6-1)*'Macro &amp; Indexation'!AJ$20</f>
        <v>132225.41626636803</v>
      </c>
      <c r="AK11" s="62">
        <f>beq_baseline*(1+beq_growth_mult)^(AK$6-1)*'Macro &amp; Indexation'!AK$20</f>
        <v>135531.05167302722</v>
      </c>
      <c r="AL11" s="62">
        <f>beq_baseline*(1+beq_growth_mult)^(AL$6-1)*'Macro &amp; Indexation'!AL$20</f>
        <v>138919.32796485288</v>
      </c>
      <c r="AM11" s="62">
        <f>beq_baseline*(1+beq_growth_mult)^(AM$6-1)*'Macro &amp; Indexation'!AM$20</f>
        <v>142392.3111639742</v>
      </c>
      <c r="AN11" s="62">
        <f>beq_baseline*(1+beq_growth_mult)^(AN$6-1)*'Macro &amp; Indexation'!AN$20</f>
        <v>145952.11894307355</v>
      </c>
      <c r="AO11" s="62">
        <f>beq_baseline*(1+beq_growth_mult)^(AO$6-1)*'Macro &amp; Indexation'!AO$20</f>
        <v>149600.92191665038</v>
      </c>
      <c r="AP11" s="62">
        <f>beq_baseline*(1+beq_growth_mult)^(AP$6-1)*'Macro &amp; Indexation'!AP$20</f>
        <v>153340.94496456662</v>
      </c>
      <c r="AQ11" s="62">
        <f>beq_baseline*(1+beq_growth_mult)^(AQ$6-1)*'Macro &amp; Indexation'!AQ$20</f>
        <v>157174.46858868079</v>
      </c>
      <c r="AR11" s="62">
        <f>beq_baseline*(1+beq_growth_mult)^(AR$6-1)*'Macro &amp; Indexation'!AR$20</f>
        <v>161103.83030339779</v>
      </c>
      <c r="AS11" s="62">
        <f>beq_baseline*(1+beq_growth_mult)^(AS$6-1)*'Macro &amp; Indexation'!AS$20</f>
        <v>165131.42606098272</v>
      </c>
      <c r="AT11" s="62">
        <f>beq_baseline*(1+beq_growth_mult)^(AT$6-1)*'Macro &amp; Indexation'!AT$20</f>
        <v>169259.71171250727</v>
      </c>
      <c r="AU11" s="62">
        <f>beq_baseline*(1+beq_growth_mult)^(AU$6-1)*'Macro &amp; Indexation'!AU$20</f>
        <v>173491.20450531994</v>
      </c>
      <c r="AV11" s="62">
        <f>beq_baseline*(1+beq_growth_mult)^(AV$6-1)*'Macro &amp; Indexation'!AV$20</f>
        <v>177828.48461795293</v>
      </c>
      <c r="AW11" s="62">
        <f>beq_baseline*(1+beq_growth_mult)^(AW$6-1)*'Macro &amp; Indexation'!AW$20</f>
        <v>182274.19673340177</v>
      </c>
      <c r="AX11" s="62">
        <f>beq_baseline*(1+beq_growth_mult)^(AX$6-1)*'Macro &amp; Indexation'!AX$20</f>
        <v>186831.05165173681</v>
      </c>
      <c r="AY11" s="62">
        <f>beq_baseline*(1+beq_growth_mult)^(AY$6-1)*'Macro &amp; Indexation'!AY$20</f>
        <v>191501.82794303022</v>
      </c>
      <c r="AZ11" s="62">
        <f>beq_baseline*(1+beq_growth_mult)^(AZ$6-1)*'Macro &amp; Indexation'!AZ$20</f>
        <v>196289.37364160595</v>
      </c>
      <c r="BA11" s="62">
        <f>beq_baseline*(1+beq_growth_mult)^(BA$6-1)*'Macro &amp; Indexation'!BA$20</f>
        <v>201196.60798264609</v>
      </c>
    </row>
    <row r="12" spans="1:53" x14ac:dyDescent="0.3">
      <c r="A12" t="s">
        <v>363</v>
      </c>
      <c r="B12" t="s">
        <v>48</v>
      </c>
      <c r="D12" s="62">
        <f>IF(D$6=1,founding_capital,0)</f>
        <v>150000</v>
      </c>
      <c r="E12" s="62">
        <f>IF(E$6=1,founding_capital,0)</f>
        <v>0</v>
      </c>
      <c r="F12" s="62">
        <f>IF(F$6=1,founding_capital,0)</f>
        <v>0</v>
      </c>
      <c r="G12" s="62">
        <f>IF(G$6=1,founding_capital,0)</f>
        <v>0</v>
      </c>
      <c r="H12" s="62">
        <f>IF(H$6=1,founding_capital,0)</f>
        <v>0</v>
      </c>
      <c r="I12" s="62">
        <f>IF(I$6=1,founding_capital,0)</f>
        <v>0</v>
      </c>
      <c r="J12" s="62">
        <f>IF(J$6=1,founding_capital,0)</f>
        <v>0</v>
      </c>
      <c r="K12" s="62">
        <f>IF(K$6=1,founding_capital,0)</f>
        <v>0</v>
      </c>
      <c r="L12" s="62">
        <f>IF(L$6=1,founding_capital,0)</f>
        <v>0</v>
      </c>
      <c r="M12" s="62">
        <f>IF(M$6=1,founding_capital,0)</f>
        <v>0</v>
      </c>
      <c r="N12" s="62">
        <f>IF(N$6=1,founding_capital,0)</f>
        <v>0</v>
      </c>
      <c r="O12" s="62">
        <f>IF(O$6=1,founding_capital,0)</f>
        <v>0</v>
      </c>
      <c r="P12" s="62">
        <f>IF(P$6=1,founding_capital,0)</f>
        <v>0</v>
      </c>
      <c r="Q12" s="62">
        <f>IF(Q$6=1,founding_capital,0)</f>
        <v>0</v>
      </c>
      <c r="R12" s="62">
        <f>IF(R$6=1,founding_capital,0)</f>
        <v>0</v>
      </c>
      <c r="S12" s="62">
        <f>IF(S$6=1,founding_capital,0)</f>
        <v>0</v>
      </c>
      <c r="T12" s="62">
        <f>IF(T$6=1,founding_capital,0)</f>
        <v>0</v>
      </c>
      <c r="U12" s="62">
        <f>IF(U$6=1,founding_capital,0)</f>
        <v>0</v>
      </c>
      <c r="V12" s="62">
        <f>IF(V$6=1,founding_capital,0)</f>
        <v>0</v>
      </c>
      <c r="W12" s="62">
        <f>IF(W$6=1,founding_capital,0)</f>
        <v>0</v>
      </c>
      <c r="X12" s="62">
        <f>IF(X$6=1,founding_capital,0)</f>
        <v>0</v>
      </c>
      <c r="Y12" s="62">
        <f>IF(Y$6=1,founding_capital,0)</f>
        <v>0</v>
      </c>
      <c r="Z12" s="62">
        <f>IF(Z$6=1,founding_capital,0)</f>
        <v>0</v>
      </c>
      <c r="AA12" s="62">
        <f>IF(AA$6=1,founding_capital,0)</f>
        <v>0</v>
      </c>
      <c r="AB12" s="62">
        <f>IF(AB$6=1,founding_capital,0)</f>
        <v>0</v>
      </c>
      <c r="AC12" s="62">
        <f>IF(AC$6=1,founding_capital,0)</f>
        <v>0</v>
      </c>
      <c r="AD12" s="62">
        <f>IF(AD$6=1,founding_capital,0)</f>
        <v>0</v>
      </c>
      <c r="AE12" s="62">
        <f>IF(AE$6=1,founding_capital,0)</f>
        <v>0</v>
      </c>
      <c r="AF12" s="62">
        <f>IF(AF$6=1,founding_capital,0)</f>
        <v>0</v>
      </c>
      <c r="AG12" s="62">
        <f>IF(AG$6=1,founding_capital,0)</f>
        <v>0</v>
      </c>
      <c r="AH12" s="62">
        <f>IF(AH$6=1,founding_capital,0)</f>
        <v>0</v>
      </c>
      <c r="AI12" s="62">
        <f>IF(AI$6=1,founding_capital,0)</f>
        <v>0</v>
      </c>
      <c r="AJ12" s="62">
        <f>IF(AJ$6=1,founding_capital,0)</f>
        <v>0</v>
      </c>
      <c r="AK12" s="62">
        <f>IF(AK$6=1,founding_capital,0)</f>
        <v>0</v>
      </c>
      <c r="AL12" s="62">
        <f>IF(AL$6=1,founding_capital,0)</f>
        <v>0</v>
      </c>
      <c r="AM12" s="62">
        <f>IF(AM$6=1,founding_capital,0)</f>
        <v>0</v>
      </c>
      <c r="AN12" s="62">
        <f>IF(AN$6=1,founding_capital,0)</f>
        <v>0</v>
      </c>
      <c r="AO12" s="62">
        <f>IF(AO$6=1,founding_capital,0)</f>
        <v>0</v>
      </c>
      <c r="AP12" s="62">
        <f>IF(AP$6=1,founding_capital,0)</f>
        <v>0</v>
      </c>
      <c r="AQ12" s="62">
        <f>IF(AQ$6=1,founding_capital,0)</f>
        <v>0</v>
      </c>
      <c r="AR12" s="62">
        <f>IF(AR$6=1,founding_capital,0)</f>
        <v>0</v>
      </c>
      <c r="AS12" s="62">
        <f>IF(AS$6=1,founding_capital,0)</f>
        <v>0</v>
      </c>
      <c r="AT12" s="62">
        <f>IF(AT$6=1,founding_capital,0)</f>
        <v>0</v>
      </c>
      <c r="AU12" s="62">
        <f>IF(AU$6=1,founding_capital,0)</f>
        <v>0</v>
      </c>
      <c r="AV12" s="62">
        <f>IF(AV$6=1,founding_capital,0)</f>
        <v>0</v>
      </c>
      <c r="AW12" s="62">
        <f>IF(AW$6=1,founding_capital,0)</f>
        <v>0</v>
      </c>
      <c r="AX12" s="62">
        <f>IF(AX$6=1,founding_capital,0)</f>
        <v>0</v>
      </c>
      <c r="AY12" s="62">
        <f>IF(AY$6=1,founding_capital,0)</f>
        <v>0</v>
      </c>
      <c r="AZ12" s="62">
        <f>IF(AZ$6=1,founding_capital,0)</f>
        <v>0</v>
      </c>
      <c r="BA12" s="62">
        <f>IF(BA$6=1,founding_capital,0)</f>
        <v>0</v>
      </c>
    </row>
    <row r="13" spans="1:53" x14ac:dyDescent="0.3">
      <c r="A13" t="s">
        <v>190</v>
      </c>
      <c r="B13" t="s">
        <v>48</v>
      </c>
      <c r="D13" s="62">
        <f>IF(gift_aid_toggle=1,D10*gift_aid_rate,0)</f>
        <v>10000</v>
      </c>
      <c r="E13" s="62">
        <f>IF(gift_aid_toggle=1,E10*gift_aid_rate,0)</f>
        <v>10250</v>
      </c>
      <c r="F13" s="62">
        <f>IF(gift_aid_toggle=1,F10*gift_aid_rate,0)</f>
        <v>10506.25</v>
      </c>
      <c r="G13" s="62">
        <f>IF(gift_aid_toggle=1,G10*gift_aid_rate,0)</f>
        <v>10768.906249999998</v>
      </c>
      <c r="H13" s="62">
        <f>IF(gift_aid_toggle=1,H10*gift_aid_rate,0)</f>
        <v>11038.128906249998</v>
      </c>
      <c r="I13" s="62">
        <f>IF(gift_aid_toggle=1,I10*gift_aid_rate,0)</f>
        <v>11314.082128906246</v>
      </c>
      <c r="J13" s="62">
        <f>IF(gift_aid_toggle=1,J10*gift_aid_rate,0)</f>
        <v>11596.934182128902</v>
      </c>
      <c r="K13" s="62">
        <f>IF(gift_aid_toggle=1,K10*gift_aid_rate,0)</f>
        <v>11886.857536682122</v>
      </c>
      <c r="L13" s="62">
        <f>IF(gift_aid_toggle=1,L10*gift_aid_rate,0)</f>
        <v>12184.028975099174</v>
      </c>
      <c r="M13" s="62">
        <f>IF(gift_aid_toggle=1,M10*gift_aid_rate,0)</f>
        <v>12488.629699476653</v>
      </c>
      <c r="N13" s="62">
        <f>IF(gift_aid_toggle=1,N10*gift_aid_rate,0)</f>
        <v>12800.845441963567</v>
      </c>
      <c r="O13" s="62">
        <f>IF(gift_aid_toggle=1,O10*gift_aid_rate,0)</f>
        <v>13120.866578012656</v>
      </c>
      <c r="P13" s="62">
        <f>IF(gift_aid_toggle=1,P10*gift_aid_rate,0)</f>
        <v>13448.88824246297</v>
      </c>
      <c r="Q13" s="62">
        <f>IF(gift_aid_toggle=1,Q10*gift_aid_rate,0)</f>
        <v>13785.110448524545</v>
      </c>
      <c r="R13" s="62">
        <f>IF(gift_aid_toggle=1,R10*gift_aid_rate,0)</f>
        <v>14129.738209737658</v>
      </c>
      <c r="S13" s="62">
        <f>IF(gift_aid_toggle=1,S10*gift_aid_rate,0)</f>
        <v>14482.981664981096</v>
      </c>
      <c r="T13" s="62">
        <f>IF(gift_aid_toggle=1,T10*gift_aid_rate,0)</f>
        <v>14845.056206605623</v>
      </c>
      <c r="U13" s="62">
        <f>IF(gift_aid_toggle=1,U10*gift_aid_rate,0)</f>
        <v>15216.182611770761</v>
      </c>
      <c r="V13" s="62">
        <f>IF(gift_aid_toggle=1,V10*gift_aid_rate,0)</f>
        <v>15596.587177065028</v>
      </c>
      <c r="W13" s="62">
        <f>IF(gift_aid_toggle=1,W10*gift_aid_rate,0)</f>
        <v>15986.501856491654</v>
      </c>
      <c r="X13" s="62">
        <f>IF(gift_aid_toggle=1,X10*gift_aid_rate,0)</f>
        <v>16386.164402903942</v>
      </c>
      <c r="Y13" s="62">
        <f>IF(gift_aid_toggle=1,Y10*gift_aid_rate,0)</f>
        <v>16795.818512976541</v>
      </c>
      <c r="Z13" s="62">
        <f>IF(gift_aid_toggle=1,Z10*gift_aid_rate,0)</f>
        <v>17215.713975800951</v>
      </c>
      <c r="AA13" s="62">
        <f>IF(gift_aid_toggle=1,AA10*gift_aid_rate,0)</f>
        <v>17646.106825195973</v>
      </c>
      <c r="AB13" s="62">
        <f>IF(gift_aid_toggle=1,AB10*gift_aid_rate,0)</f>
        <v>18087.259495825871</v>
      </c>
      <c r="AC13" s="62">
        <f>IF(gift_aid_toggle=1,AC10*gift_aid_rate,0)</f>
        <v>18539.440983221517</v>
      </c>
      <c r="AD13" s="62">
        <f>IF(gift_aid_toggle=1,AD10*gift_aid_rate,0)</f>
        <v>19002.927007802053</v>
      </c>
      <c r="AE13" s="62">
        <f>IF(gift_aid_toggle=1,AE10*gift_aid_rate,0)</f>
        <v>19478.000182997101</v>
      </c>
      <c r="AF13" s="62">
        <f>IF(gift_aid_toggle=1,AF10*gift_aid_rate,0)</f>
        <v>19964.950187572027</v>
      </c>
      <c r="AG13" s="62">
        <f>IF(gift_aid_toggle=1,AG10*gift_aid_rate,0)</f>
        <v>20464.073942261326</v>
      </c>
      <c r="AH13" s="62">
        <f>IF(gift_aid_toggle=1,AH10*gift_aid_rate,0)</f>
        <v>20975.675790817859</v>
      </c>
      <c r="AI13" s="62">
        <f>IF(gift_aid_toggle=1,AI10*gift_aid_rate,0)</f>
        <v>21500.067685588303</v>
      </c>
      <c r="AJ13" s="62">
        <f>IF(gift_aid_toggle=1,AJ10*gift_aid_rate,0)</f>
        <v>22037.569377728007</v>
      </c>
      <c r="AK13" s="62">
        <f>IF(gift_aid_toggle=1,AK10*gift_aid_rate,0)</f>
        <v>22588.508612171205</v>
      </c>
      <c r="AL13" s="62">
        <f>IF(gift_aid_toggle=1,AL10*gift_aid_rate,0)</f>
        <v>23153.221327475483</v>
      </c>
      <c r="AM13" s="62">
        <f>IF(gift_aid_toggle=1,AM10*gift_aid_rate,0)</f>
        <v>23732.051860662366</v>
      </c>
      <c r="AN13" s="62">
        <f>IF(gift_aid_toggle=1,AN10*gift_aid_rate,0)</f>
        <v>24325.353157178924</v>
      </c>
      <c r="AO13" s="62">
        <f>IF(gift_aid_toggle=1,AO10*gift_aid_rate,0)</f>
        <v>24933.486986108393</v>
      </c>
      <c r="AP13" s="62">
        <f>IF(gift_aid_toggle=1,AP10*gift_aid_rate,0)</f>
        <v>25556.824160761105</v>
      </c>
      <c r="AQ13" s="62">
        <f>IF(gift_aid_toggle=1,AQ10*gift_aid_rate,0)</f>
        <v>26195.744764780131</v>
      </c>
      <c r="AR13" s="62">
        <f>IF(gift_aid_toggle=1,AR10*gift_aid_rate,0)</f>
        <v>26850.638383899633</v>
      </c>
      <c r="AS13" s="62">
        <f>IF(gift_aid_toggle=1,AS10*gift_aid_rate,0)</f>
        <v>27521.904343497117</v>
      </c>
      <c r="AT13" s="62">
        <f>IF(gift_aid_toggle=1,AT10*gift_aid_rate,0)</f>
        <v>28209.951952084546</v>
      </c>
      <c r="AU13" s="62">
        <f>IF(gift_aid_toggle=1,AU10*gift_aid_rate,0)</f>
        <v>28915.200750886659</v>
      </c>
      <c r="AV13" s="62">
        <f>IF(gift_aid_toggle=1,AV10*gift_aid_rate,0)</f>
        <v>29638.080769658824</v>
      </c>
      <c r="AW13" s="62">
        <f>IF(gift_aid_toggle=1,AW10*gift_aid_rate,0)</f>
        <v>30379.032788900295</v>
      </c>
      <c r="AX13" s="62">
        <f>IF(gift_aid_toggle=1,AX10*gift_aid_rate,0)</f>
        <v>31138.5086086228</v>
      </c>
      <c r="AY13" s="62">
        <f>IF(gift_aid_toggle=1,AY10*gift_aid_rate,0)</f>
        <v>31916.971323838367</v>
      </c>
      <c r="AZ13" s="62">
        <f>IF(gift_aid_toggle=1,AZ10*gift_aid_rate,0)</f>
        <v>32714.895606934326</v>
      </c>
      <c r="BA13" s="62">
        <f>IF(gift_aid_toggle=1,BA10*gift_aid_rate,0)</f>
        <v>33532.76799710768</v>
      </c>
    </row>
    <row r="14" spans="1:53" x14ac:dyDescent="0.3">
      <c r="A14" t="s">
        <v>191</v>
      </c>
      <c r="B14" t="s">
        <v>48</v>
      </c>
      <c r="D14" s="62">
        <f t="shared" ref="D14:AI14" si="0">SUM(D10:D13)</f>
        <v>260000</v>
      </c>
      <c r="E14" s="62">
        <f t="shared" si="0"/>
        <v>112750</v>
      </c>
      <c r="F14" s="62">
        <f t="shared" si="0"/>
        <v>115568.75</v>
      </c>
      <c r="G14" s="62">
        <f t="shared" si="0"/>
        <v>118457.96874999999</v>
      </c>
      <c r="H14" s="62">
        <f t="shared" si="0"/>
        <v>121419.41796874997</v>
      </c>
      <c r="I14" s="62">
        <f t="shared" si="0"/>
        <v>124454.90341796872</v>
      </c>
      <c r="J14" s="62">
        <f t="shared" si="0"/>
        <v>127566.27600341792</v>
      </c>
      <c r="K14" s="62">
        <f t="shared" si="0"/>
        <v>130755.43290350334</v>
      </c>
      <c r="L14" s="62">
        <f t="shared" si="0"/>
        <v>134024.31872609092</v>
      </c>
      <c r="M14" s="62">
        <f t="shared" si="0"/>
        <v>137374.92669424319</v>
      </c>
      <c r="N14" s="62">
        <f t="shared" si="0"/>
        <v>140809.29986159923</v>
      </c>
      <c r="O14" s="62">
        <f t="shared" si="0"/>
        <v>144329.5323581392</v>
      </c>
      <c r="P14" s="62">
        <f t="shared" si="0"/>
        <v>147937.77066709267</v>
      </c>
      <c r="Q14" s="62">
        <f t="shared" si="0"/>
        <v>151636.21493377001</v>
      </c>
      <c r="R14" s="62">
        <f t="shared" si="0"/>
        <v>155427.12030711424</v>
      </c>
      <c r="S14" s="62">
        <f t="shared" si="0"/>
        <v>159312.79831479205</v>
      </c>
      <c r="T14" s="62">
        <f t="shared" si="0"/>
        <v>163295.61827266187</v>
      </c>
      <c r="U14" s="62">
        <f t="shared" si="0"/>
        <v>167378.00872947834</v>
      </c>
      <c r="V14" s="62">
        <f t="shared" si="0"/>
        <v>171562.45894771532</v>
      </c>
      <c r="W14" s="62">
        <f t="shared" si="0"/>
        <v>175851.52042140818</v>
      </c>
      <c r="X14" s="62">
        <f t="shared" si="0"/>
        <v>180247.80843194335</v>
      </c>
      <c r="Y14" s="62">
        <f t="shared" si="0"/>
        <v>184754.00364274194</v>
      </c>
      <c r="Z14" s="62">
        <f t="shared" si="0"/>
        <v>189372.85373381048</v>
      </c>
      <c r="AA14" s="62">
        <f t="shared" si="0"/>
        <v>194107.17507715573</v>
      </c>
      <c r="AB14" s="62">
        <f t="shared" si="0"/>
        <v>198959.85445408459</v>
      </c>
      <c r="AC14" s="62">
        <f t="shared" si="0"/>
        <v>203933.85081543669</v>
      </c>
      <c r="AD14" s="62">
        <f t="shared" si="0"/>
        <v>209032.19708582258</v>
      </c>
      <c r="AE14" s="62">
        <f t="shared" si="0"/>
        <v>214258.00201296812</v>
      </c>
      <c r="AF14" s="62">
        <f t="shared" si="0"/>
        <v>219614.45206329229</v>
      </c>
      <c r="AG14" s="62">
        <f t="shared" si="0"/>
        <v>225104.81336487457</v>
      </c>
      <c r="AH14" s="62">
        <f t="shared" si="0"/>
        <v>230732.43369899644</v>
      </c>
      <c r="AI14" s="62">
        <f t="shared" si="0"/>
        <v>236500.74454147133</v>
      </c>
      <c r="AJ14" s="62">
        <f t="shared" ref="AJ14:BA14" si="1">SUM(AJ10:AJ13)</f>
        <v>242413.26315500806</v>
      </c>
      <c r="AK14" s="62">
        <f t="shared" si="1"/>
        <v>248473.59473388325</v>
      </c>
      <c r="AL14" s="62">
        <f t="shared" si="1"/>
        <v>254685.43460223029</v>
      </c>
      <c r="AM14" s="62">
        <f t="shared" si="1"/>
        <v>261052.57046728604</v>
      </c>
      <c r="AN14" s="62">
        <f t="shared" si="1"/>
        <v>267578.88472896814</v>
      </c>
      <c r="AO14" s="62">
        <f t="shared" si="1"/>
        <v>274268.35684719234</v>
      </c>
      <c r="AP14" s="62">
        <f t="shared" si="1"/>
        <v>281125.06576837215</v>
      </c>
      <c r="AQ14" s="62">
        <f t="shared" si="1"/>
        <v>288153.19241258141</v>
      </c>
      <c r="AR14" s="62">
        <f t="shared" si="1"/>
        <v>295357.02222289593</v>
      </c>
      <c r="AS14" s="62">
        <f t="shared" si="1"/>
        <v>302740.94777846831</v>
      </c>
      <c r="AT14" s="62">
        <f t="shared" si="1"/>
        <v>310309.47147292999</v>
      </c>
      <c r="AU14" s="62">
        <f t="shared" si="1"/>
        <v>318067.20825975324</v>
      </c>
      <c r="AV14" s="62">
        <f t="shared" si="1"/>
        <v>326018.88846624707</v>
      </c>
      <c r="AW14" s="62">
        <f t="shared" si="1"/>
        <v>334169.36067790329</v>
      </c>
      <c r="AX14" s="62">
        <f t="shared" si="1"/>
        <v>342523.59469485085</v>
      </c>
      <c r="AY14" s="62">
        <f t="shared" si="1"/>
        <v>351086.68456222204</v>
      </c>
      <c r="AZ14" s="62">
        <f t="shared" si="1"/>
        <v>359863.85167627758</v>
      </c>
      <c r="BA14" s="62">
        <f t="shared" si="1"/>
        <v>368860.44796818448</v>
      </c>
    </row>
    <row r="15" spans="1:53" x14ac:dyDescent="0.3">
      <c r="A15" t="s">
        <v>364</v>
      </c>
      <c r="B15" t="s">
        <v>48</v>
      </c>
      <c r="D15" s="62">
        <f>D14</f>
        <v>260000</v>
      </c>
      <c r="E15" s="62">
        <f t="shared" ref="E15:AJ15" si="2">D15+E14</f>
        <v>372750</v>
      </c>
      <c r="F15" s="62">
        <f t="shared" si="2"/>
        <v>488318.75</v>
      </c>
      <c r="G15" s="62">
        <f t="shared" si="2"/>
        <v>606776.71875</v>
      </c>
      <c r="H15" s="62">
        <f t="shared" si="2"/>
        <v>728196.13671875</v>
      </c>
      <c r="I15" s="62">
        <f t="shared" si="2"/>
        <v>852651.04013671866</v>
      </c>
      <c r="J15" s="62">
        <f t="shared" si="2"/>
        <v>980217.31614013657</v>
      </c>
      <c r="K15" s="62">
        <f t="shared" si="2"/>
        <v>1110972.74904364</v>
      </c>
      <c r="L15" s="62">
        <f t="shared" si="2"/>
        <v>1244997.0677697309</v>
      </c>
      <c r="M15" s="62">
        <f t="shared" si="2"/>
        <v>1382371.9944639741</v>
      </c>
      <c r="N15" s="62">
        <f t="shared" si="2"/>
        <v>1523181.2943255734</v>
      </c>
      <c r="O15" s="62">
        <f t="shared" si="2"/>
        <v>1667510.8266837127</v>
      </c>
      <c r="P15" s="62">
        <f t="shared" si="2"/>
        <v>1815448.5973508053</v>
      </c>
      <c r="Q15" s="62">
        <f t="shared" si="2"/>
        <v>1967084.8122845753</v>
      </c>
      <c r="R15" s="62">
        <f t="shared" si="2"/>
        <v>2122511.9325916898</v>
      </c>
      <c r="S15" s="62">
        <f t="shared" si="2"/>
        <v>2281824.7309064819</v>
      </c>
      <c r="T15" s="62">
        <f t="shared" si="2"/>
        <v>2445120.3491791436</v>
      </c>
      <c r="U15" s="62">
        <f t="shared" si="2"/>
        <v>2612498.3579086219</v>
      </c>
      <c r="V15" s="62">
        <f t="shared" si="2"/>
        <v>2784060.8168563372</v>
      </c>
      <c r="W15" s="62">
        <f t="shared" si="2"/>
        <v>2959912.3372777454</v>
      </c>
      <c r="X15" s="62">
        <f t="shared" si="2"/>
        <v>3140160.1457096888</v>
      </c>
      <c r="Y15" s="62">
        <f t="shared" si="2"/>
        <v>3324914.1493524308</v>
      </c>
      <c r="Z15" s="62">
        <f t="shared" si="2"/>
        <v>3514287.0030862414</v>
      </c>
      <c r="AA15" s="62">
        <f t="shared" si="2"/>
        <v>3708394.1781633971</v>
      </c>
      <c r="AB15" s="62">
        <f t="shared" si="2"/>
        <v>3907354.0326174819</v>
      </c>
      <c r="AC15" s="62">
        <f t="shared" si="2"/>
        <v>4111287.8834329187</v>
      </c>
      <c r="AD15" s="62">
        <f t="shared" si="2"/>
        <v>4320320.0805187412</v>
      </c>
      <c r="AE15" s="62">
        <f t="shared" si="2"/>
        <v>4534578.0825317092</v>
      </c>
      <c r="AF15" s="62">
        <f t="shared" si="2"/>
        <v>4754192.5345950015</v>
      </c>
      <c r="AG15" s="62">
        <f t="shared" si="2"/>
        <v>4979297.3479598761</v>
      </c>
      <c r="AH15" s="62">
        <f t="shared" si="2"/>
        <v>5210029.781658873</v>
      </c>
      <c r="AI15" s="62">
        <f t="shared" si="2"/>
        <v>5446530.5262003439</v>
      </c>
      <c r="AJ15" s="62">
        <f t="shared" si="2"/>
        <v>5688943.7893553516</v>
      </c>
      <c r="AK15" s="62">
        <f t="shared" ref="AK15:BA15" si="3">AJ15+AK14</f>
        <v>5937417.3840892352</v>
      </c>
      <c r="AL15" s="62">
        <f t="shared" si="3"/>
        <v>6192102.8186914651</v>
      </c>
      <c r="AM15" s="62">
        <f t="shared" si="3"/>
        <v>6453155.3891587509</v>
      </c>
      <c r="AN15" s="62">
        <f t="shared" si="3"/>
        <v>6720734.273887719</v>
      </c>
      <c r="AO15" s="62">
        <f t="shared" si="3"/>
        <v>6995002.6307349112</v>
      </c>
      <c r="AP15" s="62">
        <f t="shared" si="3"/>
        <v>7276127.6965032835</v>
      </c>
      <c r="AQ15" s="62">
        <f t="shared" si="3"/>
        <v>7564280.8889158648</v>
      </c>
      <c r="AR15" s="62">
        <f t="shared" si="3"/>
        <v>7859637.9111387609</v>
      </c>
      <c r="AS15" s="62">
        <f t="shared" si="3"/>
        <v>8162378.8589172289</v>
      </c>
      <c r="AT15" s="62">
        <f t="shared" si="3"/>
        <v>8472688.330390159</v>
      </c>
      <c r="AU15" s="62">
        <f t="shared" si="3"/>
        <v>8790755.5386499129</v>
      </c>
      <c r="AV15" s="62">
        <f t="shared" si="3"/>
        <v>9116774.4271161593</v>
      </c>
      <c r="AW15" s="62">
        <f t="shared" si="3"/>
        <v>9450943.7877940629</v>
      </c>
      <c r="AX15" s="62">
        <f t="shared" si="3"/>
        <v>9793467.3824889138</v>
      </c>
      <c r="AY15" s="62">
        <f t="shared" si="3"/>
        <v>10144554.067051135</v>
      </c>
      <c r="AZ15" s="62">
        <f t="shared" si="3"/>
        <v>10504417.918727413</v>
      </c>
      <c r="BA15" s="62">
        <f t="shared" si="3"/>
        <v>10873278.366695598</v>
      </c>
    </row>
    <row r="17" spans="1:53" x14ac:dyDescent="0.3">
      <c r="A17" s="37" t="s">
        <v>26</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row>
    <row r="18" spans="1:53" x14ac:dyDescent="0.3">
      <c r="A18" t="s">
        <v>193</v>
      </c>
      <c r="B18" t="s">
        <v>48</v>
      </c>
      <c r="D18" s="40">
        <f>cs_baseline_issue*cs_takeup_mult*'Macro &amp; Indexation'!D$20</f>
        <v>250000</v>
      </c>
      <c r="E18" s="40">
        <f>cs_baseline_issue*cs_takeup_mult*'Macro &amp; Indexation'!E$20</f>
        <v>256249.99999999997</v>
      </c>
      <c r="F18" s="40">
        <f>cs_baseline_issue*cs_takeup_mult*'Macro &amp; Indexation'!F$20</f>
        <v>262656.25</v>
      </c>
      <c r="G18" s="40">
        <f>cs_baseline_issue*cs_takeup_mult*'Macro &amp; Indexation'!G$20</f>
        <v>269222.65624999994</v>
      </c>
      <c r="H18" s="40">
        <f>cs_baseline_issue*cs_takeup_mult*'Macro &amp; Indexation'!H$20</f>
        <v>275953.22265624994</v>
      </c>
      <c r="I18" s="40">
        <f>cs_baseline_issue*cs_takeup_mult*'Macro &amp; Indexation'!I$20</f>
        <v>282852.05322265619</v>
      </c>
      <c r="J18" s="40">
        <f>cs_baseline_issue*cs_takeup_mult*'Macro &amp; Indexation'!J$20</f>
        <v>289923.35455322254</v>
      </c>
      <c r="K18" s="40">
        <f>cs_baseline_issue*cs_takeup_mult*'Macro &amp; Indexation'!K$20</f>
        <v>297171.43841705308</v>
      </c>
      <c r="L18" s="40">
        <f>cs_baseline_issue*cs_takeup_mult*'Macro &amp; Indexation'!L$20</f>
        <v>304600.72437747935</v>
      </c>
      <c r="M18" s="40">
        <f>cs_baseline_issue*cs_takeup_mult*'Macro &amp; Indexation'!M$20</f>
        <v>312215.74248691631</v>
      </c>
      <c r="N18" s="40">
        <f>cs_baseline_issue*cs_takeup_mult*'Macro &amp; Indexation'!N$20</f>
        <v>320021.13604908914</v>
      </c>
      <c r="O18" s="40">
        <f>cs_baseline_issue*cs_takeup_mult*'Macro &amp; Indexation'!O$20</f>
        <v>328021.6644503164</v>
      </c>
      <c r="P18" s="40">
        <f>cs_baseline_issue*cs_takeup_mult*'Macro &amp; Indexation'!P$20</f>
        <v>336222.20606157428</v>
      </c>
      <c r="Q18" s="40">
        <f>cs_baseline_issue*cs_takeup_mult*'Macro &amp; Indexation'!Q$20</f>
        <v>344627.76121311361</v>
      </c>
      <c r="R18" s="40">
        <f>cs_baseline_issue*cs_takeup_mult*'Macro &amp; Indexation'!R$20</f>
        <v>353243.45524344139</v>
      </c>
      <c r="S18" s="40">
        <f>cs_baseline_issue*cs_takeup_mult*'Macro &amp; Indexation'!S$20</f>
        <v>362074.54162452742</v>
      </c>
      <c r="T18" s="40">
        <f>cs_baseline_issue*cs_takeup_mult*'Macro &amp; Indexation'!T$20</f>
        <v>371126.40516514058</v>
      </c>
      <c r="U18" s="40">
        <f>cs_baseline_issue*cs_takeup_mult*'Macro &amp; Indexation'!U$20</f>
        <v>380404.56529426901</v>
      </c>
      <c r="V18" s="40">
        <f>cs_baseline_issue*cs_takeup_mult*'Macro &amp; Indexation'!V$20</f>
        <v>389914.67942662572</v>
      </c>
      <c r="W18" s="40">
        <f>cs_baseline_issue*cs_takeup_mult*'Macro &amp; Indexation'!W$20</f>
        <v>399662.5464122913</v>
      </c>
      <c r="X18" s="40">
        <f>cs_baseline_issue*cs_takeup_mult*'Macro &amp; Indexation'!X$20</f>
        <v>409654.11007259856</v>
      </c>
      <c r="Y18" s="40">
        <f>cs_baseline_issue*cs_takeup_mult*'Macro &amp; Indexation'!Y$20</f>
        <v>419895.46282441349</v>
      </c>
      <c r="Z18" s="40">
        <f>cs_baseline_issue*cs_takeup_mult*'Macro &amp; Indexation'!Z$20</f>
        <v>430392.84939502378</v>
      </c>
      <c r="AA18" s="40">
        <f>cs_baseline_issue*cs_takeup_mult*'Macro &amp; Indexation'!AA$20</f>
        <v>441152.67062989931</v>
      </c>
      <c r="AB18" s="40">
        <f>cs_baseline_issue*cs_takeup_mult*'Macro &amp; Indexation'!AB$20</f>
        <v>452181.48739564681</v>
      </c>
      <c r="AC18" s="40">
        <f>cs_baseline_issue*cs_takeup_mult*'Macro &amp; Indexation'!AC$20</f>
        <v>463486.02458053787</v>
      </c>
      <c r="AD18" s="40">
        <f>cs_baseline_issue*cs_takeup_mult*'Macro &amp; Indexation'!AD$20</f>
        <v>475073.1751950513</v>
      </c>
      <c r="AE18" s="40">
        <f>cs_baseline_issue*cs_takeup_mult*'Macro &amp; Indexation'!AE$20</f>
        <v>486950.00457492756</v>
      </c>
      <c r="AF18" s="40">
        <f>cs_baseline_issue*cs_takeup_mult*'Macro &amp; Indexation'!AF$20</f>
        <v>499123.75468930072</v>
      </c>
      <c r="AG18" s="40">
        <f>cs_baseline_issue*cs_takeup_mult*'Macro &amp; Indexation'!AG$20</f>
        <v>511601.84855653311</v>
      </c>
      <c r="AH18" s="40">
        <f>cs_baseline_issue*cs_takeup_mult*'Macro &amp; Indexation'!AH$20</f>
        <v>524391.89477044647</v>
      </c>
      <c r="AI18" s="40">
        <f>cs_baseline_issue*cs_takeup_mult*'Macro &amp; Indexation'!AI$20</f>
        <v>537501.69213970751</v>
      </c>
      <c r="AJ18" s="40">
        <f>cs_baseline_issue*cs_takeup_mult*'Macro &amp; Indexation'!AJ$20</f>
        <v>550939.23444320017</v>
      </c>
      <c r="AK18" s="40">
        <f>cs_baseline_issue*cs_takeup_mult*'Macro &amp; Indexation'!AK$20</f>
        <v>564712.71530428017</v>
      </c>
      <c r="AL18" s="40">
        <f>cs_baseline_issue*cs_takeup_mult*'Macro &amp; Indexation'!AL$20</f>
        <v>578830.53318688704</v>
      </c>
      <c r="AM18" s="40">
        <f>cs_baseline_issue*cs_takeup_mult*'Macro &amp; Indexation'!AM$20</f>
        <v>593301.2965165592</v>
      </c>
      <c r="AN18" s="40">
        <f>cs_baseline_issue*cs_takeup_mult*'Macro &amp; Indexation'!AN$20</f>
        <v>608133.82892947306</v>
      </c>
      <c r="AO18" s="40">
        <f>cs_baseline_issue*cs_takeup_mult*'Macro &amp; Indexation'!AO$20</f>
        <v>623337.17465270986</v>
      </c>
      <c r="AP18" s="40">
        <f>cs_baseline_issue*cs_takeup_mult*'Macro &amp; Indexation'!AP$20</f>
        <v>638920.60401902767</v>
      </c>
      <c r="AQ18" s="40">
        <f>cs_baseline_issue*cs_takeup_mult*'Macro &amp; Indexation'!AQ$20</f>
        <v>654893.6191195033</v>
      </c>
      <c r="AR18" s="40">
        <f>cs_baseline_issue*cs_takeup_mult*'Macro &amp; Indexation'!AR$20</f>
        <v>671265.95959749084</v>
      </c>
      <c r="AS18" s="40">
        <f>cs_baseline_issue*cs_takeup_mult*'Macro &amp; Indexation'!AS$20</f>
        <v>688047.608587428</v>
      </c>
      <c r="AT18" s="40">
        <f>cs_baseline_issue*cs_takeup_mult*'Macro &amp; Indexation'!AT$20</f>
        <v>705248.79880211363</v>
      </c>
      <c r="AU18" s="40">
        <f>cs_baseline_issue*cs_takeup_mult*'Macro &amp; Indexation'!AU$20</f>
        <v>722880.01877216646</v>
      </c>
      <c r="AV18" s="40">
        <f>cs_baseline_issue*cs_takeup_mult*'Macro &amp; Indexation'!AV$20</f>
        <v>740952.01924147061</v>
      </c>
      <c r="AW18" s="40">
        <f>cs_baseline_issue*cs_takeup_mult*'Macro &amp; Indexation'!AW$20</f>
        <v>759475.81972250738</v>
      </c>
      <c r="AX18" s="40">
        <f>cs_baseline_issue*cs_takeup_mult*'Macro &amp; Indexation'!AX$20</f>
        <v>778462.71521556994</v>
      </c>
      <c r="AY18" s="40">
        <f>cs_baseline_issue*cs_takeup_mult*'Macro &amp; Indexation'!AY$20</f>
        <v>797924.28309595922</v>
      </c>
      <c r="AZ18" s="40">
        <f>cs_baseline_issue*cs_takeup_mult*'Macro &amp; Indexation'!AZ$20</f>
        <v>817872.39017335814</v>
      </c>
      <c r="BA18" s="40">
        <f>cs_baseline_issue*cs_takeup_mult*'Macro &amp; Indexation'!BA$20</f>
        <v>838319.19992769195</v>
      </c>
    </row>
    <row r="19" spans="1:53" x14ac:dyDescent="0.3">
      <c r="A19" t="s">
        <v>300</v>
      </c>
      <c r="B19" t="s">
        <v>48</v>
      </c>
      <c r="D19" s="40">
        <f>0</f>
        <v>0</v>
      </c>
      <c r="E19" s="40">
        <f ca="1">'Financial Statements'!D44-D26</f>
        <v>307624.375</v>
      </c>
      <c r="F19" s="40">
        <f ca="1">'Financial Statements'!E44-E26</f>
        <v>821883.16840820317</v>
      </c>
      <c r="G19" s="40">
        <f ca="1">'Financial Statements'!F44-F26</f>
        <v>1613096.1840409201</v>
      </c>
      <c r="H19" s="40">
        <f ca="1">'Financial Statements'!G44-G26</f>
        <v>2392236.7334436281</v>
      </c>
      <c r="I19" s="40">
        <f ca="1">'Financial Statements'!H44-H26</f>
        <v>3260995.7775563803</v>
      </c>
      <c r="J19" s="40">
        <f ca="1">'Financial Statements'!I44-I26</f>
        <v>4186101.1750979112</v>
      </c>
      <c r="K19" s="40">
        <f ca="1">'Financial Statements'!J44-J26</f>
        <v>5184045.5488362461</v>
      </c>
      <c r="L19" s="40">
        <f ca="1">'Financial Statements'!K44-K26</f>
        <v>6203510.9867532682</v>
      </c>
      <c r="M19" s="40">
        <f ca="1">'Financial Statements'!L44-L26</f>
        <v>7291089.4267454352</v>
      </c>
      <c r="N19" s="40">
        <f ca="1">'Financial Statements'!M44-M26</f>
        <v>8449335.1911602765</v>
      </c>
      <c r="O19" s="40">
        <f ca="1">'Financial Statements'!N44-N26</f>
        <v>8801582.4213428181</v>
      </c>
      <c r="P19" s="40">
        <f ca="1">'Financial Statements'!O44-O26</f>
        <v>9201190.9409883171</v>
      </c>
      <c r="Q19" s="40">
        <f ca="1">'Financial Statements'!P44-P26</f>
        <v>9613969.0607613381</v>
      </c>
      <c r="R19" s="40">
        <f ca="1">'Financial Statements'!Q44-Q26</f>
        <v>10040812.257973425</v>
      </c>
      <c r="S19" s="40">
        <f ca="1">'Financial Statements'!R44-R26</f>
        <v>10482207.474460896</v>
      </c>
      <c r="T19" s="40">
        <f ca="1">'Financial Statements'!S44-S26</f>
        <v>10938651.126447752</v>
      </c>
      <c r="U19" s="40">
        <f ca="1">'Financial Statements'!T44-T26</f>
        <v>11410657.450698767</v>
      </c>
      <c r="V19" s="40">
        <f ca="1">'Financial Statements'!U44-U26</f>
        <v>11898978.12916307</v>
      </c>
      <c r="W19" s="40">
        <f ca="1">'Financial Statements'!V44-V26</f>
        <v>12404167.978393553</v>
      </c>
      <c r="X19" s="40">
        <f ca="1">'Financial Statements'!W44-W26</f>
        <v>12926812.584313136</v>
      </c>
      <c r="Y19" s="40">
        <f ca="1">'Financial Statements'!X44-X26</f>
        <v>13467517.908181811</v>
      </c>
      <c r="Z19" s="40">
        <f ca="1">'Financial Statements'!Y44-Y26</f>
        <v>14026910.981446842</v>
      </c>
      <c r="AA19" s="40">
        <f ca="1">'Financial Statements'!Z44-Z26</f>
        <v>14612563.164814254</v>
      </c>
      <c r="AB19" s="40">
        <f ca="1">'Financial Statements'!AA44-AA26</f>
        <v>15253840.5608085</v>
      </c>
      <c r="AC19" s="40">
        <f ca="1">'Financial Statements'!AB44-AB26</f>
        <v>15916645.411485065</v>
      </c>
      <c r="AD19" s="40">
        <f ca="1">'Financial Statements'!AC44-AC26</f>
        <v>16642321.353798743</v>
      </c>
      <c r="AE19" s="40">
        <f ca="1">'Financial Statements'!AD44-AD26</f>
        <v>17439320.158319149</v>
      </c>
      <c r="AF19" s="40">
        <f ca="1">'Financial Statements'!AE44-AE26</f>
        <v>18339652.668057438</v>
      </c>
      <c r="AG19" s="40">
        <f ca="1">'Financial Statements'!AF44-AF26</f>
        <v>19303498.838576511</v>
      </c>
      <c r="AH19" s="40">
        <f ca="1">'Financial Statements'!AG44-AG26</f>
        <v>20285380.696054611</v>
      </c>
      <c r="AI19" s="40">
        <f ca="1">'Financial Statements'!AH44-AH26</f>
        <v>21313078.90460461</v>
      </c>
      <c r="AJ19" s="40">
        <f ca="1">'Financial Statements'!AI44-AI26</f>
        <v>22394965.215757802</v>
      </c>
      <c r="AK19" s="40">
        <f ca="1">'Financial Statements'!AJ44-AJ26</f>
        <v>23597670.256185506</v>
      </c>
      <c r="AL19" s="40">
        <f ca="1">'Financial Statements'!AK44-AK26</f>
        <v>24912259.703468859</v>
      </c>
      <c r="AM19" s="40">
        <f ca="1">'Financial Statements'!AL44-AL26</f>
        <v>26305364.137379408</v>
      </c>
      <c r="AN19" s="40">
        <f ca="1">'Financial Statements'!AM44-AM26</f>
        <v>27830004.343964003</v>
      </c>
      <c r="AO19" s="40">
        <f ca="1">'Financial Statements'!AN44-AN26</f>
        <v>29475988.809149362</v>
      </c>
      <c r="AP19" s="40">
        <f ca="1">'Financial Statements'!AO44-AO26</f>
        <v>31207843.392443936</v>
      </c>
      <c r="AQ19" s="40">
        <f ca="1">'Financial Statements'!AP44-AP26</f>
        <v>33083999.130855892</v>
      </c>
      <c r="AR19" s="40">
        <f ca="1">'Financial Statements'!AQ44-AQ26</f>
        <v>35109422.721058317</v>
      </c>
      <c r="AS19" s="40">
        <f ca="1">'Financial Statements'!AR44-AR26</f>
        <v>37289632.2370058</v>
      </c>
      <c r="AT19" s="40">
        <f ca="1">'Financial Statements'!AS44-AS26</f>
        <v>39630437.105123624</v>
      </c>
      <c r="AU19" s="40">
        <f ca="1">'Financial Statements'!AT44-AT26</f>
        <v>42138791.198736534</v>
      </c>
      <c r="AV19" s="40">
        <f ca="1">'Financial Statements'!AU44-AU26</f>
        <v>44822377.601771548</v>
      </c>
      <c r="AW19" s="40">
        <f ca="1">'Financial Statements'!AV44-AV26</f>
        <v>47688979.915302202</v>
      </c>
      <c r="AX19" s="40">
        <f ca="1">'Financial Statements'!AW44-AW26</f>
        <v>50746773.997802518</v>
      </c>
      <c r="AY19" s="40">
        <f ca="1">'Financial Statements'!AX44-AX26</f>
        <v>54027635.5617439</v>
      </c>
      <c r="AZ19" s="40">
        <f ca="1">'Financial Statements'!AY44-AY26</f>
        <v>57592047.567519203</v>
      </c>
      <c r="BA19" s="40">
        <f ca="1">'Financial Statements'!AZ44-AZ26</f>
        <v>61377604.217855006</v>
      </c>
    </row>
    <row r="20" spans="1:53" x14ac:dyDescent="0.3">
      <c r="A20" t="s">
        <v>194</v>
      </c>
      <c r="B20" t="s">
        <v>195</v>
      </c>
      <c r="D20" s="40">
        <f>cs_max_pct_capital/(1-cs_max_pct_capital)*D19</f>
        <v>0</v>
      </c>
      <c r="E20" s="40">
        <f ca="1">cs_max_pct_capital/(1-cs_max_pct_capital)*E19</f>
        <v>76906.09375</v>
      </c>
      <c r="F20" s="40">
        <f ca="1">cs_max_pct_capital/(1-cs_max_pct_capital)*F19</f>
        <v>205470.79210205079</v>
      </c>
      <c r="G20" s="40">
        <f ca="1">cs_max_pct_capital/(1-cs_max_pct_capital)*G19</f>
        <v>403274.04601023003</v>
      </c>
      <c r="H20" s="40">
        <f ca="1">cs_max_pct_capital/(1-cs_max_pct_capital)*H19</f>
        <v>598059.18336090702</v>
      </c>
      <c r="I20" s="40">
        <f ca="1">cs_max_pct_capital/(1-cs_max_pct_capital)*I19</f>
        <v>815248.94438909506</v>
      </c>
      <c r="J20" s="40">
        <f ca="1">cs_max_pct_capital/(1-cs_max_pct_capital)*J19</f>
        <v>1046525.2937744778</v>
      </c>
      <c r="K20" s="40">
        <f ca="1">cs_max_pct_capital/(1-cs_max_pct_capital)*K19</f>
        <v>1296011.3872090615</v>
      </c>
      <c r="L20" s="40">
        <f ca="1">cs_max_pct_capital/(1-cs_max_pct_capital)*L19</f>
        <v>1550877.746688317</v>
      </c>
      <c r="M20" s="40">
        <f ca="1">cs_max_pct_capital/(1-cs_max_pct_capital)*M19</f>
        <v>1822772.3566863588</v>
      </c>
      <c r="N20" s="40">
        <f ca="1">cs_max_pct_capital/(1-cs_max_pct_capital)*N19</f>
        <v>2112333.7977900691</v>
      </c>
      <c r="O20" s="40">
        <f ca="1">cs_max_pct_capital/(1-cs_max_pct_capital)*O19</f>
        <v>2200395.6053357045</v>
      </c>
      <c r="P20" s="40">
        <f ca="1">cs_max_pct_capital/(1-cs_max_pct_capital)*P19</f>
        <v>2300297.7352470793</v>
      </c>
      <c r="Q20" s="40">
        <f ca="1">cs_max_pct_capital/(1-cs_max_pct_capital)*Q19</f>
        <v>2403492.2651903345</v>
      </c>
      <c r="R20" s="40">
        <f ca="1">cs_max_pct_capital/(1-cs_max_pct_capital)*R19</f>
        <v>2510203.0644933563</v>
      </c>
      <c r="S20" s="40">
        <f ca="1">cs_max_pct_capital/(1-cs_max_pct_capital)*S19</f>
        <v>2620551.868615224</v>
      </c>
      <c r="T20" s="40">
        <f ca="1">cs_max_pct_capital/(1-cs_max_pct_capital)*T19</f>
        <v>2734662.781611938</v>
      </c>
      <c r="U20" s="40">
        <f ca="1">cs_max_pct_capital/(1-cs_max_pct_capital)*U19</f>
        <v>2852664.3626746917</v>
      </c>
      <c r="V20" s="40">
        <f ca="1">cs_max_pct_capital/(1-cs_max_pct_capital)*V19</f>
        <v>2974744.5322907674</v>
      </c>
      <c r="W20" s="40">
        <f ca="1">cs_max_pct_capital/(1-cs_max_pct_capital)*W19</f>
        <v>3101041.9945983882</v>
      </c>
      <c r="X20" s="40">
        <f ca="1">cs_max_pct_capital/(1-cs_max_pct_capital)*X19</f>
        <v>3231703.1460782839</v>
      </c>
      <c r="Y20" s="40">
        <f ca="1">cs_max_pct_capital/(1-cs_max_pct_capital)*Y19</f>
        <v>3366879.4770454527</v>
      </c>
      <c r="Z20" s="40">
        <f ca="1">cs_max_pct_capital/(1-cs_max_pct_capital)*Z19</f>
        <v>3506727.7453617104</v>
      </c>
      <c r="AA20" s="40">
        <f ca="1">cs_max_pct_capital/(1-cs_max_pct_capital)*AA19</f>
        <v>3653140.7912035636</v>
      </c>
      <c r="AB20" s="40">
        <f ca="1">cs_max_pct_capital/(1-cs_max_pct_capital)*AB19</f>
        <v>3813460.1402021251</v>
      </c>
      <c r="AC20" s="40">
        <f ca="1">cs_max_pct_capital/(1-cs_max_pct_capital)*AC19</f>
        <v>3979161.3528712662</v>
      </c>
      <c r="AD20" s="40">
        <f ca="1">cs_max_pct_capital/(1-cs_max_pct_capital)*AD19</f>
        <v>4160580.3384496858</v>
      </c>
      <c r="AE20" s="40">
        <f ca="1">cs_max_pct_capital/(1-cs_max_pct_capital)*AE19</f>
        <v>4359830.0395797873</v>
      </c>
      <c r="AF20" s="40">
        <f ca="1">cs_max_pct_capital/(1-cs_max_pct_capital)*AF19</f>
        <v>4584913.1670143595</v>
      </c>
      <c r="AG20" s="40">
        <f ca="1">cs_max_pct_capital/(1-cs_max_pct_capital)*AG19</f>
        <v>4825874.7096441276</v>
      </c>
      <c r="AH20" s="40">
        <f ca="1">cs_max_pct_capital/(1-cs_max_pct_capital)*AH19</f>
        <v>5071345.1740136528</v>
      </c>
      <c r="AI20" s="40">
        <f ca="1">cs_max_pct_capital/(1-cs_max_pct_capital)*AI19</f>
        <v>5328269.7261511525</v>
      </c>
      <c r="AJ20" s="40">
        <f ca="1">cs_max_pct_capital/(1-cs_max_pct_capital)*AJ19</f>
        <v>5598741.3039394505</v>
      </c>
      <c r="AK20" s="40">
        <f ca="1">cs_max_pct_capital/(1-cs_max_pct_capital)*AK19</f>
        <v>5899417.5640463764</v>
      </c>
      <c r="AL20" s="40">
        <f ca="1">cs_max_pct_capital/(1-cs_max_pct_capital)*AL19</f>
        <v>6228064.9258672148</v>
      </c>
      <c r="AM20" s="40">
        <f ca="1">cs_max_pct_capital/(1-cs_max_pct_capital)*AM19</f>
        <v>6576341.034344852</v>
      </c>
      <c r="AN20" s="40">
        <f ca="1">cs_max_pct_capital/(1-cs_max_pct_capital)*AN19</f>
        <v>6957501.0859910008</v>
      </c>
      <c r="AO20" s="40">
        <f ca="1">cs_max_pct_capital/(1-cs_max_pct_capital)*AO19</f>
        <v>7368997.2022873405</v>
      </c>
      <c r="AP20" s="40">
        <f ca="1">cs_max_pct_capital/(1-cs_max_pct_capital)*AP19</f>
        <v>7801960.8481109841</v>
      </c>
      <c r="AQ20" s="40">
        <f ca="1">cs_max_pct_capital/(1-cs_max_pct_capital)*AQ19</f>
        <v>8270999.782713973</v>
      </c>
      <c r="AR20" s="40">
        <f ca="1">cs_max_pct_capital/(1-cs_max_pct_capital)*AR19</f>
        <v>8777355.6802645791</v>
      </c>
      <c r="AS20" s="40">
        <f ca="1">cs_max_pct_capital/(1-cs_max_pct_capital)*AS19</f>
        <v>9322408.05925145</v>
      </c>
      <c r="AT20" s="40">
        <f ca="1">cs_max_pct_capital/(1-cs_max_pct_capital)*AT19</f>
        <v>9907609.2762809061</v>
      </c>
      <c r="AU20" s="40">
        <f ca="1">cs_max_pct_capital/(1-cs_max_pct_capital)*AU19</f>
        <v>10534697.799684133</v>
      </c>
      <c r="AV20" s="40">
        <f ca="1">cs_max_pct_capital/(1-cs_max_pct_capital)*AV19</f>
        <v>11205594.400442887</v>
      </c>
      <c r="AW20" s="40">
        <f ca="1">cs_max_pct_capital/(1-cs_max_pct_capital)*AW19</f>
        <v>11922244.978825551</v>
      </c>
      <c r="AX20" s="40">
        <f ca="1">cs_max_pct_capital/(1-cs_max_pct_capital)*AX19</f>
        <v>12686693.49945063</v>
      </c>
      <c r="AY20" s="40">
        <f ca="1">cs_max_pct_capital/(1-cs_max_pct_capital)*AY19</f>
        <v>13506908.890435975</v>
      </c>
      <c r="AZ20" s="40">
        <f ca="1">cs_max_pct_capital/(1-cs_max_pct_capital)*AZ19</f>
        <v>14398011.891879801</v>
      </c>
      <c r="BA20" s="40">
        <f ca="1">cs_max_pct_capital/(1-cs_max_pct_capital)*BA19</f>
        <v>15344401.054463752</v>
      </c>
    </row>
    <row r="21" spans="1:53" x14ac:dyDescent="0.3">
      <c r="A21" t="s">
        <v>196</v>
      </c>
      <c r="B21" t="s">
        <v>48</v>
      </c>
      <c r="D21" s="40">
        <f>0</f>
        <v>0</v>
      </c>
      <c r="E21" s="40">
        <f t="shared" ref="E21:AJ21" ca="1" si="4">D26</f>
        <v>0</v>
      </c>
      <c r="F21" s="40">
        <f t="shared" ca="1" si="4"/>
        <v>76906.09375</v>
      </c>
      <c r="G21" s="40">
        <f t="shared" ca="1" si="4"/>
        <v>205470.79210205079</v>
      </c>
      <c r="H21" s="40">
        <f t="shared" ca="1" si="4"/>
        <v>403274.04601023003</v>
      </c>
      <c r="I21" s="40">
        <f t="shared" ca="1" si="4"/>
        <v>598059.18336090702</v>
      </c>
      <c r="J21" s="40">
        <f t="shared" ca="1" si="4"/>
        <v>815248.94438909506</v>
      </c>
      <c r="K21" s="40">
        <f t="shared" ca="1" si="4"/>
        <v>1044987.1718994778</v>
      </c>
      <c r="L21" s="40">
        <f t="shared" ca="1" si="4"/>
        <v>1291901.9713670206</v>
      </c>
      <c r="M21" s="40">
        <f t="shared" ca="1" si="4"/>
        <v>1542812.2657681124</v>
      </c>
      <c r="N21" s="40">
        <f t="shared" ca="1" si="4"/>
        <v>1810811.1730191407</v>
      </c>
      <c r="O21" s="40">
        <f t="shared" ca="1" si="4"/>
        <v>2096028.8189022872</v>
      </c>
      <c r="P21" s="40">
        <f t="shared" ca="1" si="4"/>
        <v>2179495.8618977149</v>
      </c>
      <c r="Q21" s="40">
        <f t="shared" ca="1" si="4"/>
        <v>2274459.6958197388</v>
      </c>
      <c r="R21" s="40">
        <f t="shared" ca="1" si="4"/>
        <v>2372636.0198749723</v>
      </c>
      <c r="S21" s="40">
        <f t="shared" ca="1" si="4"/>
        <v>2473986.8410329735</v>
      </c>
      <c r="T21" s="40">
        <f t="shared" ca="1" si="4"/>
        <v>2578631.2922371784</v>
      </c>
      <c r="U21" s="40">
        <f t="shared" ca="1" si="4"/>
        <v>2691072.8643739838</v>
      </c>
      <c r="V21" s="40">
        <f t="shared" ca="1" si="4"/>
        <v>2807175.1687582969</v>
      </c>
      <c r="W21" s="40">
        <f t="shared" ca="1" si="4"/>
        <v>2927291.811893268</v>
      </c>
      <c r="X21" s="40">
        <f t="shared" ca="1" si="4"/>
        <v>3051562.2577777286</v>
      </c>
      <c r="Y21" s="40">
        <f t="shared" ca="1" si="4"/>
        <v>3180130.5202335403</v>
      </c>
      <c r="Z21" s="40">
        <f t="shared" ca="1" si="4"/>
        <v>3313058.019757973</v>
      </c>
      <c r="AA21" s="40">
        <f t="shared" ca="1" si="4"/>
        <v>3450584.2419865443</v>
      </c>
      <c r="AB21" s="40">
        <f t="shared" ca="1" si="4"/>
        <v>3594594.9549656981</v>
      </c>
      <c r="AC21" s="40">
        <f t="shared" ca="1" si="4"/>
        <v>3752428.8950465703</v>
      </c>
      <c r="AD21" s="40">
        <f t="shared" ca="1" si="4"/>
        <v>3915558.7424665955</v>
      </c>
      <c r="AE21" s="40">
        <f t="shared" ca="1" si="4"/>
        <v>4094319.1780545264</v>
      </c>
      <c r="AF21" s="40">
        <f t="shared" ca="1" si="4"/>
        <v>4290818.3547400562</v>
      </c>
      <c r="AG21" s="40">
        <f t="shared" ca="1" si="4"/>
        <v>4513021.2679150458</v>
      </c>
      <c r="AH21" s="40">
        <f t="shared" ca="1" si="4"/>
        <v>4750826.1317431964</v>
      </c>
      <c r="AI21" s="40">
        <f t="shared" ca="1" si="4"/>
        <v>4993033.9991643205</v>
      </c>
      <c r="AJ21" s="40">
        <f t="shared" ca="1" si="4"/>
        <v>5246383.3425900619</v>
      </c>
      <c r="AK21" s="40">
        <f t="shared" ref="AK21:BA21" ca="1" si="5">AJ26</f>
        <v>5512924.9368446497</v>
      </c>
      <c r="AL21" s="40">
        <f t="shared" ca="1" si="5"/>
        <v>5809157.1386880754</v>
      </c>
      <c r="AM21" s="40">
        <f t="shared" ca="1" si="5"/>
        <v>6133048.4032323509</v>
      </c>
      <c r="AN21" s="40">
        <f t="shared" ca="1" si="5"/>
        <v>6476480.3543615658</v>
      </c>
      <c r="AO21" s="40">
        <f t="shared" ca="1" si="5"/>
        <v>6852573.4191391999</v>
      </c>
      <c r="AP21" s="40">
        <f t="shared" ca="1" si="5"/>
        <v>7258738.7035504477</v>
      </c>
      <c r="AQ21" s="40">
        <f t="shared" ca="1" si="5"/>
        <v>7685777.7053372227</v>
      </c>
      <c r="AR21" s="40">
        <f t="shared" ca="1" si="5"/>
        <v>8148338.8146493258</v>
      </c>
      <c r="AS21" s="40">
        <f t="shared" ca="1" si="5"/>
        <v>8647826.073177347</v>
      </c>
      <c r="AT21" s="40">
        <f t="shared" ca="1" si="5"/>
        <v>9185356.5908686668</v>
      </c>
      <c r="AU21" s="40">
        <f t="shared" ca="1" si="5"/>
        <v>9745430.6155997701</v>
      </c>
      <c r="AV21" s="40">
        <f t="shared" ca="1" si="5"/>
        <v>10314595.080265192</v>
      </c>
      <c r="AW21" s="40">
        <f t="shared" ca="1" si="5"/>
        <v>10892580.323213676</v>
      </c>
      <c r="AX21" s="40">
        <f t="shared" ca="1" si="5"/>
        <v>11479099.621472636</v>
      </c>
      <c r="AY21" s="40">
        <f t="shared" ca="1" si="5"/>
        <v>12073855.204870833</v>
      </c>
      <c r="AZ21" s="40">
        <f t="shared" ca="1" si="5"/>
        <v>12676870.875654798</v>
      </c>
      <c r="BA21" s="40">
        <f t="shared" ca="1" si="5"/>
        <v>13288451.364222853</v>
      </c>
    </row>
    <row r="22" spans="1:53" x14ac:dyDescent="0.3">
      <c r="A22" t="s">
        <v>197</v>
      </c>
      <c r="B22" t="s">
        <v>48</v>
      </c>
      <c r="D22" s="40">
        <f t="shared" ref="D22:AI22" si="6">MIN(D18,MAX(0,D20-D21))</f>
        <v>0</v>
      </c>
      <c r="E22" s="40">
        <f t="shared" ca="1" si="6"/>
        <v>76906.09375</v>
      </c>
      <c r="F22" s="40">
        <f t="shared" ca="1" si="6"/>
        <v>128564.69835205079</v>
      </c>
      <c r="G22" s="40">
        <f t="shared" ca="1" si="6"/>
        <v>197803.25390817923</v>
      </c>
      <c r="H22" s="40">
        <f t="shared" ca="1" si="6"/>
        <v>194785.13735067699</v>
      </c>
      <c r="I22" s="40">
        <f t="shared" ca="1" si="6"/>
        <v>217189.76102818805</v>
      </c>
      <c r="J22" s="40">
        <f t="shared" ca="1" si="6"/>
        <v>231276.34938538272</v>
      </c>
      <c r="K22" s="40">
        <f t="shared" ca="1" si="6"/>
        <v>251024.2153095837</v>
      </c>
      <c r="L22" s="40">
        <f t="shared" ca="1" si="6"/>
        <v>258975.77532129642</v>
      </c>
      <c r="M22" s="40">
        <f t="shared" ca="1" si="6"/>
        <v>279960.09091824642</v>
      </c>
      <c r="N22" s="40">
        <f t="shared" ca="1" si="6"/>
        <v>301522.62477092841</v>
      </c>
      <c r="O22" s="40">
        <f t="shared" ca="1" si="6"/>
        <v>104366.78643341735</v>
      </c>
      <c r="P22" s="40">
        <f t="shared" ca="1" si="6"/>
        <v>120801.87334936438</v>
      </c>
      <c r="Q22" s="40">
        <f t="shared" ca="1" si="6"/>
        <v>129032.56937059574</v>
      </c>
      <c r="R22" s="40">
        <f t="shared" ca="1" si="6"/>
        <v>137567.04461838398</v>
      </c>
      <c r="S22" s="40">
        <f t="shared" ca="1" si="6"/>
        <v>146565.02758225054</v>
      </c>
      <c r="T22" s="40">
        <f t="shared" ca="1" si="6"/>
        <v>156031.48937475961</v>
      </c>
      <c r="U22" s="40">
        <f t="shared" ca="1" si="6"/>
        <v>161591.4983007079</v>
      </c>
      <c r="V22" s="40">
        <f t="shared" ca="1" si="6"/>
        <v>167569.36353247054</v>
      </c>
      <c r="W22" s="40">
        <f t="shared" ca="1" si="6"/>
        <v>173750.18270512018</v>
      </c>
      <c r="X22" s="40">
        <f t="shared" ca="1" si="6"/>
        <v>180140.88830055529</v>
      </c>
      <c r="Y22" s="40">
        <f t="shared" ca="1" si="6"/>
        <v>186748.95681191236</v>
      </c>
      <c r="Z22" s="40">
        <f t="shared" ca="1" si="6"/>
        <v>193669.7256037374</v>
      </c>
      <c r="AA22" s="40">
        <f t="shared" ca="1" si="6"/>
        <v>202556.54921701923</v>
      </c>
      <c r="AB22" s="40">
        <f t="shared" ca="1" si="6"/>
        <v>218865.185236427</v>
      </c>
      <c r="AC22" s="40">
        <f t="shared" ca="1" si="6"/>
        <v>226732.45782469586</v>
      </c>
      <c r="AD22" s="40">
        <f t="shared" ca="1" si="6"/>
        <v>245021.59598309034</v>
      </c>
      <c r="AE22" s="40">
        <f t="shared" ca="1" si="6"/>
        <v>265510.86152526084</v>
      </c>
      <c r="AF22" s="40">
        <f t="shared" ca="1" si="6"/>
        <v>294094.81227430329</v>
      </c>
      <c r="AG22" s="40">
        <f t="shared" ca="1" si="6"/>
        <v>312853.44172908179</v>
      </c>
      <c r="AH22" s="40">
        <f t="shared" ca="1" si="6"/>
        <v>320519.04227045644</v>
      </c>
      <c r="AI22" s="40">
        <f t="shared" ca="1" si="6"/>
        <v>335235.72698683199</v>
      </c>
      <c r="AJ22" s="40">
        <f t="shared" ref="AJ22:BA22" ca="1" si="7">MIN(AJ18,MAX(0,AJ20-AJ21))</f>
        <v>352357.96134938858</v>
      </c>
      <c r="AK22" s="40">
        <f t="shared" ca="1" si="7"/>
        <v>386492.62720172666</v>
      </c>
      <c r="AL22" s="40">
        <f t="shared" ca="1" si="7"/>
        <v>418907.78717913944</v>
      </c>
      <c r="AM22" s="40">
        <f t="shared" ca="1" si="7"/>
        <v>443292.63111250103</v>
      </c>
      <c r="AN22" s="40">
        <f t="shared" ca="1" si="7"/>
        <v>481020.73162943497</v>
      </c>
      <c r="AO22" s="40">
        <f t="shared" ca="1" si="7"/>
        <v>516423.78314814065</v>
      </c>
      <c r="AP22" s="40">
        <f t="shared" ca="1" si="7"/>
        <v>543222.14456053637</v>
      </c>
      <c r="AQ22" s="40">
        <f t="shared" ca="1" si="7"/>
        <v>585222.0773767503</v>
      </c>
      <c r="AR22" s="40">
        <f t="shared" ca="1" si="7"/>
        <v>629016.86561525334</v>
      </c>
      <c r="AS22" s="40">
        <f t="shared" ca="1" si="7"/>
        <v>674581.98607410304</v>
      </c>
      <c r="AT22" s="40">
        <f t="shared" ca="1" si="7"/>
        <v>705248.79880211363</v>
      </c>
      <c r="AU22" s="40">
        <f t="shared" ca="1" si="7"/>
        <v>722880.01877216646</v>
      </c>
      <c r="AV22" s="40">
        <f t="shared" ca="1" si="7"/>
        <v>740952.01924147061</v>
      </c>
      <c r="AW22" s="40">
        <f t="shared" ca="1" si="7"/>
        <v>759475.81972250738</v>
      </c>
      <c r="AX22" s="40">
        <f t="shared" ca="1" si="7"/>
        <v>778462.71521556994</v>
      </c>
      <c r="AY22" s="40">
        <f t="shared" ca="1" si="7"/>
        <v>797924.28309595922</v>
      </c>
      <c r="AZ22" s="40">
        <f t="shared" ca="1" si="7"/>
        <v>817872.39017335814</v>
      </c>
      <c r="BA22" s="40">
        <f t="shared" ca="1" si="7"/>
        <v>838319.19992769195</v>
      </c>
    </row>
    <row r="23" spans="1:53" x14ac:dyDescent="0.3">
      <c r="A23" t="s">
        <v>198</v>
      </c>
      <c r="B23" t="s">
        <v>48</v>
      </c>
      <c r="D23" s="40">
        <f ca="1">IF(D$6-MAX(1,cs_withdrawal_years)&lt;1,0,OFFSET($D$26,0,D$6-1-MAX(1,cs_withdrawal_years)))</f>
        <v>0</v>
      </c>
      <c r="E23" s="40">
        <f ca="1">IF(E$6-MAX(1,cs_withdrawal_years)&lt;1,0,OFFSET($D$26,0,E$6-1-MAX(1,cs_withdrawal_years)))</f>
        <v>0</v>
      </c>
      <c r="F23" s="40">
        <f ca="1">IF(F$6-MAX(1,cs_withdrawal_years)&lt;1,0,OFFSET($D$26,0,F$6-1-MAX(1,cs_withdrawal_years)))</f>
        <v>0</v>
      </c>
      <c r="G23" s="40">
        <f ca="1">IF(G$6-MAX(1,cs_withdrawal_years)&lt;1,0,OFFSET($D$26,0,G$6-1-MAX(1,cs_withdrawal_years)))</f>
        <v>0</v>
      </c>
      <c r="H23" s="40">
        <f ca="1">IF(H$6-MAX(1,cs_withdrawal_years)&lt;1,0,OFFSET($D$26,0,H$6-1-MAX(1,cs_withdrawal_years)))</f>
        <v>0</v>
      </c>
      <c r="I23" s="40">
        <f ca="1">IF(I$6-MAX(1,cs_withdrawal_years)&lt;1,0,OFFSET($D$26,0,I$6-1-MAX(1,cs_withdrawal_years)))</f>
        <v>0</v>
      </c>
      <c r="J23" s="40">
        <f ca="1">IF(J$6-MAX(1,cs_withdrawal_years)&lt;1,0,OFFSET($D$26,0,J$6-1-MAX(1,cs_withdrawal_years)))</f>
        <v>76906.09375</v>
      </c>
      <c r="K23" s="40">
        <f ca="1">IF(K$6-MAX(1,cs_withdrawal_years)&lt;1,0,OFFSET($D$26,0,K$6-1-MAX(1,cs_withdrawal_years)))</f>
        <v>205470.79210205079</v>
      </c>
      <c r="L23" s="40">
        <f ca="1">IF(L$6-MAX(1,cs_withdrawal_years)&lt;1,0,OFFSET($D$26,0,L$6-1-MAX(1,cs_withdrawal_years)))</f>
        <v>403274.04601023003</v>
      </c>
      <c r="M23" s="40">
        <f ca="1">IF(M$6-MAX(1,cs_withdrawal_years)&lt;1,0,OFFSET($D$26,0,M$6-1-MAX(1,cs_withdrawal_years)))</f>
        <v>598059.18336090702</v>
      </c>
      <c r="N23" s="40">
        <f ca="1">IF(N$6-MAX(1,cs_withdrawal_years)&lt;1,0,OFFSET($D$26,0,N$6-1-MAX(1,cs_withdrawal_years)))</f>
        <v>815248.94438909506</v>
      </c>
      <c r="O23" s="40">
        <f ca="1">IF(O$6-MAX(1,cs_withdrawal_years)&lt;1,0,OFFSET($D$26,0,O$6-1-MAX(1,cs_withdrawal_years)))</f>
        <v>1044987.1718994778</v>
      </c>
      <c r="P23" s="40">
        <f ca="1">IF(P$6-MAX(1,cs_withdrawal_years)&lt;1,0,OFFSET($D$26,0,P$6-1-MAX(1,cs_withdrawal_years)))</f>
        <v>1291901.9713670206</v>
      </c>
      <c r="Q23" s="40">
        <f ca="1">IF(Q$6-MAX(1,cs_withdrawal_years)&lt;1,0,OFFSET($D$26,0,Q$6-1-MAX(1,cs_withdrawal_years)))</f>
        <v>1542812.2657681124</v>
      </c>
      <c r="R23" s="40">
        <f ca="1">IF(R$6-MAX(1,cs_withdrawal_years)&lt;1,0,OFFSET($D$26,0,R$6-1-MAX(1,cs_withdrawal_years)))</f>
        <v>1810811.1730191407</v>
      </c>
      <c r="S23" s="40">
        <f ca="1">IF(S$6-MAX(1,cs_withdrawal_years)&lt;1,0,OFFSET($D$26,0,S$6-1-MAX(1,cs_withdrawal_years)))</f>
        <v>2096028.8189022872</v>
      </c>
      <c r="T23" s="40">
        <f ca="1">IF(T$6-MAX(1,cs_withdrawal_years)&lt;1,0,OFFSET($D$26,0,T$6-1-MAX(1,cs_withdrawal_years)))</f>
        <v>2179495.8618977149</v>
      </c>
      <c r="U23" s="40">
        <f ca="1">IF(U$6-MAX(1,cs_withdrawal_years)&lt;1,0,OFFSET($D$26,0,U$6-1-MAX(1,cs_withdrawal_years)))</f>
        <v>2274459.6958197388</v>
      </c>
      <c r="V23" s="40">
        <f ca="1">IF(V$6-MAX(1,cs_withdrawal_years)&lt;1,0,OFFSET($D$26,0,V$6-1-MAX(1,cs_withdrawal_years)))</f>
        <v>2372636.0198749723</v>
      </c>
      <c r="W23" s="40">
        <f ca="1">IF(W$6-MAX(1,cs_withdrawal_years)&lt;1,0,OFFSET($D$26,0,W$6-1-MAX(1,cs_withdrawal_years)))</f>
        <v>2473986.8410329735</v>
      </c>
      <c r="X23" s="40">
        <f ca="1">IF(X$6-MAX(1,cs_withdrawal_years)&lt;1,0,OFFSET($D$26,0,X$6-1-MAX(1,cs_withdrawal_years)))</f>
        <v>2578631.2922371784</v>
      </c>
      <c r="Y23" s="40">
        <f ca="1">IF(Y$6-MAX(1,cs_withdrawal_years)&lt;1,0,OFFSET($D$26,0,Y$6-1-MAX(1,cs_withdrawal_years)))</f>
        <v>2691072.8643739838</v>
      </c>
      <c r="Z23" s="40">
        <f ca="1">IF(Z$6-MAX(1,cs_withdrawal_years)&lt;1,0,OFFSET($D$26,0,Z$6-1-MAX(1,cs_withdrawal_years)))</f>
        <v>2807175.1687582969</v>
      </c>
      <c r="AA23" s="40">
        <f ca="1">IF(AA$6-MAX(1,cs_withdrawal_years)&lt;1,0,OFFSET($D$26,0,AA$6-1-MAX(1,cs_withdrawal_years)))</f>
        <v>2927291.811893268</v>
      </c>
      <c r="AB23" s="40">
        <f ca="1">IF(AB$6-MAX(1,cs_withdrawal_years)&lt;1,0,OFFSET($D$26,0,AB$6-1-MAX(1,cs_withdrawal_years)))</f>
        <v>3051562.2577777286</v>
      </c>
      <c r="AC23" s="40">
        <f ca="1">IF(AC$6-MAX(1,cs_withdrawal_years)&lt;1,0,OFFSET($D$26,0,AC$6-1-MAX(1,cs_withdrawal_years)))</f>
        <v>3180130.5202335403</v>
      </c>
      <c r="AD23" s="40">
        <f ca="1">IF(AD$6-MAX(1,cs_withdrawal_years)&lt;1,0,OFFSET($D$26,0,AD$6-1-MAX(1,cs_withdrawal_years)))</f>
        <v>3313058.019757973</v>
      </c>
      <c r="AE23" s="40">
        <f ca="1">IF(AE$6-MAX(1,cs_withdrawal_years)&lt;1,0,OFFSET($D$26,0,AE$6-1-MAX(1,cs_withdrawal_years)))</f>
        <v>3450584.2419865443</v>
      </c>
      <c r="AF23" s="40">
        <f ca="1">IF(AF$6-MAX(1,cs_withdrawal_years)&lt;1,0,OFFSET($D$26,0,AF$6-1-MAX(1,cs_withdrawal_years)))</f>
        <v>3594594.9549656981</v>
      </c>
      <c r="AG23" s="40">
        <f ca="1">IF(AG$6-MAX(1,cs_withdrawal_years)&lt;1,0,OFFSET($D$26,0,AG$6-1-MAX(1,cs_withdrawal_years)))</f>
        <v>3752428.8950465703</v>
      </c>
      <c r="AH23" s="40">
        <f ca="1">IF(AH$6-MAX(1,cs_withdrawal_years)&lt;1,0,OFFSET($D$26,0,AH$6-1-MAX(1,cs_withdrawal_years)))</f>
        <v>3915558.7424665955</v>
      </c>
      <c r="AI23" s="40">
        <f ca="1">IF(AI$6-MAX(1,cs_withdrawal_years)&lt;1,0,OFFSET($D$26,0,AI$6-1-MAX(1,cs_withdrawal_years)))</f>
        <v>4094319.1780545264</v>
      </c>
      <c r="AJ23" s="40">
        <f ca="1">IF(AJ$6-MAX(1,cs_withdrawal_years)&lt;1,0,OFFSET($D$26,0,AJ$6-1-MAX(1,cs_withdrawal_years)))</f>
        <v>4290818.3547400562</v>
      </c>
      <c r="AK23" s="40">
        <f ca="1">IF(AK$6-MAX(1,cs_withdrawal_years)&lt;1,0,OFFSET($D$26,0,AK$6-1-MAX(1,cs_withdrawal_years)))</f>
        <v>4513021.2679150458</v>
      </c>
      <c r="AL23" s="40">
        <f ca="1">IF(AL$6-MAX(1,cs_withdrawal_years)&lt;1,0,OFFSET($D$26,0,AL$6-1-MAX(1,cs_withdrawal_years)))</f>
        <v>4750826.1317431964</v>
      </c>
      <c r="AM23" s="40">
        <f ca="1">IF(AM$6-MAX(1,cs_withdrawal_years)&lt;1,0,OFFSET($D$26,0,AM$6-1-MAX(1,cs_withdrawal_years)))</f>
        <v>4993033.9991643205</v>
      </c>
      <c r="AN23" s="40">
        <f ca="1">IF(AN$6-MAX(1,cs_withdrawal_years)&lt;1,0,OFFSET($D$26,0,AN$6-1-MAX(1,cs_withdrawal_years)))</f>
        <v>5246383.3425900619</v>
      </c>
      <c r="AO23" s="40">
        <f ca="1">IF(AO$6-MAX(1,cs_withdrawal_years)&lt;1,0,OFFSET($D$26,0,AO$6-1-MAX(1,cs_withdrawal_years)))</f>
        <v>5512924.9368446497</v>
      </c>
      <c r="AP23" s="40">
        <f ca="1">IF(AP$6-MAX(1,cs_withdrawal_years)&lt;1,0,OFFSET($D$26,0,AP$6-1-MAX(1,cs_withdrawal_years)))</f>
        <v>5809157.1386880754</v>
      </c>
      <c r="AQ23" s="40">
        <f ca="1">IF(AQ$6-MAX(1,cs_withdrawal_years)&lt;1,0,OFFSET($D$26,0,AQ$6-1-MAX(1,cs_withdrawal_years)))</f>
        <v>6133048.4032323509</v>
      </c>
      <c r="AR23" s="40">
        <f ca="1">IF(AR$6-MAX(1,cs_withdrawal_years)&lt;1,0,OFFSET($D$26,0,AR$6-1-MAX(1,cs_withdrawal_years)))</f>
        <v>6476480.3543615658</v>
      </c>
      <c r="AS23" s="40">
        <f ca="1">IF(AS$6-MAX(1,cs_withdrawal_years)&lt;1,0,OFFSET($D$26,0,AS$6-1-MAX(1,cs_withdrawal_years)))</f>
        <v>6852573.4191391999</v>
      </c>
      <c r="AT23" s="40">
        <f ca="1">IF(AT$6-MAX(1,cs_withdrawal_years)&lt;1,0,OFFSET($D$26,0,AT$6-1-MAX(1,cs_withdrawal_years)))</f>
        <v>7258738.7035504477</v>
      </c>
      <c r="AU23" s="40">
        <f ca="1">IF(AU$6-MAX(1,cs_withdrawal_years)&lt;1,0,OFFSET($D$26,0,AU$6-1-MAX(1,cs_withdrawal_years)))</f>
        <v>7685777.7053372227</v>
      </c>
      <c r="AV23" s="40">
        <f ca="1">IF(AV$6-MAX(1,cs_withdrawal_years)&lt;1,0,OFFSET($D$26,0,AV$6-1-MAX(1,cs_withdrawal_years)))</f>
        <v>8148338.8146493258</v>
      </c>
      <c r="AW23" s="40">
        <f ca="1">IF(AW$6-MAX(1,cs_withdrawal_years)&lt;1,0,OFFSET($D$26,0,AW$6-1-MAX(1,cs_withdrawal_years)))</f>
        <v>8647826.073177347</v>
      </c>
      <c r="AX23" s="40">
        <f ca="1">IF(AX$6-MAX(1,cs_withdrawal_years)&lt;1,0,OFFSET($D$26,0,AX$6-1-MAX(1,cs_withdrawal_years)))</f>
        <v>9185356.5908686668</v>
      </c>
      <c r="AY23" s="40">
        <f ca="1">IF(AY$6-MAX(1,cs_withdrawal_years)&lt;1,0,OFFSET($D$26,0,AY$6-1-MAX(1,cs_withdrawal_years)))</f>
        <v>9745430.6155997701</v>
      </c>
      <c r="AZ23" s="40">
        <f ca="1">IF(AZ$6-MAX(1,cs_withdrawal_years)&lt;1,0,OFFSET($D$26,0,AZ$6-1-MAX(1,cs_withdrawal_years)))</f>
        <v>10314595.080265192</v>
      </c>
      <c r="BA23" s="40">
        <f ca="1">IF(BA$6-MAX(1,cs_withdrawal_years)&lt;1,0,OFFSET($D$26,0,BA$6-1-MAX(1,cs_withdrawal_years)))</f>
        <v>10892580.323213676</v>
      </c>
    </row>
    <row r="24" spans="1:53" x14ac:dyDescent="0.3">
      <c r="A24" t="s">
        <v>199</v>
      </c>
      <c r="B24" t="s">
        <v>48</v>
      </c>
      <c r="D24" s="40">
        <f ca="1">-MIN(D21,D23*cs_withdrawal_rate)</f>
        <v>0</v>
      </c>
      <c r="E24" s="40">
        <f ca="1">-MIN(E21,E23*cs_withdrawal_rate)</f>
        <v>0</v>
      </c>
      <c r="F24" s="40">
        <f ca="1">-MIN(F21,F23*cs_withdrawal_rate)</f>
        <v>0</v>
      </c>
      <c r="G24" s="40">
        <f ca="1">-MIN(G21,G23*cs_withdrawal_rate)</f>
        <v>0</v>
      </c>
      <c r="H24" s="40">
        <f ca="1">-MIN(H21,H23*cs_withdrawal_rate)</f>
        <v>0</v>
      </c>
      <c r="I24" s="40">
        <f ca="1">-MIN(I21,I23*cs_withdrawal_rate)</f>
        <v>0</v>
      </c>
      <c r="J24" s="40">
        <f ca="1">-MIN(J21,J23*cs_withdrawal_rate)</f>
        <v>-1538.121875</v>
      </c>
      <c r="K24" s="40">
        <f ca="1">-MIN(K21,K23*cs_withdrawal_rate)</f>
        <v>-4109.4158420410158</v>
      </c>
      <c r="L24" s="40">
        <f ca="1">-MIN(L21,L23*cs_withdrawal_rate)</f>
        <v>-8065.4809202046008</v>
      </c>
      <c r="M24" s="40">
        <f ca="1">-MIN(M21,M23*cs_withdrawal_rate)</f>
        <v>-11961.18366721814</v>
      </c>
      <c r="N24" s="40">
        <f ca="1">-MIN(N21,N23*cs_withdrawal_rate)</f>
        <v>-16304.978887781901</v>
      </c>
      <c r="O24" s="40">
        <f ca="1">-MIN(O21,O23*cs_withdrawal_rate)</f>
        <v>-20899.743437989557</v>
      </c>
      <c r="P24" s="40">
        <f ca="1">-MIN(P21,P23*cs_withdrawal_rate)</f>
        <v>-25838.039427340413</v>
      </c>
      <c r="Q24" s="40">
        <f ca="1">-MIN(Q21,Q23*cs_withdrawal_rate)</f>
        <v>-30856.245315362248</v>
      </c>
      <c r="R24" s="40">
        <f ca="1">-MIN(R21,R23*cs_withdrawal_rate)</f>
        <v>-36216.223460382818</v>
      </c>
      <c r="S24" s="40">
        <f ca="1">-MIN(S21,S23*cs_withdrawal_rate)</f>
        <v>-41920.576378045742</v>
      </c>
      <c r="T24" s="40">
        <f ca="1">-MIN(T21,T23*cs_withdrawal_rate)</f>
        <v>-43589.917237954302</v>
      </c>
      <c r="U24" s="40">
        <f ca="1">-MIN(U21,U23*cs_withdrawal_rate)</f>
        <v>-45489.193916394775</v>
      </c>
      <c r="V24" s="40">
        <f ca="1">-MIN(V21,V23*cs_withdrawal_rate)</f>
        <v>-47452.720397499448</v>
      </c>
      <c r="W24" s="40">
        <f ca="1">-MIN(W21,W23*cs_withdrawal_rate)</f>
        <v>-49479.736820659469</v>
      </c>
      <c r="X24" s="40">
        <f ca="1">-MIN(X21,X23*cs_withdrawal_rate)</f>
        <v>-51572.625844743568</v>
      </c>
      <c r="Y24" s="40">
        <f ca="1">-MIN(Y21,Y23*cs_withdrawal_rate)</f>
        <v>-53821.45728747968</v>
      </c>
      <c r="Z24" s="40">
        <f ca="1">-MIN(Z21,Z23*cs_withdrawal_rate)</f>
        <v>-56143.503375165936</v>
      </c>
      <c r="AA24" s="40">
        <f ca="1">-MIN(AA21,AA23*cs_withdrawal_rate)</f>
        <v>-58545.836237865362</v>
      </c>
      <c r="AB24" s="40">
        <f ca="1">-MIN(AB21,AB23*cs_withdrawal_rate)</f>
        <v>-61031.24515555457</v>
      </c>
      <c r="AC24" s="40">
        <f ca="1">-MIN(AC21,AC23*cs_withdrawal_rate)</f>
        <v>-63602.610404670806</v>
      </c>
      <c r="AD24" s="40">
        <f ca="1">-MIN(AD21,AD23*cs_withdrawal_rate)</f>
        <v>-66261.160395159459</v>
      </c>
      <c r="AE24" s="40">
        <f ca="1">-MIN(AE21,AE23*cs_withdrawal_rate)</f>
        <v>-69011.684839730893</v>
      </c>
      <c r="AF24" s="40">
        <f ca="1">-MIN(AF21,AF23*cs_withdrawal_rate)</f>
        <v>-71891.89909931396</v>
      </c>
      <c r="AG24" s="40">
        <f ca="1">-MIN(AG21,AG23*cs_withdrawal_rate)</f>
        <v>-75048.577900931414</v>
      </c>
      <c r="AH24" s="40">
        <f ca="1">-MIN(AH21,AH23*cs_withdrawal_rate)</f>
        <v>-78311.174849331917</v>
      </c>
      <c r="AI24" s="40">
        <f ca="1">-MIN(AI21,AI23*cs_withdrawal_rate)</f>
        <v>-81886.383561090537</v>
      </c>
      <c r="AJ24" s="40">
        <f ca="1">-MIN(AJ21,AJ23*cs_withdrawal_rate)</f>
        <v>-85816.367094801128</v>
      </c>
      <c r="AK24" s="40">
        <f ca="1">-MIN(AK21,AK23*cs_withdrawal_rate)</f>
        <v>-90260.425358300912</v>
      </c>
      <c r="AL24" s="40">
        <f ca="1">-MIN(AL21,AL23*cs_withdrawal_rate)</f>
        <v>-95016.522634863926</v>
      </c>
      <c r="AM24" s="40">
        <f ca="1">-MIN(AM21,AM23*cs_withdrawal_rate)</f>
        <v>-99860.67998328642</v>
      </c>
      <c r="AN24" s="40">
        <f ca="1">-MIN(AN21,AN23*cs_withdrawal_rate)</f>
        <v>-104927.66685180124</v>
      </c>
      <c r="AO24" s="40">
        <f ca="1">-MIN(AO21,AO23*cs_withdrawal_rate)</f>
        <v>-110258.498736893</v>
      </c>
      <c r="AP24" s="40">
        <f ca="1">-MIN(AP21,AP23*cs_withdrawal_rate)</f>
        <v>-116183.14277376152</v>
      </c>
      <c r="AQ24" s="40">
        <f ca="1">-MIN(AQ21,AQ23*cs_withdrawal_rate)</f>
        <v>-122660.96806464702</v>
      </c>
      <c r="AR24" s="40">
        <f ca="1">-MIN(AR21,AR23*cs_withdrawal_rate)</f>
        <v>-129529.60708723131</v>
      </c>
      <c r="AS24" s="40">
        <f ca="1">-MIN(AS21,AS23*cs_withdrawal_rate)</f>
        <v>-137051.46838278399</v>
      </c>
      <c r="AT24" s="40">
        <f ca="1">-MIN(AT21,AT23*cs_withdrawal_rate)</f>
        <v>-145174.77407100896</v>
      </c>
      <c r="AU24" s="40">
        <f ca="1">-MIN(AU21,AU23*cs_withdrawal_rate)</f>
        <v>-153715.55410674444</v>
      </c>
      <c r="AV24" s="40">
        <f ca="1">-MIN(AV21,AV23*cs_withdrawal_rate)</f>
        <v>-162966.77629298653</v>
      </c>
      <c r="AW24" s="40">
        <f ca="1">-MIN(AW21,AW23*cs_withdrawal_rate)</f>
        <v>-172956.52146354693</v>
      </c>
      <c r="AX24" s="40">
        <f ca="1">-MIN(AX21,AX23*cs_withdrawal_rate)</f>
        <v>-183707.13181737333</v>
      </c>
      <c r="AY24" s="40">
        <f ca="1">-MIN(AY21,AY23*cs_withdrawal_rate)</f>
        <v>-194908.61231199541</v>
      </c>
      <c r="AZ24" s="40">
        <f ca="1">-MIN(AZ21,AZ23*cs_withdrawal_rate)</f>
        <v>-206291.90160530386</v>
      </c>
      <c r="BA24" s="40">
        <f ca="1">-MIN(BA21,BA23*cs_withdrawal_rate)</f>
        <v>-217851.60646427353</v>
      </c>
    </row>
    <row r="25" spans="1:53" x14ac:dyDescent="0.3">
      <c r="A25" t="s">
        <v>200</v>
      </c>
      <c r="B25" t="s">
        <v>48</v>
      </c>
      <c r="D25" s="40">
        <f>-D22*cs_issue_cost_pct</f>
        <v>0</v>
      </c>
      <c r="E25" s="40">
        <f ca="1">-E22*cs_issue_cost_pct</f>
        <v>-3845.3046875</v>
      </c>
      <c r="F25" s="40">
        <f ca="1">-F22*cs_issue_cost_pct</f>
        <v>-6428.23491760254</v>
      </c>
      <c r="G25" s="40">
        <f ca="1">-G22*cs_issue_cost_pct</f>
        <v>-9890.1626954089625</v>
      </c>
      <c r="H25" s="40">
        <f ca="1">-H22*cs_issue_cost_pct</f>
        <v>-9739.2568675338498</v>
      </c>
      <c r="I25" s="40">
        <f ca="1">-I22*cs_issue_cost_pct</f>
        <v>-10859.488051409404</v>
      </c>
      <c r="J25" s="40">
        <f ca="1">-J22*cs_issue_cost_pct</f>
        <v>-11563.817469269137</v>
      </c>
      <c r="K25" s="40">
        <f ca="1">-K22*cs_issue_cost_pct</f>
        <v>-12551.210765479185</v>
      </c>
      <c r="L25" s="40">
        <f ca="1">-L22*cs_issue_cost_pct</f>
        <v>-12948.788766064821</v>
      </c>
      <c r="M25" s="40">
        <f ca="1">-M22*cs_issue_cost_pct</f>
        <v>-13998.004545912321</v>
      </c>
      <c r="N25" s="40">
        <f ca="1">-N22*cs_issue_cost_pct</f>
        <v>-15076.131238546421</v>
      </c>
      <c r="O25" s="40">
        <f ca="1">-O22*cs_issue_cost_pct</f>
        <v>-5218.3393216708682</v>
      </c>
      <c r="P25" s="40">
        <f ca="1">-P22*cs_issue_cost_pct</f>
        <v>-6040.0936674682198</v>
      </c>
      <c r="Q25" s="40">
        <f ca="1">-Q22*cs_issue_cost_pct</f>
        <v>-6451.6284685297869</v>
      </c>
      <c r="R25" s="40">
        <f ca="1">-R22*cs_issue_cost_pct</f>
        <v>-6878.3522309191994</v>
      </c>
      <c r="S25" s="40">
        <f ca="1">-S22*cs_issue_cost_pct</f>
        <v>-7328.2513791125275</v>
      </c>
      <c r="T25" s="40">
        <f ca="1">-T22*cs_issue_cost_pct</f>
        <v>-7801.5744687379811</v>
      </c>
      <c r="U25" s="40">
        <f ca="1">-U22*cs_issue_cost_pct</f>
        <v>-8079.574915035395</v>
      </c>
      <c r="V25" s="40">
        <f ca="1">-V22*cs_issue_cost_pct</f>
        <v>-8378.4681766235281</v>
      </c>
      <c r="W25" s="40">
        <f ca="1">-W22*cs_issue_cost_pct</f>
        <v>-8687.5091352560103</v>
      </c>
      <c r="X25" s="40">
        <f ca="1">-X22*cs_issue_cost_pct</f>
        <v>-9007.0444150277654</v>
      </c>
      <c r="Y25" s="40">
        <f ca="1">-Y22*cs_issue_cost_pct</f>
        <v>-9337.4478405956179</v>
      </c>
      <c r="Z25" s="40">
        <f ca="1">-Z22*cs_issue_cost_pct</f>
        <v>-9683.4862801868712</v>
      </c>
      <c r="AA25" s="40">
        <f ca="1">-AA22*cs_issue_cost_pct</f>
        <v>-10127.827460850962</v>
      </c>
      <c r="AB25" s="40">
        <f ca="1">-AB22*cs_issue_cost_pct</f>
        <v>-10943.259261821351</v>
      </c>
      <c r="AC25" s="40">
        <f ca="1">-AC22*cs_issue_cost_pct</f>
        <v>-11336.622891234794</v>
      </c>
      <c r="AD25" s="40">
        <f ca="1">-AD22*cs_issue_cost_pct</f>
        <v>-12251.079799154519</v>
      </c>
      <c r="AE25" s="40">
        <f ca="1">-AE22*cs_issue_cost_pct</f>
        <v>-13275.543076263042</v>
      </c>
      <c r="AF25" s="40">
        <f ca="1">-AF22*cs_issue_cost_pct</f>
        <v>-14704.740613715165</v>
      </c>
      <c r="AG25" s="40">
        <f ca="1">-AG22*cs_issue_cost_pct</f>
        <v>-15642.672086454091</v>
      </c>
      <c r="AH25" s="40">
        <f ca="1">-AH22*cs_issue_cost_pct</f>
        <v>-16025.952113522822</v>
      </c>
      <c r="AI25" s="40">
        <f ca="1">-AI22*cs_issue_cost_pct</f>
        <v>-16761.786349341601</v>
      </c>
      <c r="AJ25" s="40">
        <f ca="1">-AJ22*cs_issue_cost_pct</f>
        <v>-17617.898067469428</v>
      </c>
      <c r="AK25" s="40">
        <f ca="1">-AK22*cs_issue_cost_pct</f>
        <v>-19324.631360086332</v>
      </c>
      <c r="AL25" s="40">
        <f ca="1">-AL22*cs_issue_cost_pct</f>
        <v>-20945.389358956974</v>
      </c>
      <c r="AM25" s="40">
        <f ca="1">-AM22*cs_issue_cost_pct</f>
        <v>-22164.631555625052</v>
      </c>
      <c r="AN25" s="40">
        <f ca="1">-AN22*cs_issue_cost_pct</f>
        <v>-24051.036581471752</v>
      </c>
      <c r="AO25" s="40">
        <f ca="1">-AO22*cs_issue_cost_pct</f>
        <v>-25821.189157407032</v>
      </c>
      <c r="AP25" s="40">
        <f ca="1">-AP22*cs_issue_cost_pct</f>
        <v>-27161.10722802682</v>
      </c>
      <c r="AQ25" s="40">
        <f ca="1">-AQ22*cs_issue_cost_pct</f>
        <v>-29261.103868837516</v>
      </c>
      <c r="AR25" s="40">
        <f ca="1">-AR22*cs_issue_cost_pct</f>
        <v>-31450.843280762667</v>
      </c>
      <c r="AS25" s="40">
        <f ca="1">-AS22*cs_issue_cost_pct</f>
        <v>-33729.099303705152</v>
      </c>
      <c r="AT25" s="40">
        <f ca="1">-AT22*cs_issue_cost_pct</f>
        <v>-35262.43994010568</v>
      </c>
      <c r="AU25" s="40">
        <f ca="1">-AU22*cs_issue_cost_pct</f>
        <v>-36144.000938608326</v>
      </c>
      <c r="AV25" s="40">
        <f ca="1">-AV22*cs_issue_cost_pct</f>
        <v>-37047.600962073535</v>
      </c>
      <c r="AW25" s="40">
        <f ca="1">-AW22*cs_issue_cost_pct</f>
        <v>-37973.790986125372</v>
      </c>
      <c r="AX25" s="40">
        <f ca="1">-AX22*cs_issue_cost_pct</f>
        <v>-38923.135760778496</v>
      </c>
      <c r="AY25" s="40">
        <f ca="1">-AY22*cs_issue_cost_pct</f>
        <v>-39896.214154797963</v>
      </c>
      <c r="AZ25" s="40">
        <f ca="1">-AZ22*cs_issue_cost_pct</f>
        <v>-40893.619508667907</v>
      </c>
      <c r="BA25" s="40">
        <f ca="1">-BA22*cs_issue_cost_pct</f>
        <v>-41915.959996384598</v>
      </c>
    </row>
    <row r="26" spans="1:53" x14ac:dyDescent="0.3">
      <c r="A26" s="3" t="s">
        <v>201</v>
      </c>
      <c r="B26" s="3" t="s">
        <v>48</v>
      </c>
      <c r="C26" s="3"/>
      <c r="D26" s="41">
        <f t="shared" ref="D26:AI26" ca="1" si="8">D21+D22+D24</f>
        <v>0</v>
      </c>
      <c r="E26" s="41">
        <f t="shared" ca="1" si="8"/>
        <v>76906.09375</v>
      </c>
      <c r="F26" s="41">
        <f t="shared" ca="1" si="8"/>
        <v>205470.79210205079</v>
      </c>
      <c r="G26" s="41">
        <f t="shared" ca="1" si="8"/>
        <v>403274.04601023003</v>
      </c>
      <c r="H26" s="41">
        <f t="shared" ca="1" si="8"/>
        <v>598059.18336090702</v>
      </c>
      <c r="I26" s="41">
        <f t="shared" ca="1" si="8"/>
        <v>815248.94438909506</v>
      </c>
      <c r="J26" s="41">
        <f t="shared" ca="1" si="8"/>
        <v>1044987.1718994778</v>
      </c>
      <c r="K26" s="41">
        <f t="shared" ca="1" si="8"/>
        <v>1291901.9713670206</v>
      </c>
      <c r="L26" s="41">
        <f t="shared" ca="1" si="8"/>
        <v>1542812.2657681124</v>
      </c>
      <c r="M26" s="41">
        <f t="shared" ca="1" si="8"/>
        <v>1810811.1730191407</v>
      </c>
      <c r="N26" s="41">
        <f t="shared" ca="1" si="8"/>
        <v>2096028.8189022872</v>
      </c>
      <c r="O26" s="41">
        <f t="shared" ca="1" si="8"/>
        <v>2179495.8618977149</v>
      </c>
      <c r="P26" s="41">
        <f t="shared" ca="1" si="8"/>
        <v>2274459.6958197388</v>
      </c>
      <c r="Q26" s="41">
        <f t="shared" ca="1" si="8"/>
        <v>2372636.0198749723</v>
      </c>
      <c r="R26" s="41">
        <f t="shared" ca="1" si="8"/>
        <v>2473986.8410329735</v>
      </c>
      <c r="S26" s="41">
        <f t="shared" ca="1" si="8"/>
        <v>2578631.2922371784</v>
      </c>
      <c r="T26" s="41">
        <f t="shared" ca="1" si="8"/>
        <v>2691072.8643739838</v>
      </c>
      <c r="U26" s="41">
        <f t="shared" ca="1" si="8"/>
        <v>2807175.1687582969</v>
      </c>
      <c r="V26" s="41">
        <f t="shared" ca="1" si="8"/>
        <v>2927291.811893268</v>
      </c>
      <c r="W26" s="41">
        <f t="shared" ca="1" si="8"/>
        <v>3051562.2577777286</v>
      </c>
      <c r="X26" s="41">
        <f t="shared" ca="1" si="8"/>
        <v>3180130.5202335403</v>
      </c>
      <c r="Y26" s="41">
        <f t="shared" ca="1" si="8"/>
        <v>3313058.019757973</v>
      </c>
      <c r="Z26" s="41">
        <f t="shared" ca="1" si="8"/>
        <v>3450584.2419865443</v>
      </c>
      <c r="AA26" s="41">
        <f t="shared" ca="1" si="8"/>
        <v>3594594.9549656981</v>
      </c>
      <c r="AB26" s="41">
        <f t="shared" ca="1" si="8"/>
        <v>3752428.8950465703</v>
      </c>
      <c r="AC26" s="41">
        <f t="shared" ca="1" si="8"/>
        <v>3915558.7424665955</v>
      </c>
      <c r="AD26" s="41">
        <f t="shared" ca="1" si="8"/>
        <v>4094319.1780545264</v>
      </c>
      <c r="AE26" s="41">
        <f t="shared" ca="1" si="8"/>
        <v>4290818.3547400562</v>
      </c>
      <c r="AF26" s="41">
        <f t="shared" ca="1" si="8"/>
        <v>4513021.2679150458</v>
      </c>
      <c r="AG26" s="41">
        <f t="shared" ca="1" si="8"/>
        <v>4750826.1317431964</v>
      </c>
      <c r="AH26" s="41">
        <f t="shared" ca="1" si="8"/>
        <v>4993033.9991643205</v>
      </c>
      <c r="AI26" s="41">
        <f t="shared" ca="1" si="8"/>
        <v>5246383.3425900619</v>
      </c>
      <c r="AJ26" s="41">
        <f t="shared" ref="AJ26:BA26" ca="1" si="9">AJ21+AJ22+AJ24</f>
        <v>5512924.9368446497</v>
      </c>
      <c r="AK26" s="41">
        <f t="shared" ca="1" si="9"/>
        <v>5809157.1386880754</v>
      </c>
      <c r="AL26" s="41">
        <f t="shared" ca="1" si="9"/>
        <v>6133048.4032323509</v>
      </c>
      <c r="AM26" s="41">
        <f t="shared" ca="1" si="9"/>
        <v>6476480.3543615658</v>
      </c>
      <c r="AN26" s="41">
        <f t="shared" ca="1" si="9"/>
        <v>6852573.4191391999</v>
      </c>
      <c r="AO26" s="41">
        <f t="shared" ca="1" si="9"/>
        <v>7258738.7035504477</v>
      </c>
      <c r="AP26" s="41">
        <f t="shared" ca="1" si="9"/>
        <v>7685777.7053372227</v>
      </c>
      <c r="AQ26" s="41">
        <f t="shared" ca="1" si="9"/>
        <v>8148338.8146493258</v>
      </c>
      <c r="AR26" s="41">
        <f t="shared" ca="1" si="9"/>
        <v>8647826.073177347</v>
      </c>
      <c r="AS26" s="41">
        <f t="shared" ca="1" si="9"/>
        <v>9185356.5908686668</v>
      </c>
      <c r="AT26" s="41">
        <f t="shared" ca="1" si="9"/>
        <v>9745430.6155997701</v>
      </c>
      <c r="AU26" s="41">
        <f t="shared" ca="1" si="9"/>
        <v>10314595.080265192</v>
      </c>
      <c r="AV26" s="41">
        <f t="shared" ca="1" si="9"/>
        <v>10892580.323213676</v>
      </c>
      <c r="AW26" s="41">
        <f t="shared" ca="1" si="9"/>
        <v>11479099.621472636</v>
      </c>
      <c r="AX26" s="41">
        <f t="shared" ca="1" si="9"/>
        <v>12073855.204870833</v>
      </c>
      <c r="AY26" s="41">
        <f t="shared" ca="1" si="9"/>
        <v>12676870.875654798</v>
      </c>
      <c r="AZ26" s="41">
        <f t="shared" ca="1" si="9"/>
        <v>13288451.364222853</v>
      </c>
      <c r="BA26" s="41">
        <f t="shared" ca="1" si="9"/>
        <v>13908918.95768627</v>
      </c>
    </row>
    <row r="27" spans="1:53" x14ac:dyDescent="0.3">
      <c r="A27" t="s">
        <v>202</v>
      </c>
      <c r="B27" t="s">
        <v>11</v>
      </c>
      <c r="D27" s="28">
        <f>cs_dividend_rate</f>
        <v>0.03</v>
      </c>
      <c r="E27" s="28">
        <f>cs_dividend_rate</f>
        <v>0.03</v>
      </c>
      <c r="F27" s="28">
        <f>cs_dividend_rate</f>
        <v>0.03</v>
      </c>
      <c r="G27" s="28">
        <f>cs_dividend_rate</f>
        <v>0.03</v>
      </c>
      <c r="H27" s="28">
        <f>cs_dividend_rate</f>
        <v>0.03</v>
      </c>
      <c r="I27" s="28">
        <f>cs_dividend_rate</f>
        <v>0.03</v>
      </c>
      <c r="J27" s="28">
        <f>cs_dividend_rate</f>
        <v>0.03</v>
      </c>
      <c r="K27" s="28">
        <f>cs_dividend_rate</f>
        <v>0.03</v>
      </c>
      <c r="L27" s="28">
        <f>cs_dividend_rate</f>
        <v>0.03</v>
      </c>
      <c r="M27" s="28">
        <f>cs_dividend_rate</f>
        <v>0.03</v>
      </c>
      <c r="N27" s="28">
        <f>cs_dividend_rate</f>
        <v>0.03</v>
      </c>
      <c r="O27" s="28">
        <f>cs_dividend_rate</f>
        <v>0.03</v>
      </c>
      <c r="P27" s="28">
        <f>cs_dividend_rate</f>
        <v>0.03</v>
      </c>
      <c r="Q27" s="28">
        <f>cs_dividend_rate</f>
        <v>0.03</v>
      </c>
      <c r="R27" s="28">
        <f>cs_dividend_rate</f>
        <v>0.03</v>
      </c>
      <c r="S27" s="28">
        <f>cs_dividend_rate</f>
        <v>0.03</v>
      </c>
      <c r="T27" s="28">
        <f>cs_dividend_rate</f>
        <v>0.03</v>
      </c>
      <c r="U27" s="28">
        <f>cs_dividend_rate</f>
        <v>0.03</v>
      </c>
      <c r="V27" s="28">
        <f>cs_dividend_rate</f>
        <v>0.03</v>
      </c>
      <c r="W27" s="28">
        <f>cs_dividend_rate</f>
        <v>0.03</v>
      </c>
      <c r="X27" s="28">
        <f>cs_dividend_rate</f>
        <v>0.03</v>
      </c>
      <c r="Y27" s="28">
        <f>cs_dividend_rate</f>
        <v>0.03</v>
      </c>
      <c r="Z27" s="28">
        <f>cs_dividend_rate</f>
        <v>0.03</v>
      </c>
      <c r="AA27" s="28">
        <f>cs_dividend_rate</f>
        <v>0.03</v>
      </c>
      <c r="AB27" s="28">
        <f>cs_dividend_rate</f>
        <v>0.03</v>
      </c>
      <c r="AC27" s="28">
        <f>cs_dividend_rate</f>
        <v>0.03</v>
      </c>
      <c r="AD27" s="28">
        <f>cs_dividend_rate</f>
        <v>0.03</v>
      </c>
      <c r="AE27" s="28">
        <f>cs_dividend_rate</f>
        <v>0.03</v>
      </c>
      <c r="AF27" s="28">
        <f>cs_dividend_rate</f>
        <v>0.03</v>
      </c>
      <c r="AG27" s="28">
        <f>cs_dividend_rate</f>
        <v>0.03</v>
      </c>
      <c r="AH27" s="28">
        <f>cs_dividend_rate</f>
        <v>0.03</v>
      </c>
      <c r="AI27" s="28">
        <f>cs_dividend_rate</f>
        <v>0.03</v>
      </c>
      <c r="AJ27" s="28">
        <f>cs_dividend_rate</f>
        <v>0.03</v>
      </c>
      <c r="AK27" s="28">
        <f>cs_dividend_rate</f>
        <v>0.03</v>
      </c>
      <c r="AL27" s="28">
        <f>cs_dividend_rate</f>
        <v>0.03</v>
      </c>
      <c r="AM27" s="28">
        <f>cs_dividend_rate</f>
        <v>0.03</v>
      </c>
      <c r="AN27" s="28">
        <f>cs_dividend_rate</f>
        <v>0.03</v>
      </c>
      <c r="AO27" s="28">
        <f>cs_dividend_rate</f>
        <v>0.03</v>
      </c>
      <c r="AP27" s="28">
        <f>cs_dividend_rate</f>
        <v>0.03</v>
      </c>
      <c r="AQ27" s="28">
        <f>cs_dividend_rate</f>
        <v>0.03</v>
      </c>
      <c r="AR27" s="28">
        <f>cs_dividend_rate</f>
        <v>0.03</v>
      </c>
      <c r="AS27" s="28">
        <f>cs_dividend_rate</f>
        <v>0.03</v>
      </c>
      <c r="AT27" s="28">
        <f>cs_dividend_rate</f>
        <v>0.03</v>
      </c>
      <c r="AU27" s="28">
        <f>cs_dividend_rate</f>
        <v>0.03</v>
      </c>
      <c r="AV27" s="28">
        <f>cs_dividend_rate</f>
        <v>0.03</v>
      </c>
      <c r="AW27" s="28">
        <f>cs_dividend_rate</f>
        <v>0.03</v>
      </c>
      <c r="AX27" s="28">
        <f>cs_dividend_rate</f>
        <v>0.03</v>
      </c>
      <c r="AY27" s="28">
        <f>cs_dividend_rate</f>
        <v>0.03</v>
      </c>
      <c r="AZ27" s="28">
        <f>cs_dividend_rate</f>
        <v>0.03</v>
      </c>
      <c r="BA27" s="28">
        <f>cs_dividend_rate</f>
        <v>0.03</v>
      </c>
    </row>
    <row r="28" spans="1:53" x14ac:dyDescent="0.3">
      <c r="A28" t="s">
        <v>203</v>
      </c>
      <c r="B28" t="s">
        <v>48</v>
      </c>
      <c r="D28" s="40">
        <f ca="1">MIN(D21*D27,MAX(0,'Financial Statements'!D23))</f>
        <v>0</v>
      </c>
      <c r="E28" s="40">
        <f ca="1">MIN(E21*E27,MAX(0,'Financial Statements'!E23))</f>
        <v>0</v>
      </c>
      <c r="F28" s="40">
        <f ca="1">MIN(F21*F27,MAX(0,'Financial Statements'!F23))</f>
        <v>2307.1828124999997</v>
      </c>
      <c r="G28" s="40">
        <f ca="1">MIN(G21*G27,MAX(0,'Financial Statements'!G23))</f>
        <v>6164.1237630615233</v>
      </c>
      <c r="H28" s="40">
        <f ca="1">MIN(H21*H27,MAX(0,'Financial Statements'!H23))</f>
        <v>1278.9368376928833</v>
      </c>
      <c r="I28" s="40">
        <f ca="1">MIN(I21*I27,MAX(0,'Financial Statements'!I23))</f>
        <v>0</v>
      </c>
      <c r="J28" s="40">
        <f ca="1">MIN(J21*J27,MAX(0,'Financial Statements'!J23))</f>
        <v>0</v>
      </c>
      <c r="K28" s="40">
        <f ca="1">MIN(K21*K27,MAX(0,'Financial Statements'!K23))</f>
        <v>0</v>
      </c>
      <c r="L28" s="40">
        <f ca="1">MIN(L21*L27,MAX(0,'Financial Statements'!L23))</f>
        <v>0</v>
      </c>
      <c r="M28" s="40">
        <f ca="1">MIN(M21*M27,MAX(0,'Financial Statements'!M23))</f>
        <v>0</v>
      </c>
      <c r="N28" s="40">
        <f ca="1">MIN(N21*N27,MAX(0,'Financial Statements'!N23))</f>
        <v>0</v>
      </c>
      <c r="O28" s="40">
        <f ca="1">MIN(O21*O27,MAX(0,'Financial Statements'!O23))</f>
        <v>0</v>
      </c>
      <c r="P28" s="40">
        <f ca="1">MIN(P21*P27,MAX(0,'Financial Statements'!P23))</f>
        <v>0</v>
      </c>
      <c r="Q28" s="40">
        <f ca="1">MIN(Q21*Q27,MAX(0,'Financial Statements'!Q23))</f>
        <v>0</v>
      </c>
      <c r="R28" s="40">
        <f ca="1">MIN(R21*R27,MAX(0,'Financial Statements'!R23))</f>
        <v>0</v>
      </c>
      <c r="S28" s="40">
        <f ca="1">MIN(S21*S27,MAX(0,'Financial Statements'!S23))</f>
        <v>0</v>
      </c>
      <c r="T28" s="40">
        <f ca="1">MIN(T21*T27,MAX(0,'Financial Statements'!T23))</f>
        <v>0</v>
      </c>
      <c r="U28" s="40">
        <f ca="1">MIN(U21*U27,MAX(0,'Financial Statements'!U23))</f>
        <v>0</v>
      </c>
      <c r="V28" s="40">
        <f ca="1">MIN(V21*V27,MAX(0,'Financial Statements'!V23))</f>
        <v>0</v>
      </c>
      <c r="W28" s="40">
        <f ca="1">MIN(W21*W27,MAX(0,'Financial Statements'!W23))</f>
        <v>0</v>
      </c>
      <c r="X28" s="40">
        <f ca="1">MIN(X21*X27,MAX(0,'Financial Statements'!X23))</f>
        <v>0</v>
      </c>
      <c r="Y28" s="40">
        <f ca="1">MIN(Y21*Y27,MAX(0,'Financial Statements'!Y23))</f>
        <v>0</v>
      </c>
      <c r="Z28" s="40">
        <f ca="1">MIN(Z21*Z27,MAX(0,'Financial Statements'!Z23))</f>
        <v>0</v>
      </c>
      <c r="AA28" s="40">
        <f ca="1">MIN(AA21*AA27,MAX(0,'Financial Statements'!AA23))</f>
        <v>0</v>
      </c>
      <c r="AB28" s="40">
        <f ca="1">MIN(AB21*AB27,MAX(0,'Financial Statements'!AB23))</f>
        <v>0</v>
      </c>
      <c r="AC28" s="40">
        <f ca="1">MIN(AC21*AC27,MAX(0,'Financial Statements'!AC23))</f>
        <v>0</v>
      </c>
      <c r="AD28" s="40">
        <f ca="1">MIN(AD21*AD27,MAX(0,'Financial Statements'!AD23))</f>
        <v>0</v>
      </c>
      <c r="AE28" s="40">
        <f ca="1">MIN(AE21*AE27,MAX(0,'Financial Statements'!AE23))</f>
        <v>0</v>
      </c>
      <c r="AF28" s="40">
        <f ca="1">MIN(AF21*AF27,MAX(0,'Financial Statements'!AF23))</f>
        <v>1001.4255324869882</v>
      </c>
      <c r="AG28" s="40">
        <f ca="1">MIN(AG21*AG27,MAX(0,'Financial Statements'!AG23))</f>
        <v>58691.317986747366</v>
      </c>
      <c r="AH28" s="40">
        <f ca="1">MIN(AH21*AH27,MAX(0,'Financial Statements'!AH23))</f>
        <v>123925.7667128366</v>
      </c>
      <c r="AI28" s="40">
        <f ca="1">MIN(AI21*AI27,MAX(0,'Financial Statements'!AI23))</f>
        <v>149791.0199749296</v>
      </c>
      <c r="AJ28" s="40">
        <f ca="1">MIN(AJ21*AJ27,MAX(0,'Financial Statements'!AJ23))</f>
        <v>157391.50027770185</v>
      </c>
      <c r="AK28" s="40">
        <f ca="1">MIN(AK21*AK27,MAX(0,'Financial Statements'!AK23))</f>
        <v>165387.74810533947</v>
      </c>
      <c r="AL28" s="40">
        <f ca="1">MIN(AL21*AL27,MAX(0,'Financial Statements'!AL23))</f>
        <v>174274.71416064227</v>
      </c>
      <c r="AM28" s="40">
        <f ca="1">MIN(AM21*AM27,MAX(0,'Financial Statements'!AM23))</f>
        <v>183991.45209697052</v>
      </c>
      <c r="AN28" s="40">
        <f ca="1">MIN(AN21*AN27,MAX(0,'Financial Statements'!AN23))</f>
        <v>194294.41063084698</v>
      </c>
      <c r="AO28" s="40">
        <f ca="1">MIN(AO21*AO27,MAX(0,'Financial Statements'!AO23))</f>
        <v>205577.20257417599</v>
      </c>
      <c r="AP28" s="40">
        <f ca="1">MIN(AP21*AP27,MAX(0,'Financial Statements'!AP23))</f>
        <v>217762.16110651343</v>
      </c>
      <c r="AQ28" s="40">
        <f ca="1">MIN(AQ21*AQ27,MAX(0,'Financial Statements'!AQ23))</f>
        <v>230573.33116011668</v>
      </c>
      <c r="AR28" s="40">
        <f ca="1">MIN(AR21*AR27,MAX(0,'Financial Statements'!AR23))</f>
        <v>244450.16443947976</v>
      </c>
      <c r="AS28" s="40">
        <f ca="1">MIN(AS21*AS27,MAX(0,'Financial Statements'!AS23))</f>
        <v>259434.78219532041</v>
      </c>
      <c r="AT28" s="40">
        <f ca="1">MIN(AT21*AT27,MAX(0,'Financial Statements'!AT23))</f>
        <v>275560.69772606</v>
      </c>
      <c r="AU28" s="40">
        <f ca="1">MIN(AU21*AU27,MAX(0,'Financial Statements'!AU23))</f>
        <v>292362.91846799309</v>
      </c>
      <c r="AV28" s="40">
        <f ca="1">MIN(AV21*AV27,MAX(0,'Financial Statements'!AV23))</f>
        <v>309437.85240795574</v>
      </c>
      <c r="AW28" s="40">
        <f ca="1">MIN(AW21*AW27,MAX(0,'Financial Statements'!AW23))</f>
        <v>326777.40969641029</v>
      </c>
      <c r="AX28" s="40">
        <f ca="1">MIN(AX21*AX27,MAX(0,'Financial Statements'!AX23))</f>
        <v>344372.98864417907</v>
      </c>
      <c r="AY28" s="40">
        <f ca="1">MIN(AY21*AY27,MAX(0,'Financial Statements'!AY23))</f>
        <v>362215.65614612499</v>
      </c>
      <c r="AZ28" s="40">
        <f ca="1">MIN(AZ21*AZ27,MAX(0,'Financial Statements'!AZ23))</f>
        <v>380306.12626964395</v>
      </c>
      <c r="BA28" s="40">
        <f ca="1">MIN(BA21*BA27,MAX(0,'Financial Statements'!BA23))</f>
        <v>398653.54092668556</v>
      </c>
    </row>
    <row r="29" spans="1:53" x14ac:dyDescent="0.3">
      <c r="A29" s="37" t="s">
        <v>321</v>
      </c>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row>
    <row r="30" spans="1:53" x14ac:dyDescent="0.3">
      <c r="A30" t="s">
        <v>134</v>
      </c>
      <c r="B30" t="s">
        <v>48</v>
      </c>
      <c r="D30" s="62">
        <f>0</f>
        <v>0</v>
      </c>
      <c r="E30" s="62">
        <f t="shared" ref="E30:AJ30" ca="1" si="10">D43</f>
        <v>53300</v>
      </c>
      <c r="F30" s="62">
        <f t="shared" ca="1" si="10"/>
        <v>465436.7109375</v>
      </c>
      <c r="G30" s="62">
        <f t="shared" ca="1" si="10"/>
        <v>1165356.977776489</v>
      </c>
      <c r="H30" s="62">
        <f t="shared" ca="1" si="10"/>
        <v>1860651.4576776596</v>
      </c>
      <c r="I30" s="62">
        <f t="shared" ca="1" si="10"/>
        <v>2631621.5852154121</v>
      </c>
      <c r="J30" s="62">
        <f t="shared" ca="1" si="10"/>
        <v>3451190.3387635429</v>
      </c>
      <c r="K30" s="62">
        <f t="shared" ca="1" si="10"/>
        <v>4336812.7913434496</v>
      </c>
      <c r="L30" s="62">
        <f t="shared" ca="1" si="10"/>
        <v>5236701.4455472147</v>
      </c>
      <c r="M30" s="62">
        <f t="shared" ca="1" si="10"/>
        <v>6194269.7098758481</v>
      </c>
      <c r="N30" s="62">
        <f t="shared" ca="1" si="10"/>
        <v>7212452.7934366884</v>
      </c>
      <c r="O30" s="62">
        <f t="shared" ca="1" si="10"/>
        <v>7392764.1132726055</v>
      </c>
      <c r="P30" s="62">
        <f t="shared" ca="1" si="10"/>
        <v>7577583.2161044208</v>
      </c>
      <c r="Q30" s="62">
        <f t="shared" ca="1" si="10"/>
        <v>7767022.7965070317</v>
      </c>
      <c r="R30" s="62">
        <f t="shared" ca="1" si="10"/>
        <v>7961198.3664197074</v>
      </c>
      <c r="S30" s="62">
        <f t="shared" ca="1" si="10"/>
        <v>8160228.3255802002</v>
      </c>
      <c r="T30" s="62">
        <f t="shared" ca="1" si="10"/>
        <v>8364234.0337197054</v>
      </c>
      <c r="U30" s="62">
        <f t="shared" ca="1" si="10"/>
        <v>8573339.8845626973</v>
      </c>
      <c r="V30" s="62">
        <f t="shared" ca="1" si="10"/>
        <v>8787673.3816767652</v>
      </c>
      <c r="W30" s="62">
        <f t="shared" ca="1" si="10"/>
        <v>9007365.2162186839</v>
      </c>
      <c r="X30" s="62">
        <f t="shared" ca="1" si="10"/>
        <v>9232549.3466241509</v>
      </c>
      <c r="Y30" s="62">
        <f t="shared" ca="1" si="10"/>
        <v>9463363.080289755</v>
      </c>
      <c r="Z30" s="62">
        <f t="shared" ca="1" si="10"/>
        <v>9699947.1572969984</v>
      </c>
      <c r="AA30" s="62">
        <f t="shared" ca="1" si="10"/>
        <v>9942445.8362294231</v>
      </c>
      <c r="AB30" s="62">
        <f t="shared" ca="1" si="10"/>
        <v>10191006.982135158</v>
      </c>
      <c r="AC30" s="62">
        <f t="shared" ca="1" si="10"/>
        <v>9819035.2272872254</v>
      </c>
      <c r="AD30" s="62">
        <f t="shared" ca="1" si="10"/>
        <v>9460640.4414912425</v>
      </c>
      <c r="AE30" s="62">
        <f t="shared" ca="1" si="10"/>
        <v>9115327.0653768126</v>
      </c>
      <c r="AF30" s="62">
        <f t="shared" ca="1" si="10"/>
        <v>8782617.6274905577</v>
      </c>
      <c r="AG30" s="62">
        <f t="shared" ca="1" si="10"/>
        <v>8462052.084087152</v>
      </c>
      <c r="AH30" s="62">
        <f t="shared" ca="1" si="10"/>
        <v>8153187.183017971</v>
      </c>
      <c r="AI30" s="62">
        <f t="shared" ca="1" si="10"/>
        <v>7855595.8508378146</v>
      </c>
      <c r="AJ30" s="62">
        <f t="shared" ca="1" si="10"/>
        <v>7568866.6022822345</v>
      </c>
      <c r="AK30" s="62">
        <f t="shared" ref="AK30:BA30" ca="1" si="11">AJ43</f>
        <v>7292602.971298933</v>
      </c>
      <c r="AL30" s="62">
        <f t="shared" ca="1" si="11"/>
        <v>7026422.9628465213</v>
      </c>
      <c r="AM30" s="62">
        <f t="shared" ca="1" si="11"/>
        <v>6769958.5247026235</v>
      </c>
      <c r="AN30" s="62">
        <f t="shared" ca="1" si="11"/>
        <v>6522855.0385509785</v>
      </c>
      <c r="AO30" s="62">
        <f t="shared" ca="1" si="11"/>
        <v>6284770.8296438679</v>
      </c>
      <c r="AP30" s="62">
        <f t="shared" ca="1" si="11"/>
        <v>6055376.6943618665</v>
      </c>
      <c r="AQ30" s="62">
        <f t="shared" ca="1" si="11"/>
        <v>5834355.4450176582</v>
      </c>
      <c r="AR30" s="62">
        <f t="shared" ca="1" si="11"/>
        <v>5621401.4712745138</v>
      </c>
      <c r="AS30" s="62">
        <f t="shared" ca="1" si="11"/>
        <v>5416220.3175729932</v>
      </c>
      <c r="AT30" s="62">
        <f t="shared" ca="1" si="11"/>
        <v>5218528.275981579</v>
      </c>
      <c r="AU30" s="62">
        <f t="shared" ca="1" si="11"/>
        <v>5028051.9939082516</v>
      </c>
      <c r="AV30" s="62">
        <f t="shared" ca="1" si="11"/>
        <v>4844528.0961306002</v>
      </c>
      <c r="AW30" s="62">
        <f t="shared" ca="1" si="11"/>
        <v>4667702.8206218332</v>
      </c>
      <c r="AX30" s="62">
        <f t="shared" ca="1" si="11"/>
        <v>4497331.6676691361</v>
      </c>
      <c r="AY30" s="62">
        <f t="shared" ca="1" si="11"/>
        <v>4333179.0617992124</v>
      </c>
      <c r="AZ30" s="62">
        <f t="shared" ca="1" si="11"/>
        <v>4175018.0260435408</v>
      </c>
      <c r="BA30" s="62">
        <f t="shared" ca="1" si="11"/>
        <v>4022629.8680929518</v>
      </c>
    </row>
    <row r="31" spans="1:53" x14ac:dyDescent="0.3">
      <c r="A31" t="s">
        <v>334</v>
      </c>
      <c r="B31" t="s">
        <v>48</v>
      </c>
      <c r="D31" s="62">
        <f>D30*'Macro &amp; Indexation'!D$9</f>
        <v>0</v>
      </c>
      <c r="E31" s="62">
        <f ca="1">E30*'Macro &amp; Indexation'!E$9</f>
        <v>1332.5</v>
      </c>
      <c r="F31" s="62">
        <f ca="1">F30*'Macro &amp; Indexation'!F$9</f>
        <v>11635.917773437501</v>
      </c>
      <c r="G31" s="62">
        <f ca="1">G30*'Macro &amp; Indexation'!G$9</f>
        <v>29133.924444412227</v>
      </c>
      <c r="H31" s="62">
        <f ca="1">H30*'Macro &amp; Indexation'!H$9</f>
        <v>46516.286441941491</v>
      </c>
      <c r="I31" s="62">
        <f ca="1">I30*'Macro &amp; Indexation'!I$9</f>
        <v>65790.539630385305</v>
      </c>
      <c r="J31" s="62">
        <f ca="1">J30*'Macro &amp; Indexation'!J$9</f>
        <v>86279.758469088585</v>
      </c>
      <c r="K31" s="62">
        <f ca="1">K30*'Macro &amp; Indexation'!K$9</f>
        <v>108420.31978358625</v>
      </c>
      <c r="L31" s="62">
        <f ca="1">L30*'Macro &amp; Indexation'!L$9</f>
        <v>130917.53613868037</v>
      </c>
      <c r="M31" s="62">
        <f ca="1">M30*'Macro &amp; Indexation'!M$9</f>
        <v>154856.7427468962</v>
      </c>
      <c r="N31" s="62">
        <f ca="1">N30*'Macro &amp; Indexation'!N$9</f>
        <v>180311.31983591721</v>
      </c>
      <c r="O31" s="62">
        <f ca="1">O30*'Macro &amp; Indexation'!O$9</f>
        <v>184819.10283181514</v>
      </c>
      <c r="P31" s="62">
        <f ca="1">P30*'Macro &amp; Indexation'!P$9</f>
        <v>189439.58040261053</v>
      </c>
      <c r="Q31" s="62">
        <f ca="1">Q30*'Macro &amp; Indexation'!Q$9</f>
        <v>194175.5699126758</v>
      </c>
      <c r="R31" s="62">
        <f ca="1">R30*'Macro &amp; Indexation'!R$9</f>
        <v>199029.9591604927</v>
      </c>
      <c r="S31" s="62">
        <f ca="1">S30*'Macro &amp; Indexation'!S$9</f>
        <v>204005.708139505</v>
      </c>
      <c r="T31" s="62">
        <f ca="1">T30*'Macro &amp; Indexation'!T$9</f>
        <v>209105.85084299266</v>
      </c>
      <c r="U31" s="62">
        <f ca="1">U30*'Macro &amp; Indexation'!U$9</f>
        <v>214333.49711406743</v>
      </c>
      <c r="V31" s="62">
        <f ca="1">V30*'Macro &amp; Indexation'!V$9</f>
        <v>219691.83454191915</v>
      </c>
      <c r="W31" s="62">
        <f ca="1">W30*'Macro &amp; Indexation'!W$9</f>
        <v>225184.13040546712</v>
      </c>
      <c r="X31" s="62">
        <f ca="1">X30*'Macro &amp; Indexation'!X$9</f>
        <v>230813.7336656038</v>
      </c>
      <c r="Y31" s="62">
        <f ca="1">Y30*'Macro &amp; Indexation'!Y$9</f>
        <v>236584.07700724388</v>
      </c>
      <c r="Z31" s="62">
        <f ca="1">Z30*'Macro &amp; Indexation'!Z$9</f>
        <v>242498.67893242498</v>
      </c>
      <c r="AA31" s="62">
        <f ca="1">AA30*'Macro &amp; Indexation'!AA$9</f>
        <v>248561.14590573558</v>
      </c>
      <c r="AB31" s="62">
        <f ca="1">AB30*'Macro &amp; Indexation'!AB$9</f>
        <v>254775.17455337895</v>
      </c>
      <c r="AC31" s="62">
        <f ca="1">AC30*'Macro &amp; Indexation'!AC$9</f>
        <v>245475.88068218064</v>
      </c>
      <c r="AD31" s="62">
        <f ca="1">AD30*'Macro &amp; Indexation'!AD$9</f>
        <v>236516.01103728107</v>
      </c>
      <c r="AE31" s="62">
        <f ca="1">AE30*'Macro &amp; Indexation'!AE$9</f>
        <v>227883.17663442032</v>
      </c>
      <c r="AF31" s="62">
        <f ca="1">AF30*'Macro &amp; Indexation'!AF$9</f>
        <v>219565.44068726397</v>
      </c>
      <c r="AG31" s="62">
        <f ca="1">AG30*'Macro &amp; Indexation'!AG$9</f>
        <v>211551.3021021788</v>
      </c>
      <c r="AH31" s="62">
        <f ca="1">AH30*'Macro &amp; Indexation'!AH$9</f>
        <v>203829.67957544929</v>
      </c>
      <c r="AI31" s="62">
        <f ca="1">AI30*'Macro &amp; Indexation'!AI$9</f>
        <v>196389.89627094538</v>
      </c>
      <c r="AJ31" s="62">
        <f ca="1">AJ30*'Macro &amp; Indexation'!AJ$9</f>
        <v>189221.66505705588</v>
      </c>
      <c r="AK31" s="62">
        <f ca="1">AK30*'Macro &amp; Indexation'!AK$9</f>
        <v>182315.07428247333</v>
      </c>
      <c r="AL31" s="62">
        <f ca="1">AL30*'Macro &amp; Indexation'!AL$9</f>
        <v>175660.57407116305</v>
      </c>
      <c r="AM31" s="62">
        <f ca="1">AM30*'Macro &amp; Indexation'!AM$9</f>
        <v>169248.96311756561</v>
      </c>
      <c r="AN31" s="62">
        <f ca="1">AN30*'Macro &amp; Indexation'!AN$9</f>
        <v>163071.37596377448</v>
      </c>
      <c r="AO31" s="62">
        <f ca="1">AO30*'Macro &amp; Indexation'!AO$9</f>
        <v>157119.2707410967</v>
      </c>
      <c r="AP31" s="62">
        <f ca="1">AP30*'Macro &amp; Indexation'!AP$9</f>
        <v>151384.41735904667</v>
      </c>
      <c r="AQ31" s="62">
        <f ca="1">AQ30*'Macro &amp; Indexation'!AQ$9</f>
        <v>145858.88612544147</v>
      </c>
      <c r="AR31" s="62">
        <f ca="1">AR30*'Macro &amp; Indexation'!AR$9</f>
        <v>140535.03678186284</v>
      </c>
      <c r="AS31" s="62">
        <f ca="1">AS30*'Macro &amp; Indexation'!AS$9</f>
        <v>135405.50793932483</v>
      </c>
      <c r="AT31" s="62">
        <f ca="1">AT30*'Macro &amp; Indexation'!AT$9</f>
        <v>130463.20689953948</v>
      </c>
      <c r="AU31" s="62">
        <f ca="1">AU30*'Macro &amp; Indexation'!AU$9</f>
        <v>125701.29984770629</v>
      </c>
      <c r="AV31" s="62">
        <f ca="1">AV30*'Macro &amp; Indexation'!AV$9</f>
        <v>121113.20240326501</v>
      </c>
      <c r="AW31" s="62">
        <f ca="1">AW30*'Macro &amp; Indexation'!AW$9</f>
        <v>116692.57051554584</v>
      </c>
      <c r="AX31" s="62">
        <f ca="1">AX30*'Macro &amp; Indexation'!AX$9</f>
        <v>112433.2916917284</v>
      </c>
      <c r="AY31" s="62">
        <f ca="1">AY30*'Macro &amp; Indexation'!AY$9</f>
        <v>108329.47654498031</v>
      </c>
      <c r="AZ31" s="62">
        <f ca="1">AZ30*'Macro &amp; Indexation'!AZ$9</f>
        <v>104375.45065108853</v>
      </c>
      <c r="BA31" s="62">
        <f ca="1">BA30*'Macro &amp; Indexation'!BA$9</f>
        <v>100565.7467023238</v>
      </c>
    </row>
    <row r="32" spans="1:53" x14ac:dyDescent="0.3">
      <c r="A32" t="s">
        <v>335</v>
      </c>
      <c r="B32" t="s">
        <v>48</v>
      </c>
      <c r="D32" s="62">
        <f t="shared" ref="D32:AI32" si="12">D30+D31</f>
        <v>0</v>
      </c>
      <c r="E32" s="62">
        <f t="shared" ca="1" si="12"/>
        <v>54632.5</v>
      </c>
      <c r="F32" s="62">
        <f t="shared" ca="1" si="12"/>
        <v>477072.62871093751</v>
      </c>
      <c r="G32" s="62">
        <f t="shared" ca="1" si="12"/>
        <v>1194490.9022209011</v>
      </c>
      <c r="H32" s="62">
        <f t="shared" ca="1" si="12"/>
        <v>1907167.7441196011</v>
      </c>
      <c r="I32" s="62">
        <f t="shared" ca="1" si="12"/>
        <v>2697412.1248457972</v>
      </c>
      <c r="J32" s="62">
        <f t="shared" ca="1" si="12"/>
        <v>3537470.0972326314</v>
      </c>
      <c r="K32" s="62">
        <f t="shared" ca="1" si="12"/>
        <v>4445233.1111270357</v>
      </c>
      <c r="L32" s="62">
        <f t="shared" ca="1" si="12"/>
        <v>5367618.9816858955</v>
      </c>
      <c r="M32" s="62">
        <f t="shared" ca="1" si="12"/>
        <v>6349126.4526227443</v>
      </c>
      <c r="N32" s="62">
        <f t="shared" ca="1" si="12"/>
        <v>7392764.1132726055</v>
      </c>
      <c r="O32" s="62">
        <f t="shared" ca="1" si="12"/>
        <v>7577583.2161044208</v>
      </c>
      <c r="P32" s="62">
        <f t="shared" ca="1" si="12"/>
        <v>7767022.7965070317</v>
      </c>
      <c r="Q32" s="62">
        <f t="shared" ca="1" si="12"/>
        <v>7961198.3664197074</v>
      </c>
      <c r="R32" s="62">
        <f t="shared" ca="1" si="12"/>
        <v>8160228.3255802002</v>
      </c>
      <c r="S32" s="62">
        <f t="shared" ca="1" si="12"/>
        <v>8364234.0337197054</v>
      </c>
      <c r="T32" s="62">
        <f t="shared" ca="1" si="12"/>
        <v>8573339.8845626973</v>
      </c>
      <c r="U32" s="62">
        <f t="shared" ca="1" si="12"/>
        <v>8787673.3816767652</v>
      </c>
      <c r="V32" s="62">
        <f t="shared" ca="1" si="12"/>
        <v>9007365.2162186839</v>
      </c>
      <c r="W32" s="62">
        <f t="shared" ca="1" si="12"/>
        <v>9232549.3466241509</v>
      </c>
      <c r="X32" s="62">
        <f t="shared" ca="1" si="12"/>
        <v>9463363.080289755</v>
      </c>
      <c r="Y32" s="62">
        <f t="shared" ca="1" si="12"/>
        <v>9699947.1572969984</v>
      </c>
      <c r="Z32" s="62">
        <f t="shared" ca="1" si="12"/>
        <v>9942445.8362294231</v>
      </c>
      <c r="AA32" s="62">
        <f t="shared" ca="1" si="12"/>
        <v>10191006.982135158</v>
      </c>
      <c r="AB32" s="62">
        <f t="shared" ca="1" si="12"/>
        <v>10445782.156688537</v>
      </c>
      <c r="AC32" s="62">
        <f t="shared" ca="1" si="12"/>
        <v>10064511.107969407</v>
      </c>
      <c r="AD32" s="62">
        <f t="shared" ca="1" si="12"/>
        <v>9697156.4525285233</v>
      </c>
      <c r="AE32" s="62">
        <f t="shared" ca="1" si="12"/>
        <v>9343210.2420112323</v>
      </c>
      <c r="AF32" s="62">
        <f t="shared" ca="1" si="12"/>
        <v>9002183.0681778211</v>
      </c>
      <c r="AG32" s="62">
        <f t="shared" ca="1" si="12"/>
        <v>8673603.3861893304</v>
      </c>
      <c r="AH32" s="62">
        <f t="shared" ca="1" si="12"/>
        <v>8357016.8625934198</v>
      </c>
      <c r="AI32" s="62">
        <f t="shared" ca="1" si="12"/>
        <v>8051985.7471087603</v>
      </c>
      <c r="AJ32" s="62">
        <f t="shared" ref="AJ32:BA32" ca="1" si="13">AJ30+AJ31</f>
        <v>7758088.2673392901</v>
      </c>
      <c r="AK32" s="62">
        <f t="shared" ca="1" si="13"/>
        <v>7474918.045581406</v>
      </c>
      <c r="AL32" s="62">
        <f t="shared" ca="1" si="13"/>
        <v>7202083.5369176846</v>
      </c>
      <c r="AM32" s="62">
        <f t="shared" ca="1" si="13"/>
        <v>6939207.4878201894</v>
      </c>
      <c r="AN32" s="62">
        <f t="shared" ca="1" si="13"/>
        <v>6685926.414514753</v>
      </c>
      <c r="AO32" s="62">
        <f t="shared" ca="1" si="13"/>
        <v>6441890.1003849646</v>
      </c>
      <c r="AP32" s="62">
        <f t="shared" ca="1" si="13"/>
        <v>6206761.1117209131</v>
      </c>
      <c r="AQ32" s="62">
        <f t="shared" ca="1" si="13"/>
        <v>5980214.3311430998</v>
      </c>
      <c r="AR32" s="62">
        <f t="shared" ca="1" si="13"/>
        <v>5761936.5080563761</v>
      </c>
      <c r="AS32" s="62">
        <f t="shared" ca="1" si="13"/>
        <v>5551625.8255123179</v>
      </c>
      <c r="AT32" s="62">
        <f t="shared" ca="1" si="13"/>
        <v>5348991.4828811185</v>
      </c>
      <c r="AU32" s="62">
        <f t="shared" ca="1" si="13"/>
        <v>5153753.2937559579</v>
      </c>
      <c r="AV32" s="62">
        <f t="shared" ca="1" si="13"/>
        <v>4965641.2985338653</v>
      </c>
      <c r="AW32" s="62">
        <f t="shared" ca="1" si="13"/>
        <v>4784395.3911373792</v>
      </c>
      <c r="AX32" s="62">
        <f t="shared" ca="1" si="13"/>
        <v>4609764.959360864</v>
      </c>
      <c r="AY32" s="62">
        <f t="shared" ca="1" si="13"/>
        <v>4441508.5383441923</v>
      </c>
      <c r="AZ32" s="62">
        <f t="shared" ca="1" si="13"/>
        <v>4279393.4766946295</v>
      </c>
      <c r="BA32" s="62">
        <f t="shared" ca="1" si="13"/>
        <v>4123195.6147952755</v>
      </c>
    </row>
    <row r="33" spans="1:53" x14ac:dyDescent="0.3">
      <c r="A33" t="s">
        <v>336</v>
      </c>
      <c r="B33" t="s">
        <v>48</v>
      </c>
      <c r="D33" s="62">
        <f>0</f>
        <v>0</v>
      </c>
      <c r="E33" s="62">
        <f t="shared" ref="E33:AJ33" ca="1" si="14">D38</f>
        <v>53300</v>
      </c>
      <c r="F33" s="62">
        <f t="shared" ca="1" si="14"/>
        <v>464104.2109375</v>
      </c>
      <c r="G33" s="62">
        <f t="shared" ca="1" si="14"/>
        <v>1152388.5600030515</v>
      </c>
      <c r="H33" s="62">
        <f t="shared" ca="1" si="14"/>
        <v>1818549.11545981</v>
      </c>
      <c r="I33" s="62">
        <f t="shared" ca="1" si="14"/>
        <v>2543002.9565556208</v>
      </c>
      <c r="J33" s="62">
        <f t="shared" ca="1" si="14"/>
        <v>3296781.1704733665</v>
      </c>
      <c r="K33" s="62">
        <f t="shared" ca="1" si="14"/>
        <v>4096123.8645841847</v>
      </c>
      <c r="L33" s="62">
        <f t="shared" ca="1" si="14"/>
        <v>4887592.1990043633</v>
      </c>
      <c r="M33" s="62">
        <f t="shared" ca="1" si="14"/>
        <v>5714242.9271943159</v>
      </c>
      <c r="N33" s="62">
        <f t="shared" ca="1" si="14"/>
        <v>6577569.2680082601</v>
      </c>
      <c r="O33" s="62">
        <f t="shared" ca="1" si="14"/>
        <v>6577569.2680082601</v>
      </c>
      <c r="P33" s="62">
        <f t="shared" ca="1" si="14"/>
        <v>6577569.2680082601</v>
      </c>
      <c r="Q33" s="62">
        <f t="shared" ca="1" si="14"/>
        <v>6577569.2680082601</v>
      </c>
      <c r="R33" s="62">
        <f t="shared" ca="1" si="14"/>
        <v>6577569.2680082601</v>
      </c>
      <c r="S33" s="62">
        <f t="shared" ca="1" si="14"/>
        <v>6577569.2680082601</v>
      </c>
      <c r="T33" s="62">
        <f t="shared" ca="1" si="14"/>
        <v>6577569.2680082601</v>
      </c>
      <c r="U33" s="62">
        <f t="shared" ca="1" si="14"/>
        <v>6577569.2680082601</v>
      </c>
      <c r="V33" s="62">
        <f t="shared" ca="1" si="14"/>
        <v>6577569.2680082601</v>
      </c>
      <c r="W33" s="62">
        <f t="shared" ca="1" si="14"/>
        <v>6577569.2680082601</v>
      </c>
      <c r="X33" s="62">
        <f t="shared" ca="1" si="14"/>
        <v>6577569.2680082601</v>
      </c>
      <c r="Y33" s="62">
        <f t="shared" ca="1" si="14"/>
        <v>6577569.2680082601</v>
      </c>
      <c r="Z33" s="62">
        <f t="shared" ca="1" si="14"/>
        <v>6577569.2680082601</v>
      </c>
      <c r="AA33" s="62">
        <f t="shared" ca="1" si="14"/>
        <v>6577569.2680082601</v>
      </c>
      <c r="AB33" s="62">
        <f t="shared" ca="1" si="14"/>
        <v>6577569.2680082601</v>
      </c>
      <c r="AC33" s="62">
        <f t="shared" ca="1" si="14"/>
        <v>6577569.2680082601</v>
      </c>
      <c r="AD33" s="62">
        <f t="shared" ca="1" si="14"/>
        <v>6577569.2680082601</v>
      </c>
      <c r="AE33" s="62">
        <f t="shared" ca="1" si="14"/>
        <v>6577569.2680082601</v>
      </c>
      <c r="AF33" s="62">
        <f t="shared" ca="1" si="14"/>
        <v>6577569.2680082601</v>
      </c>
      <c r="AG33" s="62">
        <f t="shared" ca="1" si="14"/>
        <v>6577569.2680082601</v>
      </c>
      <c r="AH33" s="62">
        <f t="shared" ca="1" si="14"/>
        <v>6577569.2680082601</v>
      </c>
      <c r="AI33" s="62">
        <f t="shared" ca="1" si="14"/>
        <v>6577569.2680082601</v>
      </c>
      <c r="AJ33" s="62">
        <f t="shared" ca="1" si="14"/>
        <v>6577569.2680082601</v>
      </c>
      <c r="AK33" s="62">
        <f t="shared" ref="AK33:BA33" ca="1" si="15">AJ38</f>
        <v>6577569.2680082601</v>
      </c>
      <c r="AL33" s="62">
        <f t="shared" ca="1" si="15"/>
        <v>6577569.2680082601</v>
      </c>
      <c r="AM33" s="62">
        <f t="shared" ca="1" si="15"/>
        <v>6577569.2680082601</v>
      </c>
      <c r="AN33" s="62">
        <f t="shared" ca="1" si="15"/>
        <v>6577569.2680082601</v>
      </c>
      <c r="AO33" s="62">
        <f t="shared" ca="1" si="15"/>
        <v>6577569.2680082601</v>
      </c>
      <c r="AP33" s="62">
        <f t="shared" ca="1" si="15"/>
        <v>6577569.2680082601</v>
      </c>
      <c r="AQ33" s="62">
        <f t="shared" ca="1" si="15"/>
        <v>6577569.2680082601</v>
      </c>
      <c r="AR33" s="62">
        <f t="shared" ca="1" si="15"/>
        <v>6577569.2680082601</v>
      </c>
      <c r="AS33" s="62">
        <f t="shared" ca="1" si="15"/>
        <v>6577569.2680082601</v>
      </c>
      <c r="AT33" s="62">
        <f t="shared" ca="1" si="15"/>
        <v>6577569.2680082601</v>
      </c>
      <c r="AU33" s="62">
        <f t="shared" ca="1" si="15"/>
        <v>6577569.2680082601</v>
      </c>
      <c r="AV33" s="62">
        <f t="shared" ca="1" si="15"/>
        <v>6577569.2680082601</v>
      </c>
      <c r="AW33" s="62">
        <f t="shared" ca="1" si="15"/>
        <v>6577569.2680082601</v>
      </c>
      <c r="AX33" s="62">
        <f t="shared" ca="1" si="15"/>
        <v>6577569.2680082601</v>
      </c>
      <c r="AY33" s="62">
        <f t="shared" ca="1" si="15"/>
        <v>6577569.2680082601</v>
      </c>
      <c r="AZ33" s="62">
        <f t="shared" ca="1" si="15"/>
        <v>6577569.2680082601</v>
      </c>
      <c r="BA33" s="62">
        <f t="shared" ca="1" si="15"/>
        <v>6577569.2680082601</v>
      </c>
    </row>
    <row r="34" spans="1:53" x14ac:dyDescent="0.3">
      <c r="A34" t="s">
        <v>337</v>
      </c>
      <c r="B34" t="s">
        <v>48</v>
      </c>
      <c r="D34" s="62">
        <f>MAX(0,pf_max_raise-D33)</f>
        <v>50000000</v>
      </c>
      <c r="E34" s="62">
        <f ca="1">MAX(0,pf_max_raise-E33)</f>
        <v>49946700</v>
      </c>
      <c r="F34" s="62">
        <f ca="1">MAX(0,pf_max_raise-F33)</f>
        <v>49535895.7890625</v>
      </c>
      <c r="G34" s="62">
        <f ca="1">MAX(0,pf_max_raise-G33)</f>
        <v>48847611.43999695</v>
      </c>
      <c r="H34" s="62">
        <f ca="1">MAX(0,pf_max_raise-H33)</f>
        <v>48181450.884540193</v>
      </c>
      <c r="I34" s="62">
        <f ca="1">MAX(0,pf_max_raise-I33)</f>
        <v>47456997.04344438</v>
      </c>
      <c r="J34" s="62">
        <f ca="1">MAX(0,pf_max_raise-J33)</f>
        <v>46703218.829526633</v>
      </c>
      <c r="K34" s="62">
        <f ca="1">MAX(0,pf_max_raise-K33)</f>
        <v>45903876.135415815</v>
      </c>
      <c r="L34" s="62">
        <f ca="1">MAX(0,pf_max_raise-L33)</f>
        <v>45112407.800995633</v>
      </c>
      <c r="M34" s="62">
        <f ca="1">MAX(0,pf_max_raise-M33)</f>
        <v>44285757.072805688</v>
      </c>
      <c r="N34" s="62">
        <f ca="1">MAX(0,pf_max_raise-N33)</f>
        <v>43422430.731991738</v>
      </c>
      <c r="O34" s="62">
        <f ca="1">MAX(0,pf_max_raise-O33)</f>
        <v>43422430.731991738</v>
      </c>
      <c r="P34" s="62">
        <f ca="1">MAX(0,pf_max_raise-P33)</f>
        <v>43422430.731991738</v>
      </c>
      <c r="Q34" s="62">
        <f ca="1">MAX(0,pf_max_raise-Q33)</f>
        <v>43422430.731991738</v>
      </c>
      <c r="R34" s="62">
        <f ca="1">MAX(0,pf_max_raise-R33)</f>
        <v>43422430.731991738</v>
      </c>
      <c r="S34" s="62">
        <f ca="1">MAX(0,pf_max_raise-S33)</f>
        <v>43422430.731991738</v>
      </c>
      <c r="T34" s="62">
        <f ca="1">MAX(0,pf_max_raise-T33)</f>
        <v>43422430.731991738</v>
      </c>
      <c r="U34" s="62">
        <f ca="1">MAX(0,pf_max_raise-U33)</f>
        <v>43422430.731991738</v>
      </c>
      <c r="V34" s="62">
        <f ca="1">MAX(0,pf_max_raise-V33)</f>
        <v>43422430.731991738</v>
      </c>
      <c r="W34" s="62">
        <f ca="1">MAX(0,pf_max_raise-W33)</f>
        <v>43422430.731991738</v>
      </c>
      <c r="X34" s="62">
        <f ca="1">MAX(0,pf_max_raise-X33)</f>
        <v>43422430.731991738</v>
      </c>
      <c r="Y34" s="62">
        <f ca="1">MAX(0,pf_max_raise-Y33)</f>
        <v>43422430.731991738</v>
      </c>
      <c r="Z34" s="62">
        <f ca="1">MAX(0,pf_max_raise-Z33)</f>
        <v>43422430.731991738</v>
      </c>
      <c r="AA34" s="62">
        <f ca="1">MAX(0,pf_max_raise-AA33)</f>
        <v>43422430.731991738</v>
      </c>
      <c r="AB34" s="62">
        <f ca="1">MAX(0,pf_max_raise-AB33)</f>
        <v>43422430.731991738</v>
      </c>
      <c r="AC34" s="62">
        <f ca="1">MAX(0,pf_max_raise-AC33)</f>
        <v>43422430.731991738</v>
      </c>
      <c r="AD34" s="62">
        <f ca="1">MAX(0,pf_max_raise-AD33)</f>
        <v>43422430.731991738</v>
      </c>
      <c r="AE34" s="62">
        <f ca="1">MAX(0,pf_max_raise-AE33)</f>
        <v>43422430.731991738</v>
      </c>
      <c r="AF34" s="62">
        <f ca="1">MAX(0,pf_max_raise-AF33)</f>
        <v>43422430.731991738</v>
      </c>
      <c r="AG34" s="62">
        <f ca="1">MAX(0,pf_max_raise-AG33)</f>
        <v>43422430.731991738</v>
      </c>
      <c r="AH34" s="62">
        <f ca="1">MAX(0,pf_max_raise-AH33)</f>
        <v>43422430.731991738</v>
      </c>
      <c r="AI34" s="62">
        <f ca="1">MAX(0,pf_max_raise-AI33)</f>
        <v>43422430.731991738</v>
      </c>
      <c r="AJ34" s="62">
        <f ca="1">MAX(0,pf_max_raise-AJ33)</f>
        <v>43422430.731991738</v>
      </c>
      <c r="AK34" s="62">
        <f ca="1">MAX(0,pf_max_raise-AK33)</f>
        <v>43422430.731991738</v>
      </c>
      <c r="AL34" s="62">
        <f ca="1">MAX(0,pf_max_raise-AL33)</f>
        <v>43422430.731991738</v>
      </c>
      <c r="AM34" s="62">
        <f ca="1">MAX(0,pf_max_raise-AM33)</f>
        <v>43422430.731991738</v>
      </c>
      <c r="AN34" s="62">
        <f ca="1">MAX(0,pf_max_raise-AN33)</f>
        <v>43422430.731991738</v>
      </c>
      <c r="AO34" s="62">
        <f ca="1">MAX(0,pf_max_raise-AO33)</f>
        <v>43422430.731991738</v>
      </c>
      <c r="AP34" s="62">
        <f ca="1">MAX(0,pf_max_raise-AP33)</f>
        <v>43422430.731991738</v>
      </c>
      <c r="AQ34" s="62">
        <f ca="1">MAX(0,pf_max_raise-AQ33)</f>
        <v>43422430.731991738</v>
      </c>
      <c r="AR34" s="62">
        <f ca="1">MAX(0,pf_max_raise-AR33)</f>
        <v>43422430.731991738</v>
      </c>
      <c r="AS34" s="62">
        <f ca="1">MAX(0,pf_max_raise-AS33)</f>
        <v>43422430.731991738</v>
      </c>
      <c r="AT34" s="62">
        <f ca="1">MAX(0,pf_max_raise-AT33)</f>
        <v>43422430.731991738</v>
      </c>
      <c r="AU34" s="62">
        <f ca="1">MAX(0,pf_max_raise-AU33)</f>
        <v>43422430.731991738</v>
      </c>
      <c r="AV34" s="62">
        <f ca="1">MAX(0,pf_max_raise-AV33)</f>
        <v>43422430.731991738</v>
      </c>
      <c r="AW34" s="62">
        <f ca="1">MAX(0,pf_max_raise-AW33)</f>
        <v>43422430.731991738</v>
      </c>
      <c r="AX34" s="62">
        <f ca="1">MAX(0,pf_max_raise-AX33)</f>
        <v>43422430.731991738</v>
      </c>
      <c r="AY34" s="62">
        <f ca="1">MAX(0,pf_max_raise-AY33)</f>
        <v>43422430.731991738</v>
      </c>
      <c r="AZ34" s="62">
        <f ca="1">MAX(0,pf_max_raise-AZ33)</f>
        <v>43422430.731991738</v>
      </c>
      <c r="BA34" s="62">
        <f ca="1">MAX(0,pf_max_raise-BA33)</f>
        <v>43422430.731991738</v>
      </c>
    </row>
    <row r="35" spans="1:53" x14ac:dyDescent="0.3">
      <c r="A35" t="s">
        <v>204</v>
      </c>
      <c r="B35" t="s">
        <v>48</v>
      </c>
      <c r="D35" s="62">
        <f ca="1">MAX(0,pf_ltv_limit*'Asset Register'!D61-D32-D46)</f>
        <v>196000</v>
      </c>
      <c r="E35" s="62">
        <f ca="1">MAX(0,pf_ltv_limit*'Asset Register'!E61-E32-E46)</f>
        <v>553947.5</v>
      </c>
      <c r="F35" s="62">
        <f ca="1">MAX(0,pf_ltv_limit*'Asset Register'!F61-F32-F46)</f>
        <v>782687.97128906241</v>
      </c>
      <c r="G35" s="62">
        <f ca="1">MAX(0,pf_ltv_limit*'Asset Register'!G61-G32-G46)</f>
        <v>761287.42927909875</v>
      </c>
      <c r="H35" s="62">
        <f ca="1">MAX(0,pf_ltv_limit*'Asset Register'!H61-H32-H46)</f>
        <v>791806.35335039836</v>
      </c>
      <c r="I35" s="62">
        <f ca="1">MAX(0,pf_ltv_limit*'Asset Register'!I61-I32-I46)</f>
        <v>794385.61375601403</v>
      </c>
      <c r="J35" s="62">
        <f ca="1">MAX(0,pf_ltv_limit*'Asset Register'!J61-J32-J46)</f>
        <v>799342.69411081821</v>
      </c>
      <c r="K35" s="62">
        <f ca="1">MAX(0,pf_ltv_limit*'Asset Register'!K61-K32-K46)</f>
        <v>791468.33442017902</v>
      </c>
      <c r="L35" s="62">
        <f ca="1">MAX(0,pf_ltv_limit*'Asset Register'!L61-L32-L46)</f>
        <v>826650.72818995267</v>
      </c>
      <c r="M35" s="62">
        <f ca="1">MAX(0,pf_ltv_limit*'Asset Register'!M61-M32-M46)</f>
        <v>863326.34081394412</v>
      </c>
      <c r="N35" s="62">
        <f ca="1">MAX(0,pf_ltv_limit*'Asset Register'!N61-N32-N46)</f>
        <v>348601.885016107</v>
      </c>
      <c r="O35" s="62">
        <f ca="1">MAX(0,pf_ltv_limit*'Asset Register'!O61-O32-O46)</f>
        <v>434730.59212439694</v>
      </c>
      <c r="P35" s="62">
        <f ca="1">MAX(0,pf_ltv_limit*'Asset Register'!P61-P32-P46)</f>
        <v>525721.9950097939</v>
      </c>
      <c r="Q35" s="62">
        <f ca="1">MAX(0,pf_ltv_limit*'Asset Register'!Q61-Q32-Q46)</f>
        <v>621792.49280020501</v>
      </c>
      <c r="R35" s="62">
        <f ca="1">MAX(0,pf_ltv_limit*'Asset Register'!R61-R32-R46)</f>
        <v>723167.21371240728</v>
      </c>
      <c r="S35" s="62">
        <f ca="1">MAX(0,pf_ltv_limit*'Asset Register'!S61-S32-S46)</f>
        <v>830080.34944814444</v>
      </c>
      <c r="T35" s="62">
        <f ca="1">MAX(0,pf_ltv_limit*'Asset Register'!T61-T32-T46)</f>
        <v>942775.50201602653</v>
      </c>
      <c r="U35" s="62">
        <f ca="1">MAX(0,pf_ltv_limit*'Asset Register'!U61-U32-U46)</f>
        <v>1061506.0434322152</v>
      </c>
      <c r="V35" s="62">
        <f ca="1">MAX(0,pf_ltv_limit*'Asset Register'!V61-V32-V46)</f>
        <v>1186535.4887691103</v>
      </c>
      <c r="W35" s="62">
        <f ca="1">MAX(0,pf_ltv_limit*'Asset Register'!W61-W32-W46)</f>
        <v>1318137.8830382135</v>
      </c>
      <c r="X35" s="62">
        <f ca="1">MAX(0,pf_ltv_limit*'Asset Register'!X61-X32-X46)</f>
        <v>1456598.2024107892</v>
      </c>
      <c r="Y35" s="62">
        <f ca="1">MAX(0,pf_ltv_limit*'Asset Register'!Y61-Y32-Y46)</f>
        <v>1602212.7702980638</v>
      </c>
      <c r="Z35" s="62">
        <f ca="1">MAX(0,pf_ltv_limit*'Asset Register'!Z61-Z32-Z46)</f>
        <v>2173065.9575836435</v>
      </c>
      <c r="AA35" s="62">
        <f ca="1">MAX(0,pf_ltv_limit*'Asset Register'!AA61-AA32-AA46)</f>
        <v>2348547.7244613618</v>
      </c>
      <c r="AB35" s="62">
        <f ca="1">MAX(0,pf_ltv_limit*'Asset Register'!AB61-AB32-AB46)</f>
        <v>2532656.9646388609</v>
      </c>
      <c r="AC35" s="62">
        <f ca="1">MAX(0,pf_ltv_limit*'Asset Register'!AC61-AC32-AC46)</f>
        <v>3368173.3826044481</v>
      </c>
      <c r="AD35" s="62">
        <f ca="1">MAX(0,pf_ltv_limit*'Asset Register'!AD61-AD32-AD46)</f>
        <v>4685079.8727238253</v>
      </c>
      <c r="AE35" s="62">
        <f ca="1">MAX(0,pf_ltv_limit*'Asset Register'!AE61-AE32-AE46)</f>
        <v>5542404.3546249457</v>
      </c>
      <c r="AF35" s="62">
        <f ca="1">MAX(0,pf_ltv_limit*'Asset Register'!AF61-AF32-AF46)</f>
        <v>6404428.0393406264</v>
      </c>
      <c r="AG35" s="62">
        <f ca="1">MAX(0,pf_ltv_limit*'Asset Register'!AG61-AG32-AG46)</f>
        <v>7803767.193301646</v>
      </c>
      <c r="AH35" s="62">
        <f ca="1">MAX(0,pf_ltv_limit*'Asset Register'!AH61-AH32-AH46)</f>
        <v>8697061.6871797405</v>
      </c>
      <c r="AI35" s="62">
        <f ca="1">MAX(0,pf_ltv_limit*'Asset Register'!AI61-AI32-AI46)</f>
        <v>10168371.722842436</v>
      </c>
      <c r="AJ35" s="62">
        <f ca="1">MAX(0,pf_ltv_limit*'Asset Register'!AJ61-AJ32-AJ46)</f>
        <v>11689296.400978941</v>
      </c>
      <c r="AK35" s="62">
        <f ca="1">MAX(0,pf_ltv_limit*'Asset Register'!AK61-AK32-AK46)</f>
        <v>12653125.086127954</v>
      </c>
      <c r="AL35" s="62">
        <f ca="1">MAX(0,pf_ltv_limit*'Asset Register'!AL61-AL32-AL46)</f>
        <v>14261729.729896022</v>
      </c>
      <c r="AM35" s="62">
        <f ca="1">MAX(0,pf_ltv_limit*'Asset Register'!AM61-AM32-AM46)</f>
        <v>15929222.970718808</v>
      </c>
      <c r="AN35" s="62">
        <f ca="1">MAX(0,pf_ltv_limit*'Asset Register'!AN61-AN32-AN46)</f>
        <v>16982899.110073127</v>
      </c>
      <c r="AO35" s="62">
        <f ca="1">MAX(0,pf_ltv_limit*'Asset Register'!AO61-AO32-AO46)</f>
        <v>18755265.300933439</v>
      </c>
      <c r="AP35" s="62">
        <f ca="1">MAX(0,pf_ltv_limit*'Asset Register'!AP61-AP32-AP46)</f>
        <v>20596712.94643154</v>
      </c>
      <c r="AQ35" s="62">
        <f ca="1">MAX(0,pf_ltv_limit*'Asset Register'!AQ61-AQ32-AQ46)</f>
        <v>22511154.174455158</v>
      </c>
      <c r="AR35" s="62">
        <f ca="1">MAX(0,pf_ltv_limit*'Asset Register'!AR61-AR32-AR46)</f>
        <v>24502644.80058765</v>
      </c>
      <c r="AS35" s="62">
        <f ca="1">MAX(0,pf_ltv_limit*'Asset Register'!AS61-AS32-AS46)</f>
        <v>26575391.255971365</v>
      </c>
      <c r="AT35" s="62">
        <f ca="1">MAX(0,pf_ltv_limit*'Asset Register'!AT61-AT32-AT46)</f>
        <v>28733757.763437856</v>
      </c>
      <c r="AU35" s="62">
        <f ca="1">MAX(0,pf_ltv_limit*'Asset Register'!AU61-AU32-AU46)</f>
        <v>30982273.773012012</v>
      </c>
      <c r="AV35" s="62">
        <f ca="1">MAX(0,pf_ltv_limit*'Asset Register'!AV61-AV32-AV46)</f>
        <v>33325641.668287762</v>
      </c>
      <c r="AW35" s="62">
        <f ca="1">MAX(0,pf_ltv_limit*'Asset Register'!AW61-AW32-AW46)</f>
        <v>35768744.755584896</v>
      </c>
      <c r="AX35" s="62">
        <f ca="1">MAX(0,pf_ltv_limit*'Asset Register'!AX61-AX32-AX46)</f>
        <v>39270576.00394471</v>
      </c>
      <c r="AY35" s="62">
        <f ca="1">MAX(0,pf_ltv_limit*'Asset Register'!AY61-AY32-AY46)</f>
        <v>41961952.030351423</v>
      </c>
      <c r="AZ35" s="62">
        <f ca="1">MAX(0,pf_ltv_limit*'Asset Register'!AZ61-AZ32-AZ46)</f>
        <v>44770051.652088389</v>
      </c>
      <c r="BA35" s="62">
        <f ca="1">MAX(0,pf_ltv_limit*'Asset Register'!BA61-BA32-BA46)</f>
        <v>47700608.754084498</v>
      </c>
    </row>
    <row r="36" spans="1:53" x14ac:dyDescent="0.3">
      <c r="A36" t="s">
        <v>205</v>
      </c>
      <c r="B36" t="s">
        <v>48</v>
      </c>
      <c r="D36" s="62">
        <f ca="1">MAX(0,'Asset Register'!D128-D14-(D22+D24+D25)+MAX(0,MAX(C60,min_cash_buffer)-'Financial Statements'!C65))</f>
        <v>53300</v>
      </c>
      <c r="E36" s="62">
        <f ca="1">MAX(0,'Asset Register'!E128-E14-(E22+E24+E25)+MAX(0,MAX(D60,min_cash_buffer)-'Financial Statements'!D65))</f>
        <v>410804.2109375</v>
      </c>
      <c r="F36" s="62">
        <f ca="1">MAX(0,'Asset Register'!F128-F14-(F22+F24+F25)+MAX(0,MAX(E60,min_cash_buffer)-'Financial Statements'!E65))</f>
        <v>688284.34906555153</v>
      </c>
      <c r="G36" s="62">
        <f ca="1">MAX(0,'Asset Register'!G128-G14-(G22+G24+G25)+MAX(0,MAX(F60,min_cash_buffer)-'Financial Statements'!F65))</f>
        <v>666160.55545675848</v>
      </c>
      <c r="H36" s="62">
        <f ca="1">MAX(0,'Asset Register'!H128-H14-(H22+H24+H25)+MAX(0,MAX(G60,min_cash_buffer)-'Financial Statements'!G65))</f>
        <v>724453.84109581087</v>
      </c>
      <c r="I36" s="62">
        <f ca="1">MAX(0,'Asset Register'!I128-I14-(I22+I24+I25)+MAX(0,MAX(H60,min_cash_buffer)-'Financial Statements'!H65))</f>
        <v>753778.21391774586</v>
      </c>
      <c r="J36" s="62">
        <f ca="1">MAX(0,'Asset Register'!J128-J14-(J22+J24+J25)+MAX(0,MAX(I60,min_cash_buffer)-'Financial Statements'!I65))</f>
        <v>800515.78132925427</v>
      </c>
      <c r="K36" s="62">
        <f ca="1">MAX(0,'Asset Register'!K128-K14-(K22+K24+K25)+MAX(0,MAX(J60,min_cash_buffer)-'Financial Statements'!J65))</f>
        <v>842662.62754607922</v>
      </c>
      <c r="L36" s="62">
        <f ca="1">MAX(0,'Asset Register'!L128-L14-(L22+L24+L25)+MAX(0,MAX(K60,min_cash_buffer)-'Financial Statements'!K65))</f>
        <v>947984.90843030566</v>
      </c>
      <c r="M36" s="62">
        <f ca="1">MAX(0,'Asset Register'!M128-M14-(M22+M24+M25)+MAX(0,MAX(L60,min_cash_buffer)-'Financial Statements'!L65))</f>
        <v>1062491.6872146984</v>
      </c>
      <c r="N36" s="62">
        <f ca="1">MAX(0,'Asset Register'!N128-N14-(N22+N24+N25)+MAX(0,MAX(M60,min_cash_buffer)-'Financial Statements'!M65))</f>
        <v>377167.23882028461</v>
      </c>
      <c r="O36" s="62">
        <f ca="1">MAX(0,'Asset Register'!O128-O14-(O22+O24+O25)+MAX(0,MAX(N60,min_cash_buffer)-'Financial Statements'!N65))</f>
        <v>325870.97579399502</v>
      </c>
      <c r="P36" s="62">
        <f ca="1">MAX(0,'Asset Register'!P128-P14-(P22+P24+P25)+MAX(0,MAX(O60,min_cash_buffer)-'Financial Statements'!O65))</f>
        <v>250746.7762759949</v>
      </c>
      <c r="Q36" s="62">
        <f ca="1">MAX(0,'Asset Register'!Q128-Q14-(Q22+Q24+Q25)+MAX(0,MAX(P60,min_cash_buffer)-'Financial Statements'!P65))</f>
        <v>173166.60994426074</v>
      </c>
      <c r="R36" s="62">
        <f ca="1">MAX(0,'Asset Register'!R128-R14-(R22+R24+R25)+MAX(0,MAX(Q60,min_cash_buffer)-'Financial Statements'!Q65))</f>
        <v>93192.28350352266</v>
      </c>
      <c r="S36" s="62">
        <f ca="1">MAX(0,'Asset Register'!S128-S14-(S22+S24+S25)+MAX(0,MAX(R60,min_cash_buffer)-'Financial Statements'!R65))</f>
        <v>10736.679726933071</v>
      </c>
      <c r="T36" s="62">
        <f ca="1">MAX(0,'Asset Register'!T128-T14-(T22+T24+T25)+MAX(0,MAX(S60,min_cash_buffer)-'Financial Statements'!S65))</f>
        <v>0</v>
      </c>
      <c r="U36" s="62">
        <f ca="1">MAX(0,'Asset Register'!U128-U14-(U22+U24+U25)+MAX(0,MAX(T60,min_cash_buffer)-'Financial Statements'!T65))</f>
        <v>0</v>
      </c>
      <c r="V36" s="62">
        <f ca="1">MAX(0,'Asset Register'!V128-V14-(V22+V24+V25)+MAX(0,MAX(U60,min_cash_buffer)-'Financial Statements'!U65))</f>
        <v>0</v>
      </c>
      <c r="W36" s="62">
        <f ca="1">MAX(0,'Asset Register'!W128-W14-(W22+W24+W25)+MAX(0,MAX(V60,min_cash_buffer)-'Financial Statements'!V65))</f>
        <v>0</v>
      </c>
      <c r="X36" s="62">
        <f ca="1">MAX(0,'Asset Register'!X128-X14-(X22+X24+X25)+MAX(0,MAX(W60,min_cash_buffer)-'Financial Statements'!W65))</f>
        <v>0</v>
      </c>
      <c r="Y36" s="62">
        <f ca="1">MAX(0,'Asset Register'!Y128-Y14-(Y22+Y24+Y25)+MAX(0,MAX(X60,min_cash_buffer)-'Financial Statements'!X65))</f>
        <v>0</v>
      </c>
      <c r="Z36" s="62">
        <f ca="1">MAX(0,'Asset Register'!Z128-Z14-(Z22+Z24+Z25)+MAX(0,MAX(Y60,min_cash_buffer)-'Financial Statements'!Y65))</f>
        <v>293896.69399225479</v>
      </c>
      <c r="AA36" s="62">
        <f ca="1">MAX(0,'Asset Register'!AA128-AA14-(AA22+AA24+AA25)+MAX(0,MAX(Z60,min_cash_buffer)-'Financial Statements'!Z65))</f>
        <v>0</v>
      </c>
      <c r="AB36" s="62">
        <f ca="1">MAX(0,'Asset Register'!AB128-AB14-(AB22+AB24+AB25)+MAX(0,MAX(AA60,min_cash_buffer)-'Financial Statements'!AA65))</f>
        <v>0</v>
      </c>
      <c r="AC36" s="62">
        <f ca="1">MAX(0,'Asset Register'!AC128-AC14-(AC22+AC24+AC25)+MAX(0,MAX(AB60,min_cash_buffer)-'Financial Statements'!AB65))</f>
        <v>0</v>
      </c>
      <c r="AD36" s="62">
        <f ca="1">MAX(0,'Asset Register'!AD128-AD14-(AD22+AD24+AD25)+MAX(0,MAX(AC60,min_cash_buffer)-'Financial Statements'!AC65))</f>
        <v>325099.27298246487</v>
      </c>
      <c r="AE36" s="62">
        <f ca="1">MAX(0,'Asset Register'!AE128-AE14-(AE22+AE24+AE25)+MAX(0,MAX(AD60,min_cash_buffer)-'Financial Statements'!AD65))</f>
        <v>0</v>
      </c>
      <c r="AF36" s="62">
        <f ca="1">MAX(0,'Asset Register'!AF128-AF14-(AF22+AF24+AF25)+MAX(0,MAX(AE60,min_cash_buffer)-'Financial Statements'!AE65))</f>
        <v>0</v>
      </c>
      <c r="AG36" s="62">
        <f ca="1">MAX(0,'Asset Register'!AG128-AG14-(AG22+AG24+AG25)+MAX(0,MAX(AF60,min_cash_buffer)-'Financial Statements'!AF65))</f>
        <v>329044.00942177221</v>
      </c>
      <c r="AH36" s="62">
        <f ca="1">MAX(0,'Asset Register'!AH128-AH14-(AH22+AH24+AH25)+MAX(0,MAX(AG60,min_cash_buffer)-'Financial Statements'!AG65))</f>
        <v>0</v>
      </c>
      <c r="AI36" s="62">
        <f ca="1">MAX(0,'Asset Register'!AI128-AI14-(AI22+AI24+AI25)+MAX(0,MAX(AH60,min_cash_buffer)-'Financial Statements'!AH65))</f>
        <v>358165.57018398825</v>
      </c>
      <c r="AJ36" s="62">
        <f ca="1">MAX(0,'Asset Register'!AJ128-AJ14-(AJ22+AJ24+AJ25)+MAX(0,MAX(AI60,min_cash_buffer)-'Financial Statements'!AI65))</f>
        <v>368832.34741100791</v>
      </c>
      <c r="AK36" s="62">
        <f ca="1">MAX(0,'Asset Register'!AK128-AK14-(AK22+AK24+AK25)+MAX(0,MAX(AJ60,min_cash_buffer)-'Financial Statements'!AJ65))</f>
        <v>0</v>
      </c>
      <c r="AL36" s="62">
        <f ca="1">MAX(0,'Asset Register'!AL128-AL14-(AL22+AL24+AL25)+MAX(0,MAX(AK60,min_cash_buffer)-'Financial Statements'!AK65))</f>
        <v>363426.75747785653</v>
      </c>
      <c r="AM36" s="62">
        <f ca="1">MAX(0,'Asset Register'!AM128-AM14-(AM22+AM24+AM25)+MAX(0,MAX(AL60,min_cash_buffer)-'Financial Statements'!AL65))</f>
        <v>370783.03784180101</v>
      </c>
      <c r="AN36" s="62">
        <f ca="1">MAX(0,'Asset Register'!AN128-AN14-(AN22+AN24+AN25)+MAX(0,MAX(AM60,min_cash_buffer)-'Financial Statements'!AM65))</f>
        <v>0</v>
      </c>
      <c r="AO36" s="62">
        <f ca="1">MAX(0,'Asset Register'!AO128-AO14-(AO22+AO24+AO25)+MAX(0,MAX(AN60,min_cash_buffer)-'Financial Statements'!AN65))</f>
        <v>365969.4611973734</v>
      </c>
      <c r="AP36" s="62">
        <f ca="1">MAX(0,'Asset Register'!AP128-AP14-(AP22+AP24+AP25)+MAX(0,MAX(AO60,min_cash_buffer)-'Financial Statements'!AO65))</f>
        <v>375092.3719947458</v>
      </c>
      <c r="AQ36" s="62">
        <f ca="1">MAX(0,'Asset Register'!AQ128-AQ14-(AQ22+AQ24+AQ25)+MAX(0,MAX(AP60,min_cash_buffer)-'Financial Statements'!AP65))</f>
        <v>371393.34945674968</v>
      </c>
      <c r="AR36" s="62">
        <f ca="1">MAX(0,'Asset Register'!AR128-AR14-(AR22+AR24+AR25)+MAX(0,MAX(AQ60,min_cash_buffer)-'Financial Statements'!AQ65))</f>
        <v>367485.31431683461</v>
      </c>
      <c r="AS36" s="62">
        <f ca="1">MAX(0,'Asset Register'!AS128-AS14-(AS22+AS24+AS25)+MAX(0,MAX(AR60,min_cash_buffer)-'Financial Statements'!AR65))</f>
        <v>363694.28163486579</v>
      </c>
      <c r="AT36" s="62">
        <f ca="1">MAX(0,'Asset Register'!AT128-AT14-(AT22+AT24+AT25)+MAX(0,MAX(AS60,min_cash_buffer)-'Financial Statements'!AS65))</f>
        <v>375845.44240400125</v>
      </c>
      <c r="AU36" s="62">
        <f ca="1">MAX(0,'Asset Register'!AU128-AU14-(AU22+AU24+AU25)+MAX(0,MAX(AT60,min_cash_buffer)-'Financial Statements'!AT65))</f>
        <v>402028.51153353835</v>
      </c>
      <c r="AV36" s="62">
        <f ca="1">MAX(0,'Asset Register'!AV128-AV14-(AV22+AV24+AV25)+MAX(0,MAX(AU60,min_cash_buffer)-'Financial Statements'!AU65))</f>
        <v>429778.72332441877</v>
      </c>
      <c r="AW36" s="62">
        <f ca="1">MAX(0,'Asset Register'!AW128-AW14-(AW22+AW24+AW25)+MAX(0,MAX(AV60,min_cash_buffer)-'Financial Statements'!AV65))</f>
        <v>459160.12363814726</v>
      </c>
      <c r="AX36" s="62">
        <f ca="1">MAX(0,'Asset Register'!AX128-AX14-(AX22+AX24+AX25)+MAX(0,MAX(AW60,min_cash_buffer)-'Financial Statements'!AW65))</f>
        <v>1878820.8983124285</v>
      </c>
      <c r="AY36" s="62">
        <f ca="1">MAX(0,'Asset Register'!AY128-AY14-(AY22+AY24+AY25)+MAX(0,MAX(AX60,min_cash_buffer)-'Financial Statements'!AX65))</f>
        <v>522724.4759707913</v>
      </c>
      <c r="AZ36" s="62">
        <f ca="1">MAX(0,'Asset Register'!AZ128-AZ14-(AZ22+AZ24+AZ25)+MAX(0,MAX(AY60,min_cash_buffer)-'Financial Statements'!AY65))</f>
        <v>556407.55716520362</v>
      </c>
      <c r="BA36" s="62">
        <f ca="1">MAX(0,'Asset Register'!BA128-BA14-(BA22+BA24+BA25)+MAX(0,MAX(AZ60,min_cash_buffer)-'Financial Statements'!AZ65))</f>
        <v>591318.20255864167</v>
      </c>
    </row>
    <row r="37" spans="1:53" x14ac:dyDescent="0.3">
      <c r="A37" t="s">
        <v>206</v>
      </c>
      <c r="B37" t="s">
        <v>48</v>
      </c>
      <c r="D37" s="62">
        <f ca="1">IF(AND(D$6&lt;=pf_invest_phase_yrs,OR(pf_refi_toggle=0,D$6&lt;pf_refi_year)),MIN(D36,D35,D34),0)</f>
        <v>53300</v>
      </c>
      <c r="E37" s="62">
        <f ca="1">IF(AND(E$6&lt;=pf_invest_phase_yrs,OR(pf_refi_toggle=0,E$6&lt;pf_refi_year)),MIN(E36,E35,E34),0)</f>
        <v>410804.2109375</v>
      </c>
      <c r="F37" s="62">
        <f ca="1">IF(AND(F$6&lt;=pf_invest_phase_yrs,OR(pf_refi_toggle=0,F$6&lt;pf_refi_year)),MIN(F36,F35,F34),0)</f>
        <v>688284.34906555153</v>
      </c>
      <c r="G37" s="62">
        <f ca="1">IF(AND(G$6&lt;=pf_invest_phase_yrs,OR(pf_refi_toggle=0,G$6&lt;pf_refi_year)),MIN(G36,G35,G34),0)</f>
        <v>666160.55545675848</v>
      </c>
      <c r="H37" s="62">
        <f ca="1">IF(AND(H$6&lt;=pf_invest_phase_yrs,OR(pf_refi_toggle=0,H$6&lt;pf_refi_year)),MIN(H36,H35,H34),0)</f>
        <v>724453.84109581087</v>
      </c>
      <c r="I37" s="62">
        <f ca="1">IF(AND(I$6&lt;=pf_invest_phase_yrs,OR(pf_refi_toggle=0,I$6&lt;pf_refi_year)),MIN(I36,I35,I34),0)</f>
        <v>753778.21391774586</v>
      </c>
      <c r="J37" s="62">
        <f ca="1">IF(AND(J$6&lt;=pf_invest_phase_yrs,OR(pf_refi_toggle=0,J$6&lt;pf_refi_year)),MIN(J36,J35,J34),0)</f>
        <v>799342.69411081821</v>
      </c>
      <c r="K37" s="62">
        <f ca="1">IF(AND(K$6&lt;=pf_invest_phase_yrs,OR(pf_refi_toggle=0,K$6&lt;pf_refi_year)),MIN(K36,K35,K34),0)</f>
        <v>791468.33442017902</v>
      </c>
      <c r="L37" s="62">
        <f ca="1">IF(AND(L$6&lt;=pf_invest_phase_yrs,OR(pf_refi_toggle=0,L$6&lt;pf_refi_year)),MIN(L36,L35,L34),0)</f>
        <v>826650.72818995267</v>
      </c>
      <c r="M37" s="62">
        <f ca="1">IF(AND(M$6&lt;=pf_invest_phase_yrs,OR(pf_refi_toggle=0,M$6&lt;pf_refi_year)),MIN(M36,M35,M34),0)</f>
        <v>863326.34081394412</v>
      </c>
      <c r="N37" s="62">
        <f>IF(AND(N$6&lt;=pf_invest_phase_yrs,OR(pf_refi_toggle=0,N$6&lt;pf_refi_year)),MIN(N36,N35,N34),0)</f>
        <v>0</v>
      </c>
      <c r="O37" s="62">
        <f>IF(AND(O$6&lt;=pf_invest_phase_yrs,OR(pf_refi_toggle=0,O$6&lt;pf_refi_year)),MIN(O36,O35,O34),0)</f>
        <v>0</v>
      </c>
      <c r="P37" s="62">
        <f>IF(AND(P$6&lt;=pf_invest_phase_yrs,OR(pf_refi_toggle=0,P$6&lt;pf_refi_year)),MIN(P36,P35,P34),0)</f>
        <v>0</v>
      </c>
      <c r="Q37" s="62">
        <f>IF(AND(Q$6&lt;=pf_invest_phase_yrs,OR(pf_refi_toggle=0,Q$6&lt;pf_refi_year)),MIN(Q36,Q35,Q34),0)</f>
        <v>0</v>
      </c>
      <c r="R37" s="62">
        <f>IF(AND(R$6&lt;=pf_invest_phase_yrs,OR(pf_refi_toggle=0,R$6&lt;pf_refi_year)),MIN(R36,R35,R34),0)</f>
        <v>0</v>
      </c>
      <c r="S37" s="62">
        <f>IF(AND(S$6&lt;=pf_invest_phase_yrs,OR(pf_refi_toggle=0,S$6&lt;pf_refi_year)),MIN(S36,S35,S34),0)</f>
        <v>0</v>
      </c>
      <c r="T37" s="62">
        <f>IF(AND(T$6&lt;=pf_invest_phase_yrs,OR(pf_refi_toggle=0,T$6&lt;pf_refi_year)),MIN(T36,T35,T34),0)</f>
        <v>0</v>
      </c>
      <c r="U37" s="62">
        <f>IF(AND(U$6&lt;=pf_invest_phase_yrs,OR(pf_refi_toggle=0,U$6&lt;pf_refi_year)),MIN(U36,U35,U34),0)</f>
        <v>0</v>
      </c>
      <c r="V37" s="62">
        <f>IF(AND(V$6&lt;=pf_invest_phase_yrs,OR(pf_refi_toggle=0,V$6&lt;pf_refi_year)),MIN(V36,V35,V34),0)</f>
        <v>0</v>
      </c>
      <c r="W37" s="62">
        <f>IF(AND(W$6&lt;=pf_invest_phase_yrs,OR(pf_refi_toggle=0,W$6&lt;pf_refi_year)),MIN(W36,W35,W34),0)</f>
        <v>0</v>
      </c>
      <c r="X37" s="62">
        <f>IF(AND(X$6&lt;=pf_invest_phase_yrs,OR(pf_refi_toggle=0,X$6&lt;pf_refi_year)),MIN(X36,X35,X34),0)</f>
        <v>0</v>
      </c>
      <c r="Y37" s="62">
        <f>IF(AND(Y$6&lt;=pf_invest_phase_yrs,OR(pf_refi_toggle=0,Y$6&lt;pf_refi_year)),MIN(Y36,Y35,Y34),0)</f>
        <v>0</v>
      </c>
      <c r="Z37" s="62">
        <f>IF(AND(Z$6&lt;=pf_invest_phase_yrs,OR(pf_refi_toggle=0,Z$6&lt;pf_refi_year)),MIN(Z36,Z35,Z34),0)</f>
        <v>0</v>
      </c>
      <c r="AA37" s="62">
        <f>IF(AND(AA$6&lt;=pf_invest_phase_yrs,OR(pf_refi_toggle=0,AA$6&lt;pf_refi_year)),MIN(AA36,AA35,AA34),0)</f>
        <v>0</v>
      </c>
      <c r="AB37" s="62">
        <f>IF(AND(AB$6&lt;=pf_invest_phase_yrs,OR(pf_refi_toggle=0,AB$6&lt;pf_refi_year)),MIN(AB36,AB35,AB34),0)</f>
        <v>0</v>
      </c>
      <c r="AC37" s="62">
        <f>IF(AND(AC$6&lt;=pf_invest_phase_yrs,OR(pf_refi_toggle=0,AC$6&lt;pf_refi_year)),MIN(AC36,AC35,AC34),0)</f>
        <v>0</v>
      </c>
      <c r="AD37" s="62">
        <f>IF(AND(AD$6&lt;=pf_invest_phase_yrs,OR(pf_refi_toggle=0,AD$6&lt;pf_refi_year)),MIN(AD36,AD35,AD34),0)</f>
        <v>0</v>
      </c>
      <c r="AE37" s="62">
        <f>IF(AND(AE$6&lt;=pf_invest_phase_yrs,OR(pf_refi_toggle=0,AE$6&lt;pf_refi_year)),MIN(AE36,AE35,AE34),0)</f>
        <v>0</v>
      </c>
      <c r="AF37" s="62">
        <f>IF(AND(AF$6&lt;=pf_invest_phase_yrs,OR(pf_refi_toggle=0,AF$6&lt;pf_refi_year)),MIN(AF36,AF35,AF34),0)</f>
        <v>0</v>
      </c>
      <c r="AG37" s="62">
        <f>IF(AND(AG$6&lt;=pf_invest_phase_yrs,OR(pf_refi_toggle=0,AG$6&lt;pf_refi_year)),MIN(AG36,AG35,AG34),0)</f>
        <v>0</v>
      </c>
      <c r="AH37" s="62">
        <f>IF(AND(AH$6&lt;=pf_invest_phase_yrs,OR(pf_refi_toggle=0,AH$6&lt;pf_refi_year)),MIN(AH36,AH35,AH34),0)</f>
        <v>0</v>
      </c>
      <c r="AI37" s="62">
        <f>IF(AND(AI$6&lt;=pf_invest_phase_yrs,OR(pf_refi_toggle=0,AI$6&lt;pf_refi_year)),MIN(AI36,AI35,AI34),0)</f>
        <v>0</v>
      </c>
      <c r="AJ37" s="62">
        <f>IF(AND(AJ$6&lt;=pf_invest_phase_yrs,OR(pf_refi_toggle=0,AJ$6&lt;pf_refi_year)),MIN(AJ36,AJ35,AJ34),0)</f>
        <v>0</v>
      </c>
      <c r="AK37" s="62">
        <f>IF(AND(AK$6&lt;=pf_invest_phase_yrs,OR(pf_refi_toggle=0,AK$6&lt;pf_refi_year)),MIN(AK36,AK35,AK34),0)</f>
        <v>0</v>
      </c>
      <c r="AL37" s="62">
        <f>IF(AND(AL$6&lt;=pf_invest_phase_yrs,OR(pf_refi_toggle=0,AL$6&lt;pf_refi_year)),MIN(AL36,AL35,AL34),0)</f>
        <v>0</v>
      </c>
      <c r="AM37" s="62">
        <f>IF(AND(AM$6&lt;=pf_invest_phase_yrs,OR(pf_refi_toggle=0,AM$6&lt;pf_refi_year)),MIN(AM36,AM35,AM34),0)</f>
        <v>0</v>
      </c>
      <c r="AN37" s="62">
        <f>IF(AND(AN$6&lt;=pf_invest_phase_yrs,OR(pf_refi_toggle=0,AN$6&lt;pf_refi_year)),MIN(AN36,AN35,AN34),0)</f>
        <v>0</v>
      </c>
      <c r="AO37" s="62">
        <f>IF(AND(AO$6&lt;=pf_invest_phase_yrs,OR(pf_refi_toggle=0,AO$6&lt;pf_refi_year)),MIN(AO36,AO35,AO34),0)</f>
        <v>0</v>
      </c>
      <c r="AP37" s="62">
        <f>IF(AND(AP$6&lt;=pf_invest_phase_yrs,OR(pf_refi_toggle=0,AP$6&lt;pf_refi_year)),MIN(AP36,AP35,AP34),0)</f>
        <v>0</v>
      </c>
      <c r="AQ37" s="62">
        <f>IF(AND(AQ$6&lt;=pf_invest_phase_yrs,OR(pf_refi_toggle=0,AQ$6&lt;pf_refi_year)),MIN(AQ36,AQ35,AQ34),0)</f>
        <v>0</v>
      </c>
      <c r="AR37" s="62">
        <f>IF(AND(AR$6&lt;=pf_invest_phase_yrs,OR(pf_refi_toggle=0,AR$6&lt;pf_refi_year)),MIN(AR36,AR35,AR34),0)</f>
        <v>0</v>
      </c>
      <c r="AS37" s="62">
        <f>IF(AND(AS$6&lt;=pf_invest_phase_yrs,OR(pf_refi_toggle=0,AS$6&lt;pf_refi_year)),MIN(AS36,AS35,AS34),0)</f>
        <v>0</v>
      </c>
      <c r="AT37" s="62">
        <f>IF(AND(AT$6&lt;=pf_invest_phase_yrs,OR(pf_refi_toggle=0,AT$6&lt;pf_refi_year)),MIN(AT36,AT35,AT34),0)</f>
        <v>0</v>
      </c>
      <c r="AU37" s="62">
        <f>IF(AND(AU$6&lt;=pf_invest_phase_yrs,OR(pf_refi_toggle=0,AU$6&lt;pf_refi_year)),MIN(AU36,AU35,AU34),0)</f>
        <v>0</v>
      </c>
      <c r="AV37" s="62">
        <f>IF(AND(AV$6&lt;=pf_invest_phase_yrs,OR(pf_refi_toggle=0,AV$6&lt;pf_refi_year)),MIN(AV36,AV35,AV34),0)</f>
        <v>0</v>
      </c>
      <c r="AW37" s="62">
        <f>IF(AND(AW$6&lt;=pf_invest_phase_yrs,OR(pf_refi_toggle=0,AW$6&lt;pf_refi_year)),MIN(AW36,AW35,AW34),0)</f>
        <v>0</v>
      </c>
      <c r="AX37" s="62">
        <f>IF(AND(AX$6&lt;=pf_invest_phase_yrs,OR(pf_refi_toggle=0,AX$6&lt;pf_refi_year)),MIN(AX36,AX35,AX34),0)</f>
        <v>0</v>
      </c>
      <c r="AY37" s="62">
        <f>IF(AND(AY$6&lt;=pf_invest_phase_yrs,OR(pf_refi_toggle=0,AY$6&lt;pf_refi_year)),MIN(AY36,AY35,AY34),0)</f>
        <v>0</v>
      </c>
      <c r="AZ37" s="62">
        <f>IF(AND(AZ$6&lt;=pf_invest_phase_yrs,OR(pf_refi_toggle=0,AZ$6&lt;pf_refi_year)),MIN(AZ36,AZ35,AZ34),0)</f>
        <v>0</v>
      </c>
      <c r="BA37" s="62">
        <f>IF(AND(BA$6&lt;=pf_invest_phase_yrs,OR(pf_refi_toggle=0,BA$6&lt;pf_refi_year)),MIN(BA36,BA35,BA34),0)</f>
        <v>0</v>
      </c>
    </row>
    <row r="38" spans="1:53" x14ac:dyDescent="0.3">
      <c r="A38" t="s">
        <v>338</v>
      </c>
      <c r="B38" t="s">
        <v>48</v>
      </c>
      <c r="D38" s="62">
        <f t="shared" ref="D38:AI38" ca="1" si="16">D33+D37</f>
        <v>53300</v>
      </c>
      <c r="E38" s="62">
        <f t="shared" ca="1" si="16"/>
        <v>464104.2109375</v>
      </c>
      <c r="F38" s="62">
        <f t="shared" ca="1" si="16"/>
        <v>1152388.5600030515</v>
      </c>
      <c r="G38" s="62">
        <f t="shared" ca="1" si="16"/>
        <v>1818549.11545981</v>
      </c>
      <c r="H38" s="62">
        <f t="shared" ca="1" si="16"/>
        <v>2543002.9565556208</v>
      </c>
      <c r="I38" s="62">
        <f t="shared" ca="1" si="16"/>
        <v>3296781.1704733665</v>
      </c>
      <c r="J38" s="62">
        <f t="shared" ca="1" si="16"/>
        <v>4096123.8645841847</v>
      </c>
      <c r="K38" s="62">
        <f t="shared" ca="1" si="16"/>
        <v>4887592.1990043633</v>
      </c>
      <c r="L38" s="62">
        <f t="shared" ca="1" si="16"/>
        <v>5714242.9271943159</v>
      </c>
      <c r="M38" s="62">
        <f t="shared" ca="1" si="16"/>
        <v>6577569.2680082601</v>
      </c>
      <c r="N38" s="62">
        <f t="shared" ca="1" si="16"/>
        <v>6577569.2680082601</v>
      </c>
      <c r="O38" s="62">
        <f t="shared" ca="1" si="16"/>
        <v>6577569.2680082601</v>
      </c>
      <c r="P38" s="62">
        <f t="shared" ca="1" si="16"/>
        <v>6577569.2680082601</v>
      </c>
      <c r="Q38" s="62">
        <f t="shared" ca="1" si="16"/>
        <v>6577569.2680082601</v>
      </c>
      <c r="R38" s="62">
        <f t="shared" ca="1" si="16"/>
        <v>6577569.2680082601</v>
      </c>
      <c r="S38" s="62">
        <f t="shared" ca="1" si="16"/>
        <v>6577569.2680082601</v>
      </c>
      <c r="T38" s="62">
        <f t="shared" ca="1" si="16"/>
        <v>6577569.2680082601</v>
      </c>
      <c r="U38" s="62">
        <f t="shared" ca="1" si="16"/>
        <v>6577569.2680082601</v>
      </c>
      <c r="V38" s="62">
        <f t="shared" ca="1" si="16"/>
        <v>6577569.2680082601</v>
      </c>
      <c r="W38" s="62">
        <f t="shared" ca="1" si="16"/>
        <v>6577569.2680082601</v>
      </c>
      <c r="X38" s="62">
        <f t="shared" ca="1" si="16"/>
        <v>6577569.2680082601</v>
      </c>
      <c r="Y38" s="62">
        <f t="shared" ca="1" si="16"/>
        <v>6577569.2680082601</v>
      </c>
      <c r="Z38" s="62">
        <f t="shared" ca="1" si="16"/>
        <v>6577569.2680082601</v>
      </c>
      <c r="AA38" s="62">
        <f t="shared" ca="1" si="16"/>
        <v>6577569.2680082601</v>
      </c>
      <c r="AB38" s="62">
        <f t="shared" ca="1" si="16"/>
        <v>6577569.2680082601</v>
      </c>
      <c r="AC38" s="62">
        <f t="shared" ca="1" si="16"/>
        <v>6577569.2680082601</v>
      </c>
      <c r="AD38" s="62">
        <f t="shared" ca="1" si="16"/>
        <v>6577569.2680082601</v>
      </c>
      <c r="AE38" s="62">
        <f t="shared" ca="1" si="16"/>
        <v>6577569.2680082601</v>
      </c>
      <c r="AF38" s="62">
        <f t="shared" ca="1" si="16"/>
        <v>6577569.2680082601</v>
      </c>
      <c r="AG38" s="62">
        <f t="shared" ca="1" si="16"/>
        <v>6577569.2680082601</v>
      </c>
      <c r="AH38" s="62">
        <f t="shared" ca="1" si="16"/>
        <v>6577569.2680082601</v>
      </c>
      <c r="AI38" s="62">
        <f t="shared" ca="1" si="16"/>
        <v>6577569.2680082601</v>
      </c>
      <c r="AJ38" s="62">
        <f t="shared" ref="AJ38:BA38" ca="1" si="17">AJ33+AJ37</f>
        <v>6577569.2680082601</v>
      </c>
      <c r="AK38" s="62">
        <f t="shared" ca="1" si="17"/>
        <v>6577569.2680082601</v>
      </c>
      <c r="AL38" s="62">
        <f t="shared" ca="1" si="17"/>
        <v>6577569.2680082601</v>
      </c>
      <c r="AM38" s="62">
        <f t="shared" ca="1" si="17"/>
        <v>6577569.2680082601</v>
      </c>
      <c r="AN38" s="62">
        <f t="shared" ca="1" si="17"/>
        <v>6577569.2680082601</v>
      </c>
      <c r="AO38" s="62">
        <f t="shared" ca="1" si="17"/>
        <v>6577569.2680082601</v>
      </c>
      <c r="AP38" s="62">
        <f t="shared" ca="1" si="17"/>
        <v>6577569.2680082601</v>
      </c>
      <c r="AQ38" s="62">
        <f t="shared" ca="1" si="17"/>
        <v>6577569.2680082601</v>
      </c>
      <c r="AR38" s="62">
        <f t="shared" ca="1" si="17"/>
        <v>6577569.2680082601</v>
      </c>
      <c r="AS38" s="62">
        <f t="shared" ca="1" si="17"/>
        <v>6577569.2680082601</v>
      </c>
      <c r="AT38" s="62">
        <f t="shared" ca="1" si="17"/>
        <v>6577569.2680082601</v>
      </c>
      <c r="AU38" s="62">
        <f t="shared" ca="1" si="17"/>
        <v>6577569.2680082601</v>
      </c>
      <c r="AV38" s="62">
        <f t="shared" ca="1" si="17"/>
        <v>6577569.2680082601</v>
      </c>
      <c r="AW38" s="62">
        <f t="shared" ca="1" si="17"/>
        <v>6577569.2680082601</v>
      </c>
      <c r="AX38" s="62">
        <f t="shared" ca="1" si="17"/>
        <v>6577569.2680082601</v>
      </c>
      <c r="AY38" s="62">
        <f t="shared" ca="1" si="17"/>
        <v>6577569.2680082601</v>
      </c>
      <c r="AZ38" s="62">
        <f t="shared" ca="1" si="17"/>
        <v>6577569.2680082601</v>
      </c>
      <c r="BA38" s="62">
        <f t="shared" ca="1" si="17"/>
        <v>6577569.2680082601</v>
      </c>
    </row>
    <row r="39" spans="1:53" x14ac:dyDescent="0.3">
      <c r="A39" t="s">
        <v>339</v>
      </c>
      <c r="B39" t="s">
        <v>11</v>
      </c>
      <c r="D39" s="57">
        <f>'Macro &amp; Indexation'!D$9+pf_coupon_spread</f>
        <v>6.25E-2</v>
      </c>
      <c r="E39" s="57">
        <f>'Macro &amp; Indexation'!E$9+pf_coupon_spread</f>
        <v>6.25E-2</v>
      </c>
      <c r="F39" s="57">
        <f>'Macro &amp; Indexation'!F$9+pf_coupon_spread</f>
        <v>6.25E-2</v>
      </c>
      <c r="G39" s="57">
        <f>'Macro &amp; Indexation'!G$9+pf_coupon_spread</f>
        <v>6.25E-2</v>
      </c>
      <c r="H39" s="57">
        <f>'Macro &amp; Indexation'!H$9+pf_coupon_spread</f>
        <v>6.25E-2</v>
      </c>
      <c r="I39" s="57">
        <f>'Macro &amp; Indexation'!I$9+pf_coupon_spread</f>
        <v>6.25E-2</v>
      </c>
      <c r="J39" s="57">
        <f>'Macro &amp; Indexation'!J$9+pf_coupon_spread</f>
        <v>6.25E-2</v>
      </c>
      <c r="K39" s="57">
        <f>'Macro &amp; Indexation'!K$9+pf_coupon_spread</f>
        <v>6.25E-2</v>
      </c>
      <c r="L39" s="57">
        <f>'Macro &amp; Indexation'!L$9+pf_coupon_spread</f>
        <v>6.25E-2</v>
      </c>
      <c r="M39" s="57">
        <f>'Macro &amp; Indexation'!M$9+pf_coupon_spread</f>
        <v>6.25E-2</v>
      </c>
      <c r="N39" s="57">
        <f>'Macro &amp; Indexation'!N$9+pf_coupon_spread</f>
        <v>6.25E-2</v>
      </c>
      <c r="O39" s="57">
        <f>'Macro &amp; Indexation'!O$9+pf_coupon_spread</f>
        <v>6.25E-2</v>
      </c>
      <c r="P39" s="57">
        <f>'Macro &amp; Indexation'!P$9+pf_coupon_spread</f>
        <v>6.25E-2</v>
      </c>
      <c r="Q39" s="57">
        <f>'Macro &amp; Indexation'!Q$9+pf_coupon_spread</f>
        <v>6.25E-2</v>
      </c>
      <c r="R39" s="57">
        <f>'Macro &amp; Indexation'!R$9+pf_coupon_spread</f>
        <v>6.25E-2</v>
      </c>
      <c r="S39" s="57">
        <f>'Macro &amp; Indexation'!S$9+pf_coupon_spread</f>
        <v>6.25E-2</v>
      </c>
      <c r="T39" s="57">
        <f>'Macro &amp; Indexation'!T$9+pf_coupon_spread</f>
        <v>6.25E-2</v>
      </c>
      <c r="U39" s="57">
        <f>'Macro &amp; Indexation'!U$9+pf_coupon_spread</f>
        <v>6.25E-2</v>
      </c>
      <c r="V39" s="57">
        <f>'Macro &amp; Indexation'!V$9+pf_coupon_spread</f>
        <v>6.25E-2</v>
      </c>
      <c r="W39" s="57">
        <f>'Macro &amp; Indexation'!W$9+pf_coupon_spread</f>
        <v>6.25E-2</v>
      </c>
      <c r="X39" s="57">
        <f>'Macro &amp; Indexation'!X$9+pf_coupon_spread</f>
        <v>6.25E-2</v>
      </c>
      <c r="Y39" s="57">
        <f>'Macro &amp; Indexation'!Y$9+pf_coupon_spread</f>
        <v>6.25E-2</v>
      </c>
      <c r="Z39" s="57">
        <f>'Macro &amp; Indexation'!Z$9+pf_coupon_spread</f>
        <v>6.25E-2</v>
      </c>
      <c r="AA39" s="57">
        <f>'Macro &amp; Indexation'!AA$9+pf_coupon_spread</f>
        <v>6.25E-2</v>
      </c>
      <c r="AB39" s="57">
        <f>'Macro &amp; Indexation'!AB$9+pf_coupon_spread</f>
        <v>6.25E-2</v>
      </c>
      <c r="AC39" s="57">
        <f>'Macro &amp; Indexation'!AC$9+pf_coupon_spread</f>
        <v>6.25E-2</v>
      </c>
      <c r="AD39" s="57">
        <f>'Macro &amp; Indexation'!AD$9+pf_coupon_spread</f>
        <v>6.25E-2</v>
      </c>
      <c r="AE39" s="57">
        <f>'Macro &amp; Indexation'!AE$9+pf_coupon_spread</f>
        <v>6.25E-2</v>
      </c>
      <c r="AF39" s="57">
        <f>'Macro &amp; Indexation'!AF$9+pf_coupon_spread</f>
        <v>6.25E-2</v>
      </c>
      <c r="AG39" s="57">
        <f>'Macro &amp; Indexation'!AG$9+pf_coupon_spread</f>
        <v>6.25E-2</v>
      </c>
      <c r="AH39" s="57">
        <f>'Macro &amp; Indexation'!AH$9+pf_coupon_spread</f>
        <v>6.25E-2</v>
      </c>
      <c r="AI39" s="57">
        <f>'Macro &amp; Indexation'!AI$9+pf_coupon_spread</f>
        <v>6.25E-2</v>
      </c>
      <c r="AJ39" s="57">
        <f>'Macro &amp; Indexation'!AJ$9+pf_coupon_spread</f>
        <v>6.25E-2</v>
      </c>
      <c r="AK39" s="57">
        <f>'Macro &amp; Indexation'!AK$9+pf_coupon_spread</f>
        <v>6.25E-2</v>
      </c>
      <c r="AL39" s="57">
        <f>'Macro &amp; Indexation'!AL$9+pf_coupon_spread</f>
        <v>6.25E-2</v>
      </c>
      <c r="AM39" s="57">
        <f>'Macro &amp; Indexation'!AM$9+pf_coupon_spread</f>
        <v>6.25E-2</v>
      </c>
      <c r="AN39" s="57">
        <f>'Macro &amp; Indexation'!AN$9+pf_coupon_spread</f>
        <v>6.25E-2</v>
      </c>
      <c r="AO39" s="57">
        <f>'Macro &amp; Indexation'!AO$9+pf_coupon_spread</f>
        <v>6.25E-2</v>
      </c>
      <c r="AP39" s="57">
        <f>'Macro &amp; Indexation'!AP$9+pf_coupon_spread</f>
        <v>6.25E-2</v>
      </c>
      <c r="AQ39" s="57">
        <f>'Macro &amp; Indexation'!AQ$9+pf_coupon_spread</f>
        <v>6.25E-2</v>
      </c>
      <c r="AR39" s="57">
        <f>'Macro &amp; Indexation'!AR$9+pf_coupon_spread</f>
        <v>6.25E-2</v>
      </c>
      <c r="AS39" s="57">
        <f>'Macro &amp; Indexation'!AS$9+pf_coupon_spread</f>
        <v>6.25E-2</v>
      </c>
      <c r="AT39" s="57">
        <f>'Macro &amp; Indexation'!AT$9+pf_coupon_spread</f>
        <v>6.25E-2</v>
      </c>
      <c r="AU39" s="57">
        <f>'Macro &amp; Indexation'!AU$9+pf_coupon_spread</f>
        <v>6.25E-2</v>
      </c>
      <c r="AV39" s="57">
        <f>'Macro &amp; Indexation'!AV$9+pf_coupon_spread</f>
        <v>6.25E-2</v>
      </c>
      <c r="AW39" s="57">
        <f>'Macro &amp; Indexation'!AW$9+pf_coupon_spread</f>
        <v>6.25E-2</v>
      </c>
      <c r="AX39" s="57">
        <f>'Macro &amp; Indexation'!AX$9+pf_coupon_spread</f>
        <v>6.25E-2</v>
      </c>
      <c r="AY39" s="57">
        <f>'Macro &amp; Indexation'!AY$9+pf_coupon_spread</f>
        <v>6.25E-2</v>
      </c>
      <c r="AZ39" s="57">
        <f>'Macro &amp; Indexation'!AZ$9+pf_coupon_spread</f>
        <v>6.25E-2</v>
      </c>
      <c r="BA39" s="57">
        <f>'Macro &amp; Indexation'!BA$9+pf_coupon_spread</f>
        <v>6.25E-2</v>
      </c>
    </row>
    <row r="40" spans="1:53" x14ac:dyDescent="0.3">
      <c r="A40" t="s">
        <v>207</v>
      </c>
      <c r="B40" t="s">
        <v>48</v>
      </c>
      <c r="D40" s="62">
        <f t="shared" ref="D40:AI40" ca="1" si="18">-(D32+D37/2)*D39</f>
        <v>-1665.625</v>
      </c>
      <c r="E40" s="62">
        <f t="shared" ca="1" si="18"/>
        <v>-16252.162841796875</v>
      </c>
      <c r="F40" s="62">
        <f t="shared" ca="1" si="18"/>
        <v>-51325.925202732076</v>
      </c>
      <c r="G40" s="62">
        <f t="shared" ca="1" si="18"/>
        <v>-95473.198746830021</v>
      </c>
      <c r="H40" s="62">
        <f t="shared" ca="1" si="18"/>
        <v>-141837.16654171917</v>
      </c>
      <c r="I40" s="62">
        <f t="shared" ca="1" si="18"/>
        <v>-192143.82698779189</v>
      </c>
      <c r="J40" s="62">
        <f t="shared" ca="1" si="18"/>
        <v>-246071.34026800253</v>
      </c>
      <c r="K40" s="62">
        <f t="shared" ca="1" si="18"/>
        <v>-302560.4548960703</v>
      </c>
      <c r="L40" s="62">
        <f t="shared" ca="1" si="18"/>
        <v>-361309.02161130449</v>
      </c>
      <c r="M40" s="62">
        <f t="shared" ca="1" si="18"/>
        <v>-423799.35143935727</v>
      </c>
      <c r="N40" s="62">
        <f t="shared" ca="1" si="18"/>
        <v>-462047.75707953784</v>
      </c>
      <c r="O40" s="62">
        <f t="shared" ca="1" si="18"/>
        <v>-473598.9510065263</v>
      </c>
      <c r="P40" s="62">
        <f t="shared" ca="1" si="18"/>
        <v>-485438.92478168948</v>
      </c>
      <c r="Q40" s="62">
        <f t="shared" ca="1" si="18"/>
        <v>-497574.89790123171</v>
      </c>
      <c r="R40" s="62">
        <f t="shared" ca="1" si="18"/>
        <v>-510014.27034876251</v>
      </c>
      <c r="S40" s="62">
        <f t="shared" ca="1" si="18"/>
        <v>-522764.62710748159</v>
      </c>
      <c r="T40" s="62">
        <f t="shared" ca="1" si="18"/>
        <v>-535833.74278516858</v>
      </c>
      <c r="U40" s="62">
        <f t="shared" ca="1" si="18"/>
        <v>-549229.58635479782</v>
      </c>
      <c r="V40" s="62">
        <f t="shared" ca="1" si="18"/>
        <v>-562960.32601366774</v>
      </c>
      <c r="W40" s="62">
        <f t="shared" ca="1" si="18"/>
        <v>-577034.33416400943</v>
      </c>
      <c r="X40" s="62">
        <f t="shared" ca="1" si="18"/>
        <v>-591460.19251810969</v>
      </c>
      <c r="Y40" s="62">
        <f t="shared" ca="1" si="18"/>
        <v>-606246.6973310624</v>
      </c>
      <c r="Z40" s="62">
        <f t="shared" ca="1" si="18"/>
        <v>-621402.86476433894</v>
      </c>
      <c r="AA40" s="62">
        <f t="shared" ca="1" si="18"/>
        <v>-636937.93638344738</v>
      </c>
      <c r="AB40" s="62">
        <f t="shared" ca="1" si="18"/>
        <v>-652861.38479303359</v>
      </c>
      <c r="AC40" s="62">
        <f t="shared" ca="1" si="18"/>
        <v>-629031.94424808794</v>
      </c>
      <c r="AD40" s="62">
        <f t="shared" ca="1" si="18"/>
        <v>-606072.27828303271</v>
      </c>
      <c r="AE40" s="62">
        <f t="shared" ca="1" si="18"/>
        <v>-583950.64012570202</v>
      </c>
      <c r="AF40" s="62">
        <f t="shared" ca="1" si="18"/>
        <v>-562636.44176111382</v>
      </c>
      <c r="AG40" s="62">
        <f t="shared" ca="1" si="18"/>
        <v>-542100.21163683315</v>
      </c>
      <c r="AH40" s="62">
        <f t="shared" ca="1" si="18"/>
        <v>-522313.55391208874</v>
      </c>
      <c r="AI40" s="62">
        <f t="shared" ca="1" si="18"/>
        <v>-503249.10919429752</v>
      </c>
      <c r="AJ40" s="62">
        <f t="shared" ref="AJ40:BA40" ca="1" si="19">-(AJ32+AJ37/2)*AJ39</f>
        <v>-484880.51670870563</v>
      </c>
      <c r="AK40" s="62">
        <f t="shared" ca="1" si="19"/>
        <v>-467182.37784883787</v>
      </c>
      <c r="AL40" s="62">
        <f t="shared" ca="1" si="19"/>
        <v>-450130.22105735529</v>
      </c>
      <c r="AM40" s="62">
        <f t="shared" ca="1" si="19"/>
        <v>-433700.46798876184</v>
      </c>
      <c r="AN40" s="62">
        <f t="shared" ca="1" si="19"/>
        <v>-417870.40090717206</v>
      </c>
      <c r="AO40" s="62">
        <f t="shared" ca="1" si="19"/>
        <v>-402618.13127406029</v>
      </c>
      <c r="AP40" s="62">
        <f t="shared" ca="1" si="19"/>
        <v>-387922.56948255707</v>
      </c>
      <c r="AQ40" s="62">
        <f t="shared" ca="1" si="19"/>
        <v>-373763.39569644374</v>
      </c>
      <c r="AR40" s="62">
        <f t="shared" ca="1" si="19"/>
        <v>-360121.03175352351</v>
      </c>
      <c r="AS40" s="62">
        <f t="shared" ca="1" si="19"/>
        <v>-346976.61409451987</v>
      </c>
      <c r="AT40" s="62">
        <f t="shared" ca="1" si="19"/>
        <v>-334311.96768006991</v>
      </c>
      <c r="AU40" s="62">
        <f t="shared" ca="1" si="19"/>
        <v>-322109.58085974737</v>
      </c>
      <c r="AV40" s="62">
        <f t="shared" ca="1" si="19"/>
        <v>-310352.58115836658</v>
      </c>
      <c r="AW40" s="62">
        <f t="shared" ca="1" si="19"/>
        <v>-299024.7119460862</v>
      </c>
      <c r="AX40" s="62">
        <f t="shared" ca="1" si="19"/>
        <v>-288110.309960054</v>
      </c>
      <c r="AY40" s="62">
        <f t="shared" ca="1" si="19"/>
        <v>-277594.28364651202</v>
      </c>
      <c r="AZ40" s="62">
        <f t="shared" ca="1" si="19"/>
        <v>-267462.09229341435</v>
      </c>
      <c r="BA40" s="62">
        <f t="shared" ca="1" si="19"/>
        <v>-257699.72592470472</v>
      </c>
    </row>
    <row r="41" spans="1:53" x14ac:dyDescent="0.3">
      <c r="A41" t="s">
        <v>340</v>
      </c>
      <c r="B41" t="s">
        <v>48</v>
      </c>
      <c r="D41" s="62">
        <f>-IF(D$6&gt;=pf_release_start_yr,(D32+D37)*pf_release_rate,0)</f>
        <v>0</v>
      </c>
      <c r="E41" s="62">
        <f>-IF(E$6&gt;=pf_release_start_yr,(E32+E37)*pf_release_rate,0)</f>
        <v>0</v>
      </c>
      <c r="F41" s="62">
        <f>-IF(F$6&gt;=pf_release_start_yr,(F32+F37)*pf_release_rate,0)</f>
        <v>0</v>
      </c>
      <c r="G41" s="62">
        <f>-IF(G$6&gt;=pf_release_start_yr,(G32+G37)*pf_release_rate,0)</f>
        <v>0</v>
      </c>
      <c r="H41" s="62">
        <f>-IF(H$6&gt;=pf_release_start_yr,(H32+H37)*pf_release_rate,0)</f>
        <v>0</v>
      </c>
      <c r="I41" s="62">
        <f>-IF(I$6&gt;=pf_release_start_yr,(I32+I37)*pf_release_rate,0)</f>
        <v>0</v>
      </c>
      <c r="J41" s="62">
        <f>-IF(J$6&gt;=pf_release_start_yr,(J32+J37)*pf_release_rate,0)</f>
        <v>0</v>
      </c>
      <c r="K41" s="62">
        <f>-IF(K$6&gt;=pf_release_start_yr,(K32+K37)*pf_release_rate,0)</f>
        <v>0</v>
      </c>
      <c r="L41" s="62">
        <f>-IF(L$6&gt;=pf_release_start_yr,(L32+L37)*pf_release_rate,0)</f>
        <v>0</v>
      </c>
      <c r="M41" s="62">
        <f>-IF(M$6&gt;=pf_release_start_yr,(M32+M37)*pf_release_rate,0)</f>
        <v>0</v>
      </c>
      <c r="N41" s="62">
        <f>-IF(N$6&gt;=pf_release_start_yr,(N32+N37)*pf_release_rate,0)</f>
        <v>0</v>
      </c>
      <c r="O41" s="62">
        <f>-IF(O$6&gt;=pf_release_start_yr,(O32+O37)*pf_release_rate,0)</f>
        <v>0</v>
      </c>
      <c r="P41" s="62">
        <f>-IF(P$6&gt;=pf_release_start_yr,(P32+P37)*pf_release_rate,0)</f>
        <v>0</v>
      </c>
      <c r="Q41" s="62">
        <f>-IF(Q$6&gt;=pf_release_start_yr,(Q32+Q37)*pf_release_rate,0)</f>
        <v>0</v>
      </c>
      <c r="R41" s="62">
        <f>-IF(R$6&gt;=pf_release_start_yr,(R32+R37)*pf_release_rate,0)</f>
        <v>0</v>
      </c>
      <c r="S41" s="62">
        <f>-IF(S$6&gt;=pf_release_start_yr,(S32+S37)*pf_release_rate,0)</f>
        <v>0</v>
      </c>
      <c r="T41" s="62">
        <f>-IF(T$6&gt;=pf_release_start_yr,(T32+T37)*pf_release_rate,0)</f>
        <v>0</v>
      </c>
      <c r="U41" s="62">
        <f>-IF(U$6&gt;=pf_release_start_yr,(U32+U37)*pf_release_rate,0)</f>
        <v>0</v>
      </c>
      <c r="V41" s="62">
        <f>-IF(V$6&gt;=pf_release_start_yr,(V32+V37)*pf_release_rate,0)</f>
        <v>0</v>
      </c>
      <c r="W41" s="62">
        <f>-IF(W$6&gt;=pf_release_start_yr,(W32+W37)*pf_release_rate,0)</f>
        <v>0</v>
      </c>
      <c r="X41" s="62">
        <f>-IF(X$6&gt;=pf_release_start_yr,(X32+X37)*pf_release_rate,0)</f>
        <v>0</v>
      </c>
      <c r="Y41" s="62">
        <f>-IF(Y$6&gt;=pf_release_start_yr,(Y32+Y37)*pf_release_rate,0)</f>
        <v>0</v>
      </c>
      <c r="Z41" s="62">
        <f>-IF(Z$6&gt;=pf_release_start_yr,(Z32+Z37)*pf_release_rate,0)</f>
        <v>0</v>
      </c>
      <c r="AA41" s="62">
        <f>-IF(AA$6&gt;=pf_release_start_yr,(AA32+AA37)*pf_release_rate,0)</f>
        <v>0</v>
      </c>
      <c r="AB41" s="62">
        <f ca="1">-IF(AB$6&gt;=pf_release_start_yr,(AB32+AB37)*pf_release_rate,0)</f>
        <v>-626746.92940131226</v>
      </c>
      <c r="AC41" s="62">
        <f ca="1">-IF(AC$6&gt;=pf_release_start_yr,(AC32+AC37)*pf_release_rate,0)</f>
        <v>-603870.66647816438</v>
      </c>
      <c r="AD41" s="62">
        <f ca="1">-IF(AD$6&gt;=pf_release_start_yr,(AD32+AD37)*pf_release_rate,0)</f>
        <v>-581829.38715171139</v>
      </c>
      <c r="AE41" s="62">
        <f ca="1">-IF(AE$6&gt;=pf_release_start_yr,(AE32+AE37)*pf_release_rate,0)</f>
        <v>-560592.61452067387</v>
      </c>
      <c r="AF41" s="62">
        <f ca="1">-IF(AF$6&gt;=pf_release_start_yr,(AF32+AF37)*pf_release_rate,0)</f>
        <v>-540130.9840906692</v>
      </c>
      <c r="AG41" s="62">
        <f ca="1">-IF(AG$6&gt;=pf_release_start_yr,(AG32+AG37)*pf_release_rate,0)</f>
        <v>-520416.20317135978</v>
      </c>
      <c r="AH41" s="62">
        <f ca="1">-IF(AH$6&gt;=pf_release_start_yr,(AH32+AH37)*pf_release_rate,0)</f>
        <v>-501421.01175560517</v>
      </c>
      <c r="AI41" s="62">
        <f ca="1">-IF(AI$6&gt;=pf_release_start_yr,(AI32+AI37)*pf_release_rate,0)</f>
        <v>-483119.14482652559</v>
      </c>
      <c r="AJ41" s="62">
        <f ca="1">-IF(AJ$6&gt;=pf_release_start_yr,(AJ32+AJ37)*pf_release_rate,0)</f>
        <v>-465485.29604035738</v>
      </c>
      <c r="AK41" s="62">
        <f ca="1">-IF(AK$6&gt;=pf_release_start_yr,(AK32+AK37)*pf_release_rate,0)</f>
        <v>-448495.08273488434</v>
      </c>
      <c r="AL41" s="62">
        <f ca="1">-IF(AL$6&gt;=pf_release_start_yr,(AL32+AL37)*pf_release_rate,0)</f>
        <v>-432125.01221506106</v>
      </c>
      <c r="AM41" s="62">
        <f ca="1">-IF(AM$6&gt;=pf_release_start_yr,(AM32+AM37)*pf_release_rate,0)</f>
        <v>-416352.44926921133</v>
      </c>
      <c r="AN41" s="62">
        <f ca="1">-IF(AN$6&gt;=pf_release_start_yr,(AN32+AN37)*pf_release_rate,0)</f>
        <v>-401155.58487088518</v>
      </c>
      <c r="AO41" s="62">
        <f ca="1">-IF(AO$6&gt;=pf_release_start_yr,(AO32+AO37)*pf_release_rate,0)</f>
        <v>-386513.40602309786</v>
      </c>
      <c r="AP41" s="62">
        <f ca="1">-IF(AP$6&gt;=pf_release_start_yr,(AP32+AP37)*pf_release_rate,0)</f>
        <v>-372405.6667032548</v>
      </c>
      <c r="AQ41" s="62">
        <f ca="1">-IF(AQ$6&gt;=pf_release_start_yr,(AQ32+AQ37)*pf_release_rate,0)</f>
        <v>-358812.85986858595</v>
      </c>
      <c r="AR41" s="62">
        <f ca="1">-IF(AR$6&gt;=pf_release_start_yr,(AR32+AR37)*pf_release_rate,0)</f>
        <v>-345716.19048338255</v>
      </c>
      <c r="AS41" s="62">
        <f ca="1">-IF(AS$6&gt;=pf_release_start_yr,(AS32+AS37)*pf_release_rate,0)</f>
        <v>-333097.54953073908</v>
      </c>
      <c r="AT41" s="62">
        <f ca="1">-IF(AT$6&gt;=pf_release_start_yr,(AT32+AT37)*pf_release_rate,0)</f>
        <v>-320939.48897286708</v>
      </c>
      <c r="AU41" s="62">
        <f ca="1">-IF(AU$6&gt;=pf_release_start_yr,(AU32+AU37)*pf_release_rate,0)</f>
        <v>-309225.19762535748</v>
      </c>
      <c r="AV41" s="62">
        <f ca="1">-IF(AV$6&gt;=pf_release_start_yr,(AV32+AV37)*pf_release_rate,0)</f>
        <v>-297938.47791203193</v>
      </c>
      <c r="AW41" s="62">
        <f ca="1">-IF(AW$6&gt;=pf_release_start_yr,(AW32+AW37)*pf_release_rate,0)</f>
        <v>-287063.72346824274</v>
      </c>
      <c r="AX41" s="62">
        <f ca="1">-IF(AX$6&gt;=pf_release_start_yr,(AX32+AX37)*pf_release_rate,0)</f>
        <v>-276585.89756165183</v>
      </c>
      <c r="AY41" s="62">
        <f ca="1">-IF(AY$6&gt;=pf_release_start_yr,(AY32+AY37)*pf_release_rate,0)</f>
        <v>-266490.51230065152</v>
      </c>
      <c r="AZ41" s="62">
        <f ca="1">-IF(AZ$6&gt;=pf_release_start_yr,(AZ32+AZ37)*pf_release_rate,0)</f>
        <v>-256763.60860167776</v>
      </c>
      <c r="BA41" s="62">
        <f ca="1">-IF(BA$6&gt;=pf_release_start_yr,(BA32+BA37)*pf_release_rate,0)</f>
        <v>-247391.73688771651</v>
      </c>
    </row>
    <row r="42" spans="1:53" x14ac:dyDescent="0.3">
      <c r="A42" t="s">
        <v>341</v>
      </c>
      <c r="B42" t="s">
        <v>48</v>
      </c>
      <c r="D42" s="62">
        <f>IF(AND(pf_refi_toggle=1,D$6=pf_refi_year),-(D32+D37+D41),0)</f>
        <v>0</v>
      </c>
      <c r="E42" s="62">
        <f>IF(AND(pf_refi_toggle=1,E$6=pf_refi_year),-(E32+E37+E41),0)</f>
        <v>0</v>
      </c>
      <c r="F42" s="62">
        <f>IF(AND(pf_refi_toggle=1,F$6=pf_refi_year),-(F32+F37+F41),0)</f>
        <v>0</v>
      </c>
      <c r="G42" s="62">
        <f>IF(AND(pf_refi_toggle=1,G$6=pf_refi_year),-(G32+G37+G41),0)</f>
        <v>0</v>
      </c>
      <c r="H42" s="62">
        <f>IF(AND(pf_refi_toggle=1,H$6=pf_refi_year),-(H32+H37+H41),0)</f>
        <v>0</v>
      </c>
      <c r="I42" s="62">
        <f>IF(AND(pf_refi_toggle=1,I$6=pf_refi_year),-(I32+I37+I41),0)</f>
        <v>0</v>
      </c>
      <c r="J42" s="62">
        <f>IF(AND(pf_refi_toggle=1,J$6=pf_refi_year),-(J32+J37+J41),0)</f>
        <v>0</v>
      </c>
      <c r="K42" s="62">
        <f>IF(AND(pf_refi_toggle=1,K$6=pf_refi_year),-(K32+K37+K41),0)</f>
        <v>0</v>
      </c>
      <c r="L42" s="62">
        <f>IF(AND(pf_refi_toggle=1,L$6=pf_refi_year),-(L32+L37+L41),0)</f>
        <v>0</v>
      </c>
      <c r="M42" s="62">
        <f>IF(AND(pf_refi_toggle=1,M$6=pf_refi_year),-(M32+M37+M41),0)</f>
        <v>0</v>
      </c>
      <c r="N42" s="62">
        <f>IF(AND(pf_refi_toggle=1,N$6=pf_refi_year),-(N32+N37+N41),0)</f>
        <v>0</v>
      </c>
      <c r="O42" s="62">
        <f>IF(AND(pf_refi_toggle=1,O$6=pf_refi_year),-(O32+O37+O41),0)</f>
        <v>0</v>
      </c>
      <c r="P42" s="62">
        <f>IF(AND(pf_refi_toggle=1,P$6=pf_refi_year),-(P32+P37+P41),0)</f>
        <v>0</v>
      </c>
      <c r="Q42" s="62">
        <f>IF(AND(pf_refi_toggle=1,Q$6=pf_refi_year),-(Q32+Q37+Q41),0)</f>
        <v>0</v>
      </c>
      <c r="R42" s="62">
        <f>IF(AND(pf_refi_toggle=1,R$6=pf_refi_year),-(R32+R37+R41),0)</f>
        <v>0</v>
      </c>
      <c r="S42" s="62">
        <f>IF(AND(pf_refi_toggle=1,S$6=pf_refi_year),-(S32+S37+S41),0)</f>
        <v>0</v>
      </c>
      <c r="T42" s="62">
        <f>IF(AND(pf_refi_toggle=1,T$6=pf_refi_year),-(T32+T37+T41),0)</f>
        <v>0</v>
      </c>
      <c r="U42" s="62">
        <f>IF(AND(pf_refi_toggle=1,U$6=pf_refi_year),-(U32+U37+U41),0)</f>
        <v>0</v>
      </c>
      <c r="V42" s="62">
        <f>IF(AND(pf_refi_toggle=1,V$6=pf_refi_year),-(V32+V37+V41),0)</f>
        <v>0</v>
      </c>
      <c r="W42" s="62">
        <f>IF(AND(pf_refi_toggle=1,W$6=pf_refi_year),-(W32+W37+W41),0)</f>
        <v>0</v>
      </c>
      <c r="X42" s="62">
        <f>IF(AND(pf_refi_toggle=1,X$6=pf_refi_year),-(X32+X37+X41),0)</f>
        <v>0</v>
      </c>
      <c r="Y42" s="62">
        <f>IF(AND(pf_refi_toggle=1,Y$6=pf_refi_year),-(Y32+Y37+Y41),0)</f>
        <v>0</v>
      </c>
      <c r="Z42" s="62">
        <f>IF(AND(pf_refi_toggle=1,Z$6=pf_refi_year),-(Z32+Z37+Z41),0)</f>
        <v>0</v>
      </c>
      <c r="AA42" s="62">
        <f>IF(AND(pf_refi_toggle=1,AA$6=pf_refi_year),-(AA32+AA37+AA41),0)</f>
        <v>0</v>
      </c>
      <c r="AB42" s="62">
        <f>IF(AND(pf_refi_toggle=1,AB$6=pf_refi_year),-(AB32+AB37+AB41),0)</f>
        <v>0</v>
      </c>
      <c r="AC42" s="62">
        <f>IF(AND(pf_refi_toggle=1,AC$6=pf_refi_year),-(AC32+AC37+AC41),0)</f>
        <v>0</v>
      </c>
      <c r="AD42" s="62">
        <f>IF(AND(pf_refi_toggle=1,AD$6=pf_refi_year),-(AD32+AD37+AD41),0)</f>
        <v>0</v>
      </c>
      <c r="AE42" s="62">
        <f>IF(AND(pf_refi_toggle=1,AE$6=pf_refi_year),-(AE32+AE37+AE41),0)</f>
        <v>0</v>
      </c>
      <c r="AF42" s="62">
        <f>IF(AND(pf_refi_toggle=1,AF$6=pf_refi_year),-(AF32+AF37+AF41),0)</f>
        <v>0</v>
      </c>
      <c r="AG42" s="62">
        <f>IF(AND(pf_refi_toggle=1,AG$6=pf_refi_year),-(AG32+AG37+AG41),0)</f>
        <v>0</v>
      </c>
      <c r="AH42" s="62">
        <f>IF(AND(pf_refi_toggle=1,AH$6=pf_refi_year),-(AH32+AH37+AH41),0)</f>
        <v>0</v>
      </c>
      <c r="AI42" s="62">
        <f>IF(AND(pf_refi_toggle=1,AI$6=pf_refi_year),-(AI32+AI37+AI41),0)</f>
        <v>0</v>
      </c>
      <c r="AJ42" s="62">
        <f>IF(AND(pf_refi_toggle=1,AJ$6=pf_refi_year),-(AJ32+AJ37+AJ41),0)</f>
        <v>0</v>
      </c>
      <c r="AK42" s="62">
        <f>IF(AND(pf_refi_toggle=1,AK$6=pf_refi_year),-(AK32+AK37+AK41),0)</f>
        <v>0</v>
      </c>
      <c r="AL42" s="62">
        <f>IF(AND(pf_refi_toggle=1,AL$6=pf_refi_year),-(AL32+AL37+AL41),0)</f>
        <v>0</v>
      </c>
      <c r="AM42" s="62">
        <f>IF(AND(pf_refi_toggle=1,AM$6=pf_refi_year),-(AM32+AM37+AM41),0)</f>
        <v>0</v>
      </c>
      <c r="AN42" s="62">
        <f>IF(AND(pf_refi_toggle=1,AN$6=pf_refi_year),-(AN32+AN37+AN41),0)</f>
        <v>0</v>
      </c>
      <c r="AO42" s="62">
        <f>IF(AND(pf_refi_toggle=1,AO$6=pf_refi_year),-(AO32+AO37+AO41),0)</f>
        <v>0</v>
      </c>
      <c r="AP42" s="62">
        <f>IF(AND(pf_refi_toggle=1,AP$6=pf_refi_year),-(AP32+AP37+AP41),0)</f>
        <v>0</v>
      </c>
      <c r="AQ42" s="62">
        <f>IF(AND(pf_refi_toggle=1,AQ$6=pf_refi_year),-(AQ32+AQ37+AQ41),0)</f>
        <v>0</v>
      </c>
      <c r="AR42" s="62">
        <f>IF(AND(pf_refi_toggle=1,AR$6=pf_refi_year),-(AR32+AR37+AR41),0)</f>
        <v>0</v>
      </c>
      <c r="AS42" s="62">
        <f>IF(AND(pf_refi_toggle=1,AS$6=pf_refi_year),-(AS32+AS37+AS41),0)</f>
        <v>0</v>
      </c>
      <c r="AT42" s="62">
        <f>IF(AND(pf_refi_toggle=1,AT$6=pf_refi_year),-(AT32+AT37+AT41),0)</f>
        <v>0</v>
      </c>
      <c r="AU42" s="62">
        <f>IF(AND(pf_refi_toggle=1,AU$6=pf_refi_year),-(AU32+AU37+AU41),0)</f>
        <v>0</v>
      </c>
      <c r="AV42" s="62">
        <f>IF(AND(pf_refi_toggle=1,AV$6=pf_refi_year),-(AV32+AV37+AV41),0)</f>
        <v>0</v>
      </c>
      <c r="AW42" s="62">
        <f>IF(AND(pf_refi_toggle=1,AW$6=pf_refi_year),-(AW32+AW37+AW41),0)</f>
        <v>0</v>
      </c>
      <c r="AX42" s="62">
        <f>IF(AND(pf_refi_toggle=1,AX$6=pf_refi_year),-(AX32+AX37+AX41),0)</f>
        <v>0</v>
      </c>
      <c r="AY42" s="62">
        <f>IF(AND(pf_refi_toggle=1,AY$6=pf_refi_year),-(AY32+AY37+AY41),0)</f>
        <v>0</v>
      </c>
      <c r="AZ42" s="62">
        <f>IF(AND(pf_refi_toggle=1,AZ$6=pf_refi_year),-(AZ32+AZ37+AZ41),0)</f>
        <v>0</v>
      </c>
      <c r="BA42" s="62">
        <f>IF(AND(pf_refi_toggle=1,BA$6=pf_refi_year),-(BA32+BA37+BA41),0)</f>
        <v>0</v>
      </c>
    </row>
    <row r="43" spans="1:53" x14ac:dyDescent="0.3">
      <c r="A43" t="s">
        <v>136</v>
      </c>
      <c r="B43" t="s">
        <v>48</v>
      </c>
      <c r="D43" s="62">
        <f t="shared" ref="D43:AI43" ca="1" si="20">D32+D37+D41+D42</f>
        <v>53300</v>
      </c>
      <c r="E43" s="62">
        <f t="shared" ca="1" si="20"/>
        <v>465436.7109375</v>
      </c>
      <c r="F43" s="62">
        <f t="shared" ca="1" si="20"/>
        <v>1165356.977776489</v>
      </c>
      <c r="G43" s="62">
        <f t="shared" ca="1" si="20"/>
        <v>1860651.4576776596</v>
      </c>
      <c r="H43" s="62">
        <f t="shared" ca="1" si="20"/>
        <v>2631621.5852154121</v>
      </c>
      <c r="I43" s="62">
        <f t="shared" ca="1" si="20"/>
        <v>3451190.3387635429</v>
      </c>
      <c r="J43" s="62">
        <f t="shared" ca="1" si="20"/>
        <v>4336812.7913434496</v>
      </c>
      <c r="K43" s="62">
        <f t="shared" ca="1" si="20"/>
        <v>5236701.4455472147</v>
      </c>
      <c r="L43" s="62">
        <f t="shared" ca="1" si="20"/>
        <v>6194269.7098758481</v>
      </c>
      <c r="M43" s="62">
        <f t="shared" ca="1" si="20"/>
        <v>7212452.7934366884</v>
      </c>
      <c r="N43" s="62">
        <f t="shared" ca="1" si="20"/>
        <v>7392764.1132726055</v>
      </c>
      <c r="O43" s="62">
        <f t="shared" ca="1" si="20"/>
        <v>7577583.2161044208</v>
      </c>
      <c r="P43" s="62">
        <f t="shared" ca="1" si="20"/>
        <v>7767022.7965070317</v>
      </c>
      <c r="Q43" s="62">
        <f t="shared" ca="1" si="20"/>
        <v>7961198.3664197074</v>
      </c>
      <c r="R43" s="62">
        <f t="shared" ca="1" si="20"/>
        <v>8160228.3255802002</v>
      </c>
      <c r="S43" s="62">
        <f t="shared" ca="1" si="20"/>
        <v>8364234.0337197054</v>
      </c>
      <c r="T43" s="62">
        <f t="shared" ca="1" si="20"/>
        <v>8573339.8845626973</v>
      </c>
      <c r="U43" s="62">
        <f t="shared" ca="1" si="20"/>
        <v>8787673.3816767652</v>
      </c>
      <c r="V43" s="62">
        <f t="shared" ca="1" si="20"/>
        <v>9007365.2162186839</v>
      </c>
      <c r="W43" s="62">
        <f t="shared" ca="1" si="20"/>
        <v>9232549.3466241509</v>
      </c>
      <c r="X43" s="62">
        <f t="shared" ca="1" si="20"/>
        <v>9463363.080289755</v>
      </c>
      <c r="Y43" s="62">
        <f t="shared" ca="1" si="20"/>
        <v>9699947.1572969984</v>
      </c>
      <c r="Z43" s="62">
        <f t="shared" ca="1" si="20"/>
        <v>9942445.8362294231</v>
      </c>
      <c r="AA43" s="62">
        <f t="shared" ca="1" si="20"/>
        <v>10191006.982135158</v>
      </c>
      <c r="AB43" s="62">
        <f t="shared" ca="1" si="20"/>
        <v>9819035.2272872254</v>
      </c>
      <c r="AC43" s="62">
        <f t="shared" ca="1" si="20"/>
        <v>9460640.4414912425</v>
      </c>
      <c r="AD43" s="62">
        <f t="shared" ca="1" si="20"/>
        <v>9115327.0653768126</v>
      </c>
      <c r="AE43" s="62">
        <f t="shared" ca="1" si="20"/>
        <v>8782617.6274905577</v>
      </c>
      <c r="AF43" s="62">
        <f t="shared" ca="1" si="20"/>
        <v>8462052.084087152</v>
      </c>
      <c r="AG43" s="62">
        <f t="shared" ca="1" si="20"/>
        <v>8153187.183017971</v>
      </c>
      <c r="AH43" s="62">
        <f t="shared" ca="1" si="20"/>
        <v>7855595.8508378146</v>
      </c>
      <c r="AI43" s="62">
        <f t="shared" ca="1" si="20"/>
        <v>7568866.6022822345</v>
      </c>
      <c r="AJ43" s="62">
        <f t="shared" ref="AJ43:BA43" ca="1" si="21">AJ32+AJ37+AJ41+AJ42</f>
        <v>7292602.971298933</v>
      </c>
      <c r="AK43" s="62">
        <f t="shared" ca="1" si="21"/>
        <v>7026422.9628465213</v>
      </c>
      <c r="AL43" s="62">
        <f t="shared" ca="1" si="21"/>
        <v>6769958.5247026235</v>
      </c>
      <c r="AM43" s="62">
        <f t="shared" ca="1" si="21"/>
        <v>6522855.0385509785</v>
      </c>
      <c r="AN43" s="62">
        <f t="shared" ca="1" si="21"/>
        <v>6284770.8296438679</v>
      </c>
      <c r="AO43" s="62">
        <f t="shared" ca="1" si="21"/>
        <v>6055376.6943618665</v>
      </c>
      <c r="AP43" s="62">
        <f t="shared" ca="1" si="21"/>
        <v>5834355.4450176582</v>
      </c>
      <c r="AQ43" s="62">
        <f t="shared" ca="1" si="21"/>
        <v>5621401.4712745138</v>
      </c>
      <c r="AR43" s="62">
        <f t="shared" ca="1" si="21"/>
        <v>5416220.3175729932</v>
      </c>
      <c r="AS43" s="62">
        <f t="shared" ca="1" si="21"/>
        <v>5218528.275981579</v>
      </c>
      <c r="AT43" s="62">
        <f t="shared" ca="1" si="21"/>
        <v>5028051.9939082516</v>
      </c>
      <c r="AU43" s="62">
        <f t="shared" ca="1" si="21"/>
        <v>4844528.0961306002</v>
      </c>
      <c r="AV43" s="62">
        <f t="shared" ca="1" si="21"/>
        <v>4667702.8206218332</v>
      </c>
      <c r="AW43" s="62">
        <f t="shared" ca="1" si="21"/>
        <v>4497331.6676691361</v>
      </c>
      <c r="AX43" s="62">
        <f t="shared" ca="1" si="21"/>
        <v>4333179.0617992124</v>
      </c>
      <c r="AY43" s="62">
        <f t="shared" ca="1" si="21"/>
        <v>4175018.0260435408</v>
      </c>
      <c r="AZ43" s="62">
        <f t="shared" ca="1" si="21"/>
        <v>4022629.8680929518</v>
      </c>
      <c r="BA43" s="62">
        <f t="shared" ca="1" si="21"/>
        <v>3875803.8779075588</v>
      </c>
    </row>
    <row r="45" spans="1:53" x14ac:dyDescent="0.3">
      <c r="A45" s="37" t="s">
        <v>208</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row>
    <row r="46" spans="1:53" x14ac:dyDescent="0.3">
      <c r="A46" t="s">
        <v>134</v>
      </c>
      <c r="B46" t="s">
        <v>48</v>
      </c>
      <c r="D46" s="62">
        <f>0</f>
        <v>0</v>
      </c>
      <c r="E46" s="62">
        <f t="shared" ref="E46:AJ46" si="22">D50</f>
        <v>0</v>
      </c>
      <c r="F46" s="62">
        <f t="shared" si="22"/>
        <v>0</v>
      </c>
      <c r="G46" s="62">
        <f t="shared" si="22"/>
        <v>0</v>
      </c>
      <c r="H46" s="62">
        <f t="shared" si="22"/>
        <v>0</v>
      </c>
      <c r="I46" s="62">
        <f t="shared" si="22"/>
        <v>0</v>
      </c>
      <c r="J46" s="62">
        <f t="shared" si="22"/>
        <v>0</v>
      </c>
      <c r="K46" s="62">
        <f t="shared" si="22"/>
        <v>0</v>
      </c>
      <c r="L46" s="62">
        <f t="shared" si="22"/>
        <v>0</v>
      </c>
      <c r="M46" s="62">
        <f t="shared" si="22"/>
        <v>0</v>
      </c>
      <c r="N46" s="62">
        <f t="shared" si="22"/>
        <v>0</v>
      </c>
      <c r="O46" s="62">
        <f t="shared" si="22"/>
        <v>0</v>
      </c>
      <c r="P46" s="62">
        <f t="shared" si="22"/>
        <v>0</v>
      </c>
      <c r="Q46" s="62">
        <f t="shared" si="22"/>
        <v>0</v>
      </c>
      <c r="R46" s="62">
        <f t="shared" si="22"/>
        <v>0</v>
      </c>
      <c r="S46" s="62">
        <f t="shared" si="22"/>
        <v>0</v>
      </c>
      <c r="T46" s="62">
        <f t="shared" si="22"/>
        <v>0</v>
      </c>
      <c r="U46" s="62">
        <f t="shared" si="22"/>
        <v>0</v>
      </c>
      <c r="V46" s="62">
        <f t="shared" si="22"/>
        <v>0</v>
      </c>
      <c r="W46" s="62">
        <f t="shared" si="22"/>
        <v>0</v>
      </c>
      <c r="X46" s="62">
        <f t="shared" si="22"/>
        <v>0</v>
      </c>
      <c r="Y46" s="62">
        <f t="shared" si="22"/>
        <v>0</v>
      </c>
      <c r="Z46" s="62">
        <f t="shared" si="22"/>
        <v>0</v>
      </c>
      <c r="AA46" s="62">
        <f t="shared" si="22"/>
        <v>0</v>
      </c>
      <c r="AB46" s="62">
        <f t="shared" si="22"/>
        <v>0</v>
      </c>
      <c r="AC46" s="62">
        <f t="shared" si="22"/>
        <v>0</v>
      </c>
      <c r="AD46" s="62">
        <f t="shared" si="22"/>
        <v>0</v>
      </c>
      <c r="AE46" s="62">
        <f t="shared" si="22"/>
        <v>0</v>
      </c>
      <c r="AF46" s="62">
        <f t="shared" si="22"/>
        <v>0</v>
      </c>
      <c r="AG46" s="62">
        <f t="shared" si="22"/>
        <v>0</v>
      </c>
      <c r="AH46" s="62">
        <f t="shared" si="22"/>
        <v>0</v>
      </c>
      <c r="AI46" s="62">
        <f t="shared" si="22"/>
        <v>0</v>
      </c>
      <c r="AJ46" s="62">
        <f t="shared" si="22"/>
        <v>0</v>
      </c>
      <c r="AK46" s="62">
        <f t="shared" ref="AK46:BA46" si="23">AJ50</f>
        <v>0</v>
      </c>
      <c r="AL46" s="62">
        <f t="shared" si="23"/>
        <v>0</v>
      </c>
      <c r="AM46" s="62">
        <f t="shared" si="23"/>
        <v>0</v>
      </c>
      <c r="AN46" s="62">
        <f t="shared" si="23"/>
        <v>0</v>
      </c>
      <c r="AO46" s="62">
        <f t="shared" si="23"/>
        <v>0</v>
      </c>
      <c r="AP46" s="62">
        <f t="shared" si="23"/>
        <v>0</v>
      </c>
      <c r="AQ46" s="62">
        <f t="shared" si="23"/>
        <v>0</v>
      </c>
      <c r="AR46" s="62">
        <f t="shared" si="23"/>
        <v>0</v>
      </c>
      <c r="AS46" s="62">
        <f t="shared" si="23"/>
        <v>0</v>
      </c>
      <c r="AT46" s="62">
        <f t="shared" si="23"/>
        <v>0</v>
      </c>
      <c r="AU46" s="62">
        <f t="shared" si="23"/>
        <v>0</v>
      </c>
      <c r="AV46" s="62">
        <f t="shared" si="23"/>
        <v>0</v>
      </c>
      <c r="AW46" s="62">
        <f t="shared" si="23"/>
        <v>0</v>
      </c>
      <c r="AX46" s="62">
        <f t="shared" si="23"/>
        <v>0</v>
      </c>
      <c r="AY46" s="62">
        <f t="shared" si="23"/>
        <v>0</v>
      </c>
      <c r="AZ46" s="62">
        <f t="shared" si="23"/>
        <v>0</v>
      </c>
      <c r="BA46" s="62">
        <f t="shared" si="23"/>
        <v>0</v>
      </c>
    </row>
    <row r="47" spans="1:53" x14ac:dyDescent="0.3">
      <c r="A47" t="s">
        <v>209</v>
      </c>
      <c r="B47" t="s">
        <v>48</v>
      </c>
      <c r="D47" s="62">
        <f t="shared" ref="D47:AI47" si="24">-D42</f>
        <v>0</v>
      </c>
      <c r="E47" s="62">
        <f t="shared" si="24"/>
        <v>0</v>
      </c>
      <c r="F47" s="62">
        <f t="shared" si="24"/>
        <v>0</v>
      </c>
      <c r="G47" s="62">
        <f t="shared" si="24"/>
        <v>0</v>
      </c>
      <c r="H47" s="62">
        <f t="shared" si="24"/>
        <v>0</v>
      </c>
      <c r="I47" s="62">
        <f t="shared" si="24"/>
        <v>0</v>
      </c>
      <c r="J47" s="62">
        <f t="shared" si="24"/>
        <v>0</v>
      </c>
      <c r="K47" s="62">
        <f t="shared" si="24"/>
        <v>0</v>
      </c>
      <c r="L47" s="62">
        <f t="shared" si="24"/>
        <v>0</v>
      </c>
      <c r="M47" s="62">
        <f t="shared" si="24"/>
        <v>0</v>
      </c>
      <c r="N47" s="62">
        <f t="shared" si="24"/>
        <v>0</v>
      </c>
      <c r="O47" s="62">
        <f t="shared" si="24"/>
        <v>0</v>
      </c>
      <c r="P47" s="62">
        <f t="shared" si="24"/>
        <v>0</v>
      </c>
      <c r="Q47" s="62">
        <f t="shared" si="24"/>
        <v>0</v>
      </c>
      <c r="R47" s="62">
        <f t="shared" si="24"/>
        <v>0</v>
      </c>
      <c r="S47" s="62">
        <f t="shared" si="24"/>
        <v>0</v>
      </c>
      <c r="T47" s="62">
        <f t="shared" si="24"/>
        <v>0</v>
      </c>
      <c r="U47" s="62">
        <f t="shared" si="24"/>
        <v>0</v>
      </c>
      <c r="V47" s="62">
        <f t="shared" si="24"/>
        <v>0</v>
      </c>
      <c r="W47" s="62">
        <f t="shared" si="24"/>
        <v>0</v>
      </c>
      <c r="X47" s="62">
        <f t="shared" si="24"/>
        <v>0</v>
      </c>
      <c r="Y47" s="62">
        <f t="shared" si="24"/>
        <v>0</v>
      </c>
      <c r="Z47" s="62">
        <f t="shared" si="24"/>
        <v>0</v>
      </c>
      <c r="AA47" s="62">
        <f t="shared" si="24"/>
        <v>0</v>
      </c>
      <c r="AB47" s="62">
        <f t="shared" si="24"/>
        <v>0</v>
      </c>
      <c r="AC47" s="62">
        <f t="shared" si="24"/>
        <v>0</v>
      </c>
      <c r="AD47" s="62">
        <f t="shared" si="24"/>
        <v>0</v>
      </c>
      <c r="AE47" s="62">
        <f t="shared" si="24"/>
        <v>0</v>
      </c>
      <c r="AF47" s="62">
        <f t="shared" si="24"/>
        <v>0</v>
      </c>
      <c r="AG47" s="62">
        <f t="shared" si="24"/>
        <v>0</v>
      </c>
      <c r="AH47" s="62">
        <f t="shared" si="24"/>
        <v>0</v>
      </c>
      <c r="AI47" s="62">
        <f t="shared" si="24"/>
        <v>0</v>
      </c>
      <c r="AJ47" s="62">
        <f t="shared" ref="AJ47:BA47" si="25">-AJ42</f>
        <v>0</v>
      </c>
      <c r="AK47" s="62">
        <f t="shared" si="25"/>
        <v>0</v>
      </c>
      <c r="AL47" s="62">
        <f t="shared" si="25"/>
        <v>0</v>
      </c>
      <c r="AM47" s="62">
        <f t="shared" si="25"/>
        <v>0</v>
      </c>
      <c r="AN47" s="62">
        <f t="shared" si="25"/>
        <v>0</v>
      </c>
      <c r="AO47" s="62">
        <f t="shared" si="25"/>
        <v>0</v>
      </c>
      <c r="AP47" s="62">
        <f t="shared" si="25"/>
        <v>0</v>
      </c>
      <c r="AQ47" s="62">
        <f t="shared" si="25"/>
        <v>0</v>
      </c>
      <c r="AR47" s="62">
        <f t="shared" si="25"/>
        <v>0</v>
      </c>
      <c r="AS47" s="62">
        <f t="shared" si="25"/>
        <v>0</v>
      </c>
      <c r="AT47" s="62">
        <f t="shared" si="25"/>
        <v>0</v>
      </c>
      <c r="AU47" s="62">
        <f t="shared" si="25"/>
        <v>0</v>
      </c>
      <c r="AV47" s="62">
        <f t="shared" si="25"/>
        <v>0</v>
      </c>
      <c r="AW47" s="62">
        <f t="shared" si="25"/>
        <v>0</v>
      </c>
      <c r="AX47" s="62">
        <f t="shared" si="25"/>
        <v>0</v>
      </c>
      <c r="AY47" s="62">
        <f t="shared" si="25"/>
        <v>0</v>
      </c>
      <c r="AZ47" s="62">
        <f t="shared" si="25"/>
        <v>0</v>
      </c>
      <c r="BA47" s="62">
        <f t="shared" si="25"/>
        <v>0</v>
      </c>
    </row>
    <row r="48" spans="1:53" x14ac:dyDescent="0.3">
      <c r="A48" t="s">
        <v>207</v>
      </c>
      <c r="B48" t="s">
        <v>48</v>
      </c>
      <c r="D48" s="62">
        <f>-(D46+D47)*pf_refi_rate</f>
        <v>0</v>
      </c>
      <c r="E48" s="62">
        <f>-(E46+E47)*pf_refi_rate</f>
        <v>0</v>
      </c>
      <c r="F48" s="62">
        <f>-(F46+F47)*pf_refi_rate</f>
        <v>0</v>
      </c>
      <c r="G48" s="62">
        <f>-(G46+G47)*pf_refi_rate</f>
        <v>0</v>
      </c>
      <c r="H48" s="62">
        <f>-(H46+H47)*pf_refi_rate</f>
        <v>0</v>
      </c>
      <c r="I48" s="62">
        <f>-(I46+I47)*pf_refi_rate</f>
        <v>0</v>
      </c>
      <c r="J48" s="62">
        <f>-(J46+J47)*pf_refi_rate</f>
        <v>0</v>
      </c>
      <c r="K48" s="62">
        <f>-(K46+K47)*pf_refi_rate</f>
        <v>0</v>
      </c>
      <c r="L48" s="62">
        <f>-(L46+L47)*pf_refi_rate</f>
        <v>0</v>
      </c>
      <c r="M48" s="62">
        <f>-(M46+M47)*pf_refi_rate</f>
        <v>0</v>
      </c>
      <c r="N48" s="62">
        <f>-(N46+N47)*pf_refi_rate</f>
        <v>0</v>
      </c>
      <c r="O48" s="62">
        <f>-(O46+O47)*pf_refi_rate</f>
        <v>0</v>
      </c>
      <c r="P48" s="62">
        <f>-(P46+P47)*pf_refi_rate</f>
        <v>0</v>
      </c>
      <c r="Q48" s="62">
        <f>-(Q46+Q47)*pf_refi_rate</f>
        <v>0</v>
      </c>
      <c r="R48" s="62">
        <f>-(R46+R47)*pf_refi_rate</f>
        <v>0</v>
      </c>
      <c r="S48" s="62">
        <f>-(S46+S47)*pf_refi_rate</f>
        <v>0</v>
      </c>
      <c r="T48" s="62">
        <f>-(T46+T47)*pf_refi_rate</f>
        <v>0</v>
      </c>
      <c r="U48" s="62">
        <f>-(U46+U47)*pf_refi_rate</f>
        <v>0</v>
      </c>
      <c r="V48" s="62">
        <f>-(V46+V47)*pf_refi_rate</f>
        <v>0</v>
      </c>
      <c r="W48" s="62">
        <f>-(W46+W47)*pf_refi_rate</f>
        <v>0</v>
      </c>
      <c r="X48" s="62">
        <f>-(X46+X47)*pf_refi_rate</f>
        <v>0</v>
      </c>
      <c r="Y48" s="62">
        <f>-(Y46+Y47)*pf_refi_rate</f>
        <v>0</v>
      </c>
      <c r="Z48" s="62">
        <f>-(Z46+Z47)*pf_refi_rate</f>
        <v>0</v>
      </c>
      <c r="AA48" s="62">
        <f>-(AA46+AA47)*pf_refi_rate</f>
        <v>0</v>
      </c>
      <c r="AB48" s="62">
        <f>-(AB46+AB47)*pf_refi_rate</f>
        <v>0</v>
      </c>
      <c r="AC48" s="62">
        <f>-(AC46+AC47)*pf_refi_rate</f>
        <v>0</v>
      </c>
      <c r="AD48" s="62">
        <f>-(AD46+AD47)*pf_refi_rate</f>
        <v>0</v>
      </c>
      <c r="AE48" s="62">
        <f>-(AE46+AE47)*pf_refi_rate</f>
        <v>0</v>
      </c>
      <c r="AF48" s="62">
        <f>-(AF46+AF47)*pf_refi_rate</f>
        <v>0</v>
      </c>
      <c r="AG48" s="62">
        <f>-(AG46+AG47)*pf_refi_rate</f>
        <v>0</v>
      </c>
      <c r="AH48" s="62">
        <f>-(AH46+AH47)*pf_refi_rate</f>
        <v>0</v>
      </c>
      <c r="AI48" s="62">
        <f>-(AI46+AI47)*pf_refi_rate</f>
        <v>0</v>
      </c>
      <c r="AJ48" s="62">
        <f>-(AJ46+AJ47)*pf_refi_rate</f>
        <v>0</v>
      </c>
      <c r="AK48" s="62">
        <f>-(AK46+AK47)*pf_refi_rate</f>
        <v>0</v>
      </c>
      <c r="AL48" s="62">
        <f>-(AL46+AL47)*pf_refi_rate</f>
        <v>0</v>
      </c>
      <c r="AM48" s="62">
        <f>-(AM46+AM47)*pf_refi_rate</f>
        <v>0</v>
      </c>
      <c r="AN48" s="62">
        <f>-(AN46+AN47)*pf_refi_rate</f>
        <v>0</v>
      </c>
      <c r="AO48" s="62">
        <f>-(AO46+AO47)*pf_refi_rate</f>
        <v>0</v>
      </c>
      <c r="AP48" s="62">
        <f>-(AP46+AP47)*pf_refi_rate</f>
        <v>0</v>
      </c>
      <c r="AQ48" s="62">
        <f>-(AQ46+AQ47)*pf_refi_rate</f>
        <v>0</v>
      </c>
      <c r="AR48" s="62">
        <f>-(AR46+AR47)*pf_refi_rate</f>
        <v>0</v>
      </c>
      <c r="AS48" s="62">
        <f>-(AS46+AS47)*pf_refi_rate</f>
        <v>0</v>
      </c>
      <c r="AT48" s="62">
        <f>-(AT46+AT47)*pf_refi_rate</f>
        <v>0</v>
      </c>
      <c r="AU48" s="62">
        <f>-(AU46+AU47)*pf_refi_rate</f>
        <v>0</v>
      </c>
      <c r="AV48" s="62">
        <f>-(AV46+AV47)*pf_refi_rate</f>
        <v>0</v>
      </c>
      <c r="AW48" s="62">
        <f>-(AW46+AW47)*pf_refi_rate</f>
        <v>0</v>
      </c>
      <c r="AX48" s="62">
        <f>-(AX46+AX47)*pf_refi_rate</f>
        <v>0</v>
      </c>
      <c r="AY48" s="62">
        <f>-(AY46+AY47)*pf_refi_rate</f>
        <v>0</v>
      </c>
      <c r="AZ48" s="62">
        <f>-(AZ46+AZ47)*pf_refi_rate</f>
        <v>0</v>
      </c>
      <c r="BA48" s="62">
        <f>-(BA46+BA47)*pf_refi_rate</f>
        <v>0</v>
      </c>
    </row>
    <row r="49" spans="1:53" x14ac:dyDescent="0.3">
      <c r="A49" t="s">
        <v>210</v>
      </c>
      <c r="B49" t="s">
        <v>48</v>
      </c>
      <c r="D49" s="62">
        <f>-MIN(D46+D47,IF(D46+D47=0,0,(D46+D47)/MAX(1,pf_refi_amort_yrs-(D$6-pf_refi_year))))</f>
        <v>0</v>
      </c>
      <c r="E49" s="62">
        <f>-MIN(E46+E47,IF(E46+E47=0,0,(E46+E47)/MAX(1,pf_refi_amort_yrs-(E$6-pf_refi_year))))</f>
        <v>0</v>
      </c>
      <c r="F49" s="62">
        <f>-MIN(F46+F47,IF(F46+F47=0,0,(F46+F47)/MAX(1,pf_refi_amort_yrs-(F$6-pf_refi_year))))</f>
        <v>0</v>
      </c>
      <c r="G49" s="62">
        <f>-MIN(G46+G47,IF(G46+G47=0,0,(G46+G47)/MAX(1,pf_refi_amort_yrs-(G$6-pf_refi_year))))</f>
        <v>0</v>
      </c>
      <c r="H49" s="62">
        <f>-MIN(H46+H47,IF(H46+H47=0,0,(H46+H47)/MAX(1,pf_refi_amort_yrs-(H$6-pf_refi_year))))</f>
        <v>0</v>
      </c>
      <c r="I49" s="62">
        <f>-MIN(I46+I47,IF(I46+I47=0,0,(I46+I47)/MAX(1,pf_refi_amort_yrs-(I$6-pf_refi_year))))</f>
        <v>0</v>
      </c>
      <c r="J49" s="62">
        <f>-MIN(J46+J47,IF(J46+J47=0,0,(J46+J47)/MAX(1,pf_refi_amort_yrs-(J$6-pf_refi_year))))</f>
        <v>0</v>
      </c>
      <c r="K49" s="62">
        <f>-MIN(K46+K47,IF(K46+K47=0,0,(K46+K47)/MAX(1,pf_refi_amort_yrs-(K$6-pf_refi_year))))</f>
        <v>0</v>
      </c>
      <c r="L49" s="62">
        <f>-MIN(L46+L47,IF(L46+L47=0,0,(L46+L47)/MAX(1,pf_refi_amort_yrs-(L$6-pf_refi_year))))</f>
        <v>0</v>
      </c>
      <c r="M49" s="62">
        <f>-MIN(M46+M47,IF(M46+M47=0,0,(M46+M47)/MAX(1,pf_refi_amort_yrs-(M$6-pf_refi_year))))</f>
        <v>0</v>
      </c>
      <c r="N49" s="62">
        <f>-MIN(N46+N47,IF(N46+N47=0,0,(N46+N47)/MAX(1,pf_refi_amort_yrs-(N$6-pf_refi_year))))</f>
        <v>0</v>
      </c>
      <c r="O49" s="62">
        <f>-MIN(O46+O47,IF(O46+O47=0,0,(O46+O47)/MAX(1,pf_refi_amort_yrs-(O$6-pf_refi_year))))</f>
        <v>0</v>
      </c>
      <c r="P49" s="62">
        <f>-MIN(P46+P47,IF(P46+P47=0,0,(P46+P47)/MAX(1,pf_refi_amort_yrs-(P$6-pf_refi_year))))</f>
        <v>0</v>
      </c>
      <c r="Q49" s="62">
        <f>-MIN(Q46+Q47,IF(Q46+Q47=0,0,(Q46+Q47)/MAX(1,pf_refi_amort_yrs-(Q$6-pf_refi_year))))</f>
        <v>0</v>
      </c>
      <c r="R49" s="62">
        <f>-MIN(R46+R47,IF(R46+R47=0,0,(R46+R47)/MAX(1,pf_refi_amort_yrs-(R$6-pf_refi_year))))</f>
        <v>0</v>
      </c>
      <c r="S49" s="62">
        <f>-MIN(S46+S47,IF(S46+S47=0,0,(S46+S47)/MAX(1,pf_refi_amort_yrs-(S$6-pf_refi_year))))</f>
        <v>0</v>
      </c>
      <c r="T49" s="62">
        <f>-MIN(T46+T47,IF(T46+T47=0,0,(T46+T47)/MAX(1,pf_refi_amort_yrs-(T$6-pf_refi_year))))</f>
        <v>0</v>
      </c>
      <c r="U49" s="62">
        <f>-MIN(U46+U47,IF(U46+U47=0,0,(U46+U47)/MAX(1,pf_refi_amort_yrs-(U$6-pf_refi_year))))</f>
        <v>0</v>
      </c>
      <c r="V49" s="62">
        <f>-MIN(V46+V47,IF(V46+V47=0,0,(V46+V47)/MAX(1,pf_refi_amort_yrs-(V$6-pf_refi_year))))</f>
        <v>0</v>
      </c>
      <c r="W49" s="62">
        <f>-MIN(W46+W47,IF(W46+W47=0,0,(W46+W47)/MAX(1,pf_refi_amort_yrs-(W$6-pf_refi_year))))</f>
        <v>0</v>
      </c>
      <c r="X49" s="62">
        <f>-MIN(X46+X47,IF(X46+X47=0,0,(X46+X47)/MAX(1,pf_refi_amort_yrs-(X$6-pf_refi_year))))</f>
        <v>0</v>
      </c>
      <c r="Y49" s="62">
        <f>-MIN(Y46+Y47,IF(Y46+Y47=0,0,(Y46+Y47)/MAX(1,pf_refi_amort_yrs-(Y$6-pf_refi_year))))</f>
        <v>0</v>
      </c>
      <c r="Z49" s="62">
        <f>-MIN(Z46+Z47,IF(Z46+Z47=0,0,(Z46+Z47)/MAX(1,pf_refi_amort_yrs-(Z$6-pf_refi_year))))</f>
        <v>0</v>
      </c>
      <c r="AA49" s="62">
        <f>-MIN(AA46+AA47,IF(AA46+AA47=0,0,(AA46+AA47)/MAX(1,pf_refi_amort_yrs-(AA$6-pf_refi_year))))</f>
        <v>0</v>
      </c>
      <c r="AB49" s="62">
        <f>-MIN(AB46+AB47,IF(AB46+AB47=0,0,(AB46+AB47)/MAX(1,pf_refi_amort_yrs-(AB$6-pf_refi_year))))</f>
        <v>0</v>
      </c>
      <c r="AC49" s="62">
        <f>-MIN(AC46+AC47,IF(AC46+AC47=0,0,(AC46+AC47)/MAX(1,pf_refi_amort_yrs-(AC$6-pf_refi_year))))</f>
        <v>0</v>
      </c>
      <c r="AD49" s="62">
        <f>-MIN(AD46+AD47,IF(AD46+AD47=0,0,(AD46+AD47)/MAX(1,pf_refi_amort_yrs-(AD$6-pf_refi_year))))</f>
        <v>0</v>
      </c>
      <c r="AE49" s="62">
        <f>-MIN(AE46+AE47,IF(AE46+AE47=0,0,(AE46+AE47)/MAX(1,pf_refi_amort_yrs-(AE$6-pf_refi_year))))</f>
        <v>0</v>
      </c>
      <c r="AF49" s="62">
        <f>-MIN(AF46+AF47,IF(AF46+AF47=0,0,(AF46+AF47)/MAX(1,pf_refi_amort_yrs-(AF$6-pf_refi_year))))</f>
        <v>0</v>
      </c>
      <c r="AG49" s="62">
        <f>-MIN(AG46+AG47,IF(AG46+AG47=0,0,(AG46+AG47)/MAX(1,pf_refi_amort_yrs-(AG$6-pf_refi_year))))</f>
        <v>0</v>
      </c>
      <c r="AH49" s="62">
        <f>-MIN(AH46+AH47,IF(AH46+AH47=0,0,(AH46+AH47)/MAX(1,pf_refi_amort_yrs-(AH$6-pf_refi_year))))</f>
        <v>0</v>
      </c>
      <c r="AI49" s="62">
        <f>-MIN(AI46+AI47,IF(AI46+AI47=0,0,(AI46+AI47)/MAX(1,pf_refi_amort_yrs-(AI$6-pf_refi_year))))</f>
        <v>0</v>
      </c>
      <c r="AJ49" s="62">
        <f>-MIN(AJ46+AJ47,IF(AJ46+AJ47=0,0,(AJ46+AJ47)/MAX(1,pf_refi_amort_yrs-(AJ$6-pf_refi_year))))</f>
        <v>0</v>
      </c>
      <c r="AK49" s="62">
        <f>-MIN(AK46+AK47,IF(AK46+AK47=0,0,(AK46+AK47)/MAX(1,pf_refi_amort_yrs-(AK$6-pf_refi_year))))</f>
        <v>0</v>
      </c>
      <c r="AL49" s="62">
        <f>-MIN(AL46+AL47,IF(AL46+AL47=0,0,(AL46+AL47)/MAX(1,pf_refi_amort_yrs-(AL$6-pf_refi_year))))</f>
        <v>0</v>
      </c>
      <c r="AM49" s="62">
        <f>-MIN(AM46+AM47,IF(AM46+AM47=0,0,(AM46+AM47)/MAX(1,pf_refi_amort_yrs-(AM$6-pf_refi_year))))</f>
        <v>0</v>
      </c>
      <c r="AN49" s="62">
        <f>-MIN(AN46+AN47,IF(AN46+AN47=0,0,(AN46+AN47)/MAX(1,pf_refi_amort_yrs-(AN$6-pf_refi_year))))</f>
        <v>0</v>
      </c>
      <c r="AO49" s="62">
        <f>-MIN(AO46+AO47,IF(AO46+AO47=0,0,(AO46+AO47)/MAX(1,pf_refi_amort_yrs-(AO$6-pf_refi_year))))</f>
        <v>0</v>
      </c>
      <c r="AP49" s="62">
        <f>-MIN(AP46+AP47,IF(AP46+AP47=0,0,(AP46+AP47)/MAX(1,pf_refi_amort_yrs-(AP$6-pf_refi_year))))</f>
        <v>0</v>
      </c>
      <c r="AQ49" s="62">
        <f>-MIN(AQ46+AQ47,IF(AQ46+AQ47=0,0,(AQ46+AQ47)/MAX(1,pf_refi_amort_yrs-(AQ$6-pf_refi_year))))</f>
        <v>0</v>
      </c>
      <c r="AR49" s="62">
        <f>-MIN(AR46+AR47,IF(AR46+AR47=0,0,(AR46+AR47)/MAX(1,pf_refi_amort_yrs-(AR$6-pf_refi_year))))</f>
        <v>0</v>
      </c>
      <c r="AS49" s="62">
        <f>-MIN(AS46+AS47,IF(AS46+AS47=0,0,(AS46+AS47)/MAX(1,pf_refi_amort_yrs-(AS$6-pf_refi_year))))</f>
        <v>0</v>
      </c>
      <c r="AT49" s="62">
        <f>-MIN(AT46+AT47,IF(AT46+AT47=0,0,(AT46+AT47)/MAX(1,pf_refi_amort_yrs-(AT$6-pf_refi_year))))</f>
        <v>0</v>
      </c>
      <c r="AU49" s="62">
        <f>-MIN(AU46+AU47,IF(AU46+AU47=0,0,(AU46+AU47)/MAX(1,pf_refi_amort_yrs-(AU$6-pf_refi_year))))</f>
        <v>0</v>
      </c>
      <c r="AV49" s="62">
        <f>-MIN(AV46+AV47,IF(AV46+AV47=0,0,(AV46+AV47)/MAX(1,pf_refi_amort_yrs-(AV$6-pf_refi_year))))</f>
        <v>0</v>
      </c>
      <c r="AW49" s="62">
        <f>-MIN(AW46+AW47,IF(AW46+AW47=0,0,(AW46+AW47)/MAX(1,pf_refi_amort_yrs-(AW$6-pf_refi_year))))</f>
        <v>0</v>
      </c>
      <c r="AX49" s="62">
        <f>-MIN(AX46+AX47,IF(AX46+AX47=0,0,(AX46+AX47)/MAX(1,pf_refi_amort_yrs-(AX$6-pf_refi_year))))</f>
        <v>0</v>
      </c>
      <c r="AY49" s="62">
        <f>-MIN(AY46+AY47,IF(AY46+AY47=0,0,(AY46+AY47)/MAX(1,pf_refi_amort_yrs-(AY$6-pf_refi_year))))</f>
        <v>0</v>
      </c>
      <c r="AZ49" s="62">
        <f>-MIN(AZ46+AZ47,IF(AZ46+AZ47=0,0,(AZ46+AZ47)/MAX(1,pf_refi_amort_yrs-(AZ$6-pf_refi_year))))</f>
        <v>0</v>
      </c>
      <c r="BA49" s="62">
        <f>-MIN(BA46+BA47,IF(BA46+BA47=0,0,(BA46+BA47)/MAX(1,pf_refi_amort_yrs-(BA$6-pf_refi_year))))</f>
        <v>0</v>
      </c>
    </row>
    <row r="50" spans="1:53" x14ac:dyDescent="0.3">
      <c r="A50" s="3" t="s">
        <v>136</v>
      </c>
      <c r="B50" s="3" t="s">
        <v>48</v>
      </c>
      <c r="C50" s="3"/>
      <c r="D50" s="63">
        <f t="shared" ref="D50:AI50" si="26">D46+D47+D49</f>
        <v>0</v>
      </c>
      <c r="E50" s="63">
        <f t="shared" si="26"/>
        <v>0</v>
      </c>
      <c r="F50" s="63">
        <f t="shared" si="26"/>
        <v>0</v>
      </c>
      <c r="G50" s="63">
        <f t="shared" si="26"/>
        <v>0</v>
      </c>
      <c r="H50" s="63">
        <f t="shared" si="26"/>
        <v>0</v>
      </c>
      <c r="I50" s="63">
        <f t="shared" si="26"/>
        <v>0</v>
      </c>
      <c r="J50" s="63">
        <f t="shared" si="26"/>
        <v>0</v>
      </c>
      <c r="K50" s="63">
        <f t="shared" si="26"/>
        <v>0</v>
      </c>
      <c r="L50" s="63">
        <f t="shared" si="26"/>
        <v>0</v>
      </c>
      <c r="M50" s="63">
        <f t="shared" si="26"/>
        <v>0</v>
      </c>
      <c r="N50" s="63">
        <f t="shared" si="26"/>
        <v>0</v>
      </c>
      <c r="O50" s="63">
        <f t="shared" si="26"/>
        <v>0</v>
      </c>
      <c r="P50" s="63">
        <f t="shared" si="26"/>
        <v>0</v>
      </c>
      <c r="Q50" s="63">
        <f t="shared" si="26"/>
        <v>0</v>
      </c>
      <c r="R50" s="63">
        <f t="shared" si="26"/>
        <v>0</v>
      </c>
      <c r="S50" s="63">
        <f t="shared" si="26"/>
        <v>0</v>
      </c>
      <c r="T50" s="63">
        <f t="shared" si="26"/>
        <v>0</v>
      </c>
      <c r="U50" s="63">
        <f t="shared" si="26"/>
        <v>0</v>
      </c>
      <c r="V50" s="63">
        <f t="shared" si="26"/>
        <v>0</v>
      </c>
      <c r="W50" s="63">
        <f t="shared" si="26"/>
        <v>0</v>
      </c>
      <c r="X50" s="63">
        <f t="shared" si="26"/>
        <v>0</v>
      </c>
      <c r="Y50" s="63">
        <f t="shared" si="26"/>
        <v>0</v>
      </c>
      <c r="Z50" s="63">
        <f t="shared" si="26"/>
        <v>0</v>
      </c>
      <c r="AA50" s="63">
        <f t="shared" si="26"/>
        <v>0</v>
      </c>
      <c r="AB50" s="63">
        <f t="shared" si="26"/>
        <v>0</v>
      </c>
      <c r="AC50" s="63">
        <f t="shared" si="26"/>
        <v>0</v>
      </c>
      <c r="AD50" s="63">
        <f t="shared" si="26"/>
        <v>0</v>
      </c>
      <c r="AE50" s="63">
        <f t="shared" si="26"/>
        <v>0</v>
      </c>
      <c r="AF50" s="63">
        <f t="shared" si="26"/>
        <v>0</v>
      </c>
      <c r="AG50" s="63">
        <f t="shared" si="26"/>
        <v>0</v>
      </c>
      <c r="AH50" s="63">
        <f t="shared" si="26"/>
        <v>0</v>
      </c>
      <c r="AI50" s="63">
        <f t="shared" si="26"/>
        <v>0</v>
      </c>
      <c r="AJ50" s="63">
        <f t="shared" ref="AJ50:BA50" si="27">AJ46+AJ47+AJ49</f>
        <v>0</v>
      </c>
      <c r="AK50" s="63">
        <f t="shared" si="27"/>
        <v>0</v>
      </c>
      <c r="AL50" s="63">
        <f t="shared" si="27"/>
        <v>0</v>
      </c>
      <c r="AM50" s="63">
        <f t="shared" si="27"/>
        <v>0</v>
      </c>
      <c r="AN50" s="63">
        <f t="shared" si="27"/>
        <v>0</v>
      </c>
      <c r="AO50" s="63">
        <f t="shared" si="27"/>
        <v>0</v>
      </c>
      <c r="AP50" s="63">
        <f t="shared" si="27"/>
        <v>0</v>
      </c>
      <c r="AQ50" s="63">
        <f t="shared" si="27"/>
        <v>0</v>
      </c>
      <c r="AR50" s="63">
        <f t="shared" si="27"/>
        <v>0</v>
      </c>
      <c r="AS50" s="63">
        <f t="shared" si="27"/>
        <v>0</v>
      </c>
      <c r="AT50" s="63">
        <f t="shared" si="27"/>
        <v>0</v>
      </c>
      <c r="AU50" s="63">
        <f t="shared" si="27"/>
        <v>0</v>
      </c>
      <c r="AV50" s="63">
        <f t="shared" si="27"/>
        <v>0</v>
      </c>
      <c r="AW50" s="63">
        <f t="shared" si="27"/>
        <v>0</v>
      </c>
      <c r="AX50" s="63">
        <f t="shared" si="27"/>
        <v>0</v>
      </c>
      <c r="AY50" s="63">
        <f t="shared" si="27"/>
        <v>0</v>
      </c>
      <c r="AZ50" s="63">
        <f t="shared" si="27"/>
        <v>0</v>
      </c>
      <c r="BA50" s="63">
        <f t="shared" si="27"/>
        <v>0</v>
      </c>
    </row>
    <row r="52" spans="1:53" x14ac:dyDescent="0.3">
      <c r="A52" s="37" t="s">
        <v>211</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row>
    <row r="53" spans="1:53" x14ac:dyDescent="0.3">
      <c r="A53" t="s">
        <v>212</v>
      </c>
      <c r="B53" t="s">
        <v>48</v>
      </c>
      <c r="D53" s="62">
        <f t="shared" ref="D53:AI53" ca="1" si="28">-(D40+D48)</f>
        <v>1665.625</v>
      </c>
      <c r="E53" s="62">
        <f t="shared" ca="1" si="28"/>
        <v>16252.162841796875</v>
      </c>
      <c r="F53" s="62">
        <f t="shared" ca="1" si="28"/>
        <v>51325.925202732076</v>
      </c>
      <c r="G53" s="62">
        <f t="shared" ca="1" si="28"/>
        <v>95473.198746830021</v>
      </c>
      <c r="H53" s="62">
        <f t="shared" ca="1" si="28"/>
        <v>141837.16654171917</v>
      </c>
      <c r="I53" s="62">
        <f t="shared" ca="1" si="28"/>
        <v>192143.82698779189</v>
      </c>
      <c r="J53" s="62">
        <f t="shared" ca="1" si="28"/>
        <v>246071.34026800253</v>
      </c>
      <c r="K53" s="62">
        <f t="shared" ca="1" si="28"/>
        <v>302560.4548960703</v>
      </c>
      <c r="L53" s="62">
        <f t="shared" ca="1" si="28"/>
        <v>361309.02161130449</v>
      </c>
      <c r="M53" s="62">
        <f t="shared" ca="1" si="28"/>
        <v>423799.35143935727</v>
      </c>
      <c r="N53" s="62">
        <f t="shared" ca="1" si="28"/>
        <v>462047.75707953784</v>
      </c>
      <c r="O53" s="62">
        <f t="shared" ca="1" si="28"/>
        <v>473598.9510065263</v>
      </c>
      <c r="P53" s="62">
        <f t="shared" ca="1" si="28"/>
        <v>485438.92478168948</v>
      </c>
      <c r="Q53" s="62">
        <f t="shared" ca="1" si="28"/>
        <v>497574.89790123171</v>
      </c>
      <c r="R53" s="62">
        <f t="shared" ca="1" si="28"/>
        <v>510014.27034876251</v>
      </c>
      <c r="S53" s="62">
        <f t="shared" ca="1" si="28"/>
        <v>522764.62710748159</v>
      </c>
      <c r="T53" s="62">
        <f t="shared" ca="1" si="28"/>
        <v>535833.74278516858</v>
      </c>
      <c r="U53" s="62">
        <f t="shared" ca="1" si="28"/>
        <v>549229.58635479782</v>
      </c>
      <c r="V53" s="62">
        <f t="shared" ca="1" si="28"/>
        <v>562960.32601366774</v>
      </c>
      <c r="W53" s="62">
        <f t="shared" ca="1" si="28"/>
        <v>577034.33416400943</v>
      </c>
      <c r="X53" s="62">
        <f t="shared" ca="1" si="28"/>
        <v>591460.19251810969</v>
      </c>
      <c r="Y53" s="62">
        <f t="shared" ca="1" si="28"/>
        <v>606246.6973310624</v>
      </c>
      <c r="Z53" s="62">
        <f t="shared" ca="1" si="28"/>
        <v>621402.86476433894</v>
      </c>
      <c r="AA53" s="62">
        <f t="shared" ca="1" si="28"/>
        <v>636937.93638344738</v>
      </c>
      <c r="AB53" s="62">
        <f t="shared" ca="1" si="28"/>
        <v>652861.38479303359</v>
      </c>
      <c r="AC53" s="62">
        <f t="shared" ca="1" si="28"/>
        <v>629031.94424808794</v>
      </c>
      <c r="AD53" s="62">
        <f t="shared" ca="1" si="28"/>
        <v>606072.27828303271</v>
      </c>
      <c r="AE53" s="62">
        <f t="shared" ca="1" si="28"/>
        <v>583950.64012570202</v>
      </c>
      <c r="AF53" s="62">
        <f t="shared" ca="1" si="28"/>
        <v>562636.44176111382</v>
      </c>
      <c r="AG53" s="62">
        <f t="shared" ca="1" si="28"/>
        <v>542100.21163683315</v>
      </c>
      <c r="AH53" s="62">
        <f t="shared" ca="1" si="28"/>
        <v>522313.55391208874</v>
      </c>
      <c r="AI53" s="62">
        <f t="shared" ca="1" si="28"/>
        <v>503249.10919429752</v>
      </c>
      <c r="AJ53" s="62">
        <f t="shared" ref="AJ53:BA53" ca="1" si="29">-(AJ40+AJ48)</f>
        <v>484880.51670870563</v>
      </c>
      <c r="AK53" s="62">
        <f t="shared" ca="1" si="29"/>
        <v>467182.37784883787</v>
      </c>
      <c r="AL53" s="62">
        <f t="shared" ca="1" si="29"/>
        <v>450130.22105735529</v>
      </c>
      <c r="AM53" s="62">
        <f t="shared" ca="1" si="29"/>
        <v>433700.46798876184</v>
      </c>
      <c r="AN53" s="62">
        <f t="shared" ca="1" si="29"/>
        <v>417870.40090717206</v>
      </c>
      <c r="AO53" s="62">
        <f t="shared" ca="1" si="29"/>
        <v>402618.13127406029</v>
      </c>
      <c r="AP53" s="62">
        <f t="shared" ca="1" si="29"/>
        <v>387922.56948255707</v>
      </c>
      <c r="AQ53" s="62">
        <f t="shared" ca="1" si="29"/>
        <v>373763.39569644374</v>
      </c>
      <c r="AR53" s="62">
        <f t="shared" ca="1" si="29"/>
        <v>360121.03175352351</v>
      </c>
      <c r="AS53" s="62">
        <f t="shared" ca="1" si="29"/>
        <v>346976.61409451987</v>
      </c>
      <c r="AT53" s="62">
        <f t="shared" ca="1" si="29"/>
        <v>334311.96768006991</v>
      </c>
      <c r="AU53" s="62">
        <f t="shared" ca="1" si="29"/>
        <v>322109.58085974737</v>
      </c>
      <c r="AV53" s="62">
        <f t="shared" ca="1" si="29"/>
        <v>310352.58115836658</v>
      </c>
      <c r="AW53" s="62">
        <f t="shared" ca="1" si="29"/>
        <v>299024.7119460862</v>
      </c>
      <c r="AX53" s="62">
        <f t="shared" ca="1" si="29"/>
        <v>288110.309960054</v>
      </c>
      <c r="AY53" s="62">
        <f t="shared" ca="1" si="29"/>
        <v>277594.28364651202</v>
      </c>
      <c r="AZ53" s="62">
        <f t="shared" ca="1" si="29"/>
        <v>267462.09229341435</v>
      </c>
      <c r="BA53" s="62">
        <f t="shared" ca="1" si="29"/>
        <v>257699.72592470472</v>
      </c>
    </row>
    <row r="54" spans="1:53" x14ac:dyDescent="0.3">
      <c r="A54" t="s">
        <v>213</v>
      </c>
      <c r="B54" t="s">
        <v>48</v>
      </c>
      <c r="D54" s="62">
        <f t="shared" ref="D54:AI54" si="30">-D49</f>
        <v>0</v>
      </c>
      <c r="E54" s="62">
        <f t="shared" si="30"/>
        <v>0</v>
      </c>
      <c r="F54" s="62">
        <f t="shared" si="30"/>
        <v>0</v>
      </c>
      <c r="G54" s="62">
        <f t="shared" si="30"/>
        <v>0</v>
      </c>
      <c r="H54" s="62">
        <f t="shared" si="30"/>
        <v>0</v>
      </c>
      <c r="I54" s="62">
        <f t="shared" si="30"/>
        <v>0</v>
      </c>
      <c r="J54" s="62">
        <f t="shared" si="30"/>
        <v>0</v>
      </c>
      <c r="K54" s="62">
        <f t="shared" si="30"/>
        <v>0</v>
      </c>
      <c r="L54" s="62">
        <f t="shared" si="30"/>
        <v>0</v>
      </c>
      <c r="M54" s="62">
        <f t="shared" si="30"/>
        <v>0</v>
      </c>
      <c r="N54" s="62">
        <f t="shared" si="30"/>
        <v>0</v>
      </c>
      <c r="O54" s="62">
        <f t="shared" si="30"/>
        <v>0</v>
      </c>
      <c r="P54" s="62">
        <f t="shared" si="30"/>
        <v>0</v>
      </c>
      <c r="Q54" s="62">
        <f t="shared" si="30"/>
        <v>0</v>
      </c>
      <c r="R54" s="62">
        <f t="shared" si="30"/>
        <v>0</v>
      </c>
      <c r="S54" s="62">
        <f t="shared" si="30"/>
        <v>0</v>
      </c>
      <c r="T54" s="62">
        <f t="shared" si="30"/>
        <v>0</v>
      </c>
      <c r="U54" s="62">
        <f t="shared" si="30"/>
        <v>0</v>
      </c>
      <c r="V54" s="62">
        <f t="shared" si="30"/>
        <v>0</v>
      </c>
      <c r="W54" s="62">
        <f t="shared" si="30"/>
        <v>0</v>
      </c>
      <c r="X54" s="62">
        <f t="shared" si="30"/>
        <v>0</v>
      </c>
      <c r="Y54" s="62">
        <f t="shared" si="30"/>
        <v>0</v>
      </c>
      <c r="Z54" s="62">
        <f t="shared" si="30"/>
        <v>0</v>
      </c>
      <c r="AA54" s="62">
        <f t="shared" si="30"/>
        <v>0</v>
      </c>
      <c r="AB54" s="62">
        <f t="shared" si="30"/>
        <v>0</v>
      </c>
      <c r="AC54" s="62">
        <f t="shared" si="30"/>
        <v>0</v>
      </c>
      <c r="AD54" s="62">
        <f t="shared" si="30"/>
        <v>0</v>
      </c>
      <c r="AE54" s="62">
        <f t="shared" si="30"/>
        <v>0</v>
      </c>
      <c r="AF54" s="62">
        <f t="shared" si="30"/>
        <v>0</v>
      </c>
      <c r="AG54" s="62">
        <f t="shared" si="30"/>
        <v>0</v>
      </c>
      <c r="AH54" s="62">
        <f t="shared" si="30"/>
        <v>0</v>
      </c>
      <c r="AI54" s="62">
        <f t="shared" si="30"/>
        <v>0</v>
      </c>
      <c r="AJ54" s="62">
        <f t="shared" ref="AJ54:BA54" si="31">-AJ49</f>
        <v>0</v>
      </c>
      <c r="AK54" s="62">
        <f t="shared" si="31"/>
        <v>0</v>
      </c>
      <c r="AL54" s="62">
        <f t="shared" si="31"/>
        <v>0</v>
      </c>
      <c r="AM54" s="62">
        <f t="shared" si="31"/>
        <v>0</v>
      </c>
      <c r="AN54" s="62">
        <f t="shared" si="31"/>
        <v>0</v>
      </c>
      <c r="AO54" s="62">
        <f t="shared" si="31"/>
        <v>0</v>
      </c>
      <c r="AP54" s="62">
        <f t="shared" si="31"/>
        <v>0</v>
      </c>
      <c r="AQ54" s="62">
        <f t="shared" si="31"/>
        <v>0</v>
      </c>
      <c r="AR54" s="62">
        <f t="shared" si="31"/>
        <v>0</v>
      </c>
      <c r="AS54" s="62">
        <f t="shared" si="31"/>
        <v>0</v>
      </c>
      <c r="AT54" s="62">
        <f t="shared" si="31"/>
        <v>0</v>
      </c>
      <c r="AU54" s="62">
        <f t="shared" si="31"/>
        <v>0</v>
      </c>
      <c r="AV54" s="62">
        <f t="shared" si="31"/>
        <v>0</v>
      </c>
      <c r="AW54" s="62">
        <f t="shared" si="31"/>
        <v>0</v>
      </c>
      <c r="AX54" s="62">
        <f t="shared" si="31"/>
        <v>0</v>
      </c>
      <c r="AY54" s="62">
        <f t="shared" si="31"/>
        <v>0</v>
      </c>
      <c r="AZ54" s="62">
        <f t="shared" si="31"/>
        <v>0</v>
      </c>
      <c r="BA54" s="62">
        <f t="shared" si="31"/>
        <v>0</v>
      </c>
    </row>
    <row r="55" spans="1:53" x14ac:dyDescent="0.3">
      <c r="A55" s="3" t="s">
        <v>214</v>
      </c>
      <c r="B55" s="3" t="s">
        <v>48</v>
      </c>
      <c r="C55" s="3"/>
      <c r="D55" s="63">
        <f t="shared" ref="D55:AI55" ca="1" si="32">D53+D54</f>
        <v>1665.625</v>
      </c>
      <c r="E55" s="63">
        <f t="shared" ca="1" si="32"/>
        <v>16252.162841796875</v>
      </c>
      <c r="F55" s="63">
        <f t="shared" ca="1" si="32"/>
        <v>51325.925202732076</v>
      </c>
      <c r="G55" s="63">
        <f t="shared" ca="1" si="32"/>
        <v>95473.198746830021</v>
      </c>
      <c r="H55" s="63">
        <f t="shared" ca="1" si="32"/>
        <v>141837.16654171917</v>
      </c>
      <c r="I55" s="63">
        <f t="shared" ca="1" si="32"/>
        <v>192143.82698779189</v>
      </c>
      <c r="J55" s="63">
        <f t="shared" ca="1" si="32"/>
        <v>246071.34026800253</v>
      </c>
      <c r="K55" s="63">
        <f t="shared" ca="1" si="32"/>
        <v>302560.4548960703</v>
      </c>
      <c r="L55" s="63">
        <f t="shared" ca="1" si="32"/>
        <v>361309.02161130449</v>
      </c>
      <c r="M55" s="63">
        <f t="shared" ca="1" si="32"/>
        <v>423799.35143935727</v>
      </c>
      <c r="N55" s="63">
        <f t="shared" ca="1" si="32"/>
        <v>462047.75707953784</v>
      </c>
      <c r="O55" s="63">
        <f t="shared" ca="1" si="32"/>
        <v>473598.9510065263</v>
      </c>
      <c r="P55" s="63">
        <f t="shared" ca="1" si="32"/>
        <v>485438.92478168948</v>
      </c>
      <c r="Q55" s="63">
        <f t="shared" ca="1" si="32"/>
        <v>497574.89790123171</v>
      </c>
      <c r="R55" s="63">
        <f t="shared" ca="1" si="32"/>
        <v>510014.27034876251</v>
      </c>
      <c r="S55" s="63">
        <f t="shared" ca="1" si="32"/>
        <v>522764.62710748159</v>
      </c>
      <c r="T55" s="63">
        <f t="shared" ca="1" si="32"/>
        <v>535833.74278516858</v>
      </c>
      <c r="U55" s="63">
        <f t="shared" ca="1" si="32"/>
        <v>549229.58635479782</v>
      </c>
      <c r="V55" s="63">
        <f t="shared" ca="1" si="32"/>
        <v>562960.32601366774</v>
      </c>
      <c r="W55" s="63">
        <f t="shared" ca="1" si="32"/>
        <v>577034.33416400943</v>
      </c>
      <c r="X55" s="63">
        <f t="shared" ca="1" si="32"/>
        <v>591460.19251810969</v>
      </c>
      <c r="Y55" s="63">
        <f t="shared" ca="1" si="32"/>
        <v>606246.6973310624</v>
      </c>
      <c r="Z55" s="63">
        <f t="shared" ca="1" si="32"/>
        <v>621402.86476433894</v>
      </c>
      <c r="AA55" s="63">
        <f t="shared" ca="1" si="32"/>
        <v>636937.93638344738</v>
      </c>
      <c r="AB55" s="63">
        <f t="shared" ca="1" si="32"/>
        <v>652861.38479303359</v>
      </c>
      <c r="AC55" s="63">
        <f t="shared" ca="1" si="32"/>
        <v>629031.94424808794</v>
      </c>
      <c r="AD55" s="63">
        <f t="shared" ca="1" si="32"/>
        <v>606072.27828303271</v>
      </c>
      <c r="AE55" s="63">
        <f t="shared" ca="1" si="32"/>
        <v>583950.64012570202</v>
      </c>
      <c r="AF55" s="63">
        <f t="shared" ca="1" si="32"/>
        <v>562636.44176111382</v>
      </c>
      <c r="AG55" s="63">
        <f t="shared" ca="1" si="32"/>
        <v>542100.21163683315</v>
      </c>
      <c r="AH55" s="63">
        <f t="shared" ca="1" si="32"/>
        <v>522313.55391208874</v>
      </c>
      <c r="AI55" s="63">
        <f t="shared" ca="1" si="32"/>
        <v>503249.10919429752</v>
      </c>
      <c r="AJ55" s="63">
        <f t="shared" ref="AJ55:BA55" ca="1" si="33">AJ53+AJ54</f>
        <v>484880.51670870563</v>
      </c>
      <c r="AK55" s="63">
        <f t="shared" ca="1" si="33"/>
        <v>467182.37784883787</v>
      </c>
      <c r="AL55" s="63">
        <f t="shared" ca="1" si="33"/>
        <v>450130.22105735529</v>
      </c>
      <c r="AM55" s="63">
        <f t="shared" ca="1" si="33"/>
        <v>433700.46798876184</v>
      </c>
      <c r="AN55" s="63">
        <f t="shared" ca="1" si="33"/>
        <v>417870.40090717206</v>
      </c>
      <c r="AO55" s="63">
        <f t="shared" ca="1" si="33"/>
        <v>402618.13127406029</v>
      </c>
      <c r="AP55" s="63">
        <f t="shared" ca="1" si="33"/>
        <v>387922.56948255707</v>
      </c>
      <c r="AQ55" s="63">
        <f t="shared" ca="1" si="33"/>
        <v>373763.39569644374</v>
      </c>
      <c r="AR55" s="63">
        <f t="shared" ca="1" si="33"/>
        <v>360121.03175352351</v>
      </c>
      <c r="AS55" s="63">
        <f t="shared" ca="1" si="33"/>
        <v>346976.61409451987</v>
      </c>
      <c r="AT55" s="63">
        <f t="shared" ca="1" si="33"/>
        <v>334311.96768006991</v>
      </c>
      <c r="AU55" s="63">
        <f t="shared" ca="1" si="33"/>
        <v>322109.58085974737</v>
      </c>
      <c r="AV55" s="63">
        <f t="shared" ca="1" si="33"/>
        <v>310352.58115836658</v>
      </c>
      <c r="AW55" s="63">
        <f t="shared" ca="1" si="33"/>
        <v>299024.7119460862</v>
      </c>
      <c r="AX55" s="63">
        <f t="shared" ca="1" si="33"/>
        <v>288110.309960054</v>
      </c>
      <c r="AY55" s="63">
        <f t="shared" ca="1" si="33"/>
        <v>277594.28364651202</v>
      </c>
      <c r="AZ55" s="63">
        <f t="shared" ca="1" si="33"/>
        <v>267462.09229341435</v>
      </c>
      <c r="BA55" s="63">
        <f t="shared" ca="1" si="33"/>
        <v>257699.72592470472</v>
      </c>
    </row>
    <row r="56" spans="1:53" x14ac:dyDescent="0.3">
      <c r="A56" s="3" t="s">
        <v>215</v>
      </c>
      <c r="B56" s="3" t="s">
        <v>48</v>
      </c>
      <c r="C56" s="3"/>
      <c r="D56" s="63">
        <f t="shared" ref="D56:AI56" ca="1" si="34">D43+D50</f>
        <v>53300</v>
      </c>
      <c r="E56" s="63">
        <f t="shared" ca="1" si="34"/>
        <v>465436.7109375</v>
      </c>
      <c r="F56" s="63">
        <f t="shared" ca="1" si="34"/>
        <v>1165356.977776489</v>
      </c>
      <c r="G56" s="63">
        <f t="shared" ca="1" si="34"/>
        <v>1860651.4576776596</v>
      </c>
      <c r="H56" s="63">
        <f t="shared" ca="1" si="34"/>
        <v>2631621.5852154121</v>
      </c>
      <c r="I56" s="63">
        <f t="shared" ca="1" si="34"/>
        <v>3451190.3387635429</v>
      </c>
      <c r="J56" s="63">
        <f t="shared" ca="1" si="34"/>
        <v>4336812.7913434496</v>
      </c>
      <c r="K56" s="63">
        <f t="shared" ca="1" si="34"/>
        <v>5236701.4455472147</v>
      </c>
      <c r="L56" s="63">
        <f t="shared" ca="1" si="34"/>
        <v>6194269.7098758481</v>
      </c>
      <c r="M56" s="63">
        <f t="shared" ca="1" si="34"/>
        <v>7212452.7934366884</v>
      </c>
      <c r="N56" s="63">
        <f t="shared" ca="1" si="34"/>
        <v>7392764.1132726055</v>
      </c>
      <c r="O56" s="63">
        <f t="shared" ca="1" si="34"/>
        <v>7577583.2161044208</v>
      </c>
      <c r="P56" s="63">
        <f t="shared" ca="1" si="34"/>
        <v>7767022.7965070317</v>
      </c>
      <c r="Q56" s="63">
        <f t="shared" ca="1" si="34"/>
        <v>7961198.3664197074</v>
      </c>
      <c r="R56" s="63">
        <f t="shared" ca="1" si="34"/>
        <v>8160228.3255802002</v>
      </c>
      <c r="S56" s="63">
        <f t="shared" ca="1" si="34"/>
        <v>8364234.0337197054</v>
      </c>
      <c r="T56" s="63">
        <f t="shared" ca="1" si="34"/>
        <v>8573339.8845626973</v>
      </c>
      <c r="U56" s="63">
        <f t="shared" ca="1" si="34"/>
        <v>8787673.3816767652</v>
      </c>
      <c r="V56" s="63">
        <f t="shared" ca="1" si="34"/>
        <v>9007365.2162186839</v>
      </c>
      <c r="W56" s="63">
        <f t="shared" ca="1" si="34"/>
        <v>9232549.3466241509</v>
      </c>
      <c r="X56" s="63">
        <f t="shared" ca="1" si="34"/>
        <v>9463363.080289755</v>
      </c>
      <c r="Y56" s="63">
        <f t="shared" ca="1" si="34"/>
        <v>9699947.1572969984</v>
      </c>
      <c r="Z56" s="63">
        <f t="shared" ca="1" si="34"/>
        <v>9942445.8362294231</v>
      </c>
      <c r="AA56" s="63">
        <f t="shared" ca="1" si="34"/>
        <v>10191006.982135158</v>
      </c>
      <c r="AB56" s="63">
        <f t="shared" ca="1" si="34"/>
        <v>9819035.2272872254</v>
      </c>
      <c r="AC56" s="63">
        <f t="shared" ca="1" si="34"/>
        <v>9460640.4414912425</v>
      </c>
      <c r="AD56" s="63">
        <f t="shared" ca="1" si="34"/>
        <v>9115327.0653768126</v>
      </c>
      <c r="AE56" s="63">
        <f t="shared" ca="1" si="34"/>
        <v>8782617.6274905577</v>
      </c>
      <c r="AF56" s="63">
        <f t="shared" ca="1" si="34"/>
        <v>8462052.084087152</v>
      </c>
      <c r="AG56" s="63">
        <f t="shared" ca="1" si="34"/>
        <v>8153187.183017971</v>
      </c>
      <c r="AH56" s="63">
        <f t="shared" ca="1" si="34"/>
        <v>7855595.8508378146</v>
      </c>
      <c r="AI56" s="63">
        <f t="shared" ca="1" si="34"/>
        <v>7568866.6022822345</v>
      </c>
      <c r="AJ56" s="63">
        <f t="shared" ref="AJ56:BA56" ca="1" si="35">AJ43+AJ50</f>
        <v>7292602.971298933</v>
      </c>
      <c r="AK56" s="63">
        <f t="shared" ca="1" si="35"/>
        <v>7026422.9628465213</v>
      </c>
      <c r="AL56" s="63">
        <f t="shared" ca="1" si="35"/>
        <v>6769958.5247026235</v>
      </c>
      <c r="AM56" s="63">
        <f t="shared" ca="1" si="35"/>
        <v>6522855.0385509785</v>
      </c>
      <c r="AN56" s="63">
        <f t="shared" ca="1" si="35"/>
        <v>6284770.8296438679</v>
      </c>
      <c r="AO56" s="63">
        <f t="shared" ca="1" si="35"/>
        <v>6055376.6943618665</v>
      </c>
      <c r="AP56" s="63">
        <f t="shared" ca="1" si="35"/>
        <v>5834355.4450176582</v>
      </c>
      <c r="AQ56" s="63">
        <f t="shared" ca="1" si="35"/>
        <v>5621401.4712745138</v>
      </c>
      <c r="AR56" s="63">
        <f t="shared" ca="1" si="35"/>
        <v>5416220.3175729932</v>
      </c>
      <c r="AS56" s="63">
        <f t="shared" ca="1" si="35"/>
        <v>5218528.275981579</v>
      </c>
      <c r="AT56" s="63">
        <f t="shared" ca="1" si="35"/>
        <v>5028051.9939082516</v>
      </c>
      <c r="AU56" s="63">
        <f t="shared" ca="1" si="35"/>
        <v>4844528.0961306002</v>
      </c>
      <c r="AV56" s="63">
        <f t="shared" ca="1" si="35"/>
        <v>4667702.8206218332</v>
      </c>
      <c r="AW56" s="63">
        <f t="shared" ca="1" si="35"/>
        <v>4497331.6676691361</v>
      </c>
      <c r="AX56" s="63">
        <f t="shared" ca="1" si="35"/>
        <v>4333179.0617992124</v>
      </c>
      <c r="AY56" s="63">
        <f t="shared" ca="1" si="35"/>
        <v>4175018.0260435408</v>
      </c>
      <c r="AZ56" s="63">
        <f t="shared" ca="1" si="35"/>
        <v>4022629.8680929518</v>
      </c>
      <c r="BA56" s="63">
        <f t="shared" ca="1" si="35"/>
        <v>3875803.8779075588</v>
      </c>
    </row>
    <row r="57" spans="1:53" x14ac:dyDescent="0.3">
      <c r="A57" t="s">
        <v>216</v>
      </c>
      <c r="B57" t="s">
        <v>44</v>
      </c>
      <c r="D57" s="57">
        <f ca="1">IF('Asset Register'!D61=0,0,D56/'Asset Register'!D61)</f>
        <v>0.19035714285714286</v>
      </c>
      <c r="E57" s="57">
        <f ca="1">IF('Asset Register'!E61=0,0,E56/'Asset Register'!E61)</f>
        <v>0.5353539348257419</v>
      </c>
      <c r="F57" s="57">
        <f ca="1">IF('Asset Register'!F61=0,0,F56/'Asset Register'!F61)</f>
        <v>0.64754357648869354</v>
      </c>
      <c r="G57" s="57">
        <f ca="1">IF('Asset Register'!G61=0,0,G56/'Asset Register'!G61)</f>
        <v>0.6659527817630706</v>
      </c>
      <c r="H57" s="57">
        <f ca="1">IF('Asset Register'!H61=0,0,H56/'Asset Register'!H61)</f>
        <v>0.68253160020231152</v>
      </c>
      <c r="I57" s="57">
        <f ca="1">IF('Asset Register'!I61=0,0,I56/'Asset Register'!I61)</f>
        <v>0.69185944260959109</v>
      </c>
      <c r="J57" s="57">
        <f ca="1">IF('Asset Register'!J61=0,0,J56/'Asset Register'!J61)</f>
        <v>0.7</v>
      </c>
      <c r="K57" s="57">
        <f ca="1">IF('Asset Register'!K61=0,0,K56/'Asset Register'!K61)</f>
        <v>0.7</v>
      </c>
      <c r="L57" s="57">
        <f ca="1">IF('Asset Register'!L61=0,0,L56/'Asset Register'!L61)</f>
        <v>0.7</v>
      </c>
      <c r="M57" s="57">
        <f ca="1">IF('Asset Register'!M61=0,0,M56/'Asset Register'!M61)</f>
        <v>0.7</v>
      </c>
      <c r="N57" s="57">
        <f ca="1">IF('Asset Register'!N61=0,0,N56/'Asset Register'!N61)</f>
        <v>0.66847826086956519</v>
      </c>
      <c r="O57" s="57">
        <f ca="1">IF('Asset Register'!O61=0,0,O56/'Asset Register'!O61)</f>
        <v>0.66201953371140509</v>
      </c>
      <c r="P57" s="57">
        <f ca="1">IF('Asset Register'!P61=0,0,P56/'Asset Register'!P61)</f>
        <v>0.65562320971419352</v>
      </c>
      <c r="Q57" s="57">
        <f ca="1">IF('Asset Register'!Q61=0,0,Q56/'Asset Register'!Q61)</f>
        <v>0.64928868594883915</v>
      </c>
      <c r="R57" s="57">
        <f ca="1">IF('Asset Register'!R61=0,0,R56/'Asset Register'!R61)</f>
        <v>0.64301536531165238</v>
      </c>
      <c r="S57" s="57">
        <f ca="1">IF('Asset Register'!S61=0,0,S56/'Asset Register'!S61)</f>
        <v>0.63680265646806156</v>
      </c>
      <c r="T57" s="57">
        <f ca="1">IF('Asset Register'!T61=0,0,T56/'Asset Register'!T61)</f>
        <v>0.6306499737968726</v>
      </c>
      <c r="U57" s="57">
        <f ca="1">IF('Asset Register'!U61=0,0,U56/'Asset Register'!U61)</f>
        <v>0.624556737335067</v>
      </c>
      <c r="V57" s="57">
        <f ca="1">IF('Asset Register'!V61=0,0,V56/'Asset Register'!V61)</f>
        <v>0.61852237272313404</v>
      </c>
      <c r="W57" s="57">
        <f ca="1">IF('Asset Register'!W61=0,0,W56/'Asset Register'!W61)</f>
        <v>0.61254631115092983</v>
      </c>
      <c r="X57" s="57">
        <f ca="1">IF('Asset Register'!X61=0,0,X56/'Asset Register'!X61)</f>
        <v>0.60662798930406114</v>
      </c>
      <c r="Y57" s="57">
        <f ca="1">IF('Asset Register'!Y61=0,0,Y56/'Asset Register'!Y61)</f>
        <v>0.60076684931078528</v>
      </c>
      <c r="Z57" s="57">
        <f ca="1">IF('Asset Register'!Z61=0,0,Z56/'Asset Register'!Z61)</f>
        <v>0.57444639597599645</v>
      </c>
      <c r="AA57" s="57">
        <f ca="1">IF('Asset Register'!AA61=0,0,AA56/'Asset Register'!AA61)</f>
        <v>0.5688961892515908</v>
      </c>
      <c r="AB57" s="57">
        <f ca="1">IF('Asset Register'!AB61=0,0,AB56/'Asset Register'!AB61)</f>
        <v>0.52959563125015241</v>
      </c>
      <c r="AC57" s="57">
        <f ca="1">IF('Asset Register'!AC61=0,0,AC56/'Asset Register'!AC61)</f>
        <v>0.49301003933287152</v>
      </c>
      <c r="AD57" s="57">
        <f ca="1">IF('Asset Register'!AD61=0,0,AD56/'Asset Register'!AD61)</f>
        <v>0.44365346260932154</v>
      </c>
      <c r="AE57" s="57">
        <f ca="1">IF('Asset Register'!AE61=0,0,AE56/'Asset Register'!AE61)</f>
        <v>0.41300493838075486</v>
      </c>
      <c r="AF57" s="57">
        <f ca="1">IF('Asset Register'!AF61=0,0,AF56/'Asset Register'!AF61)</f>
        <v>0.38447367935251903</v>
      </c>
      <c r="AG57" s="57">
        <f ca="1">IF('Asset Register'!AG61=0,0,AG56/'Asset Register'!AG61)</f>
        <v>0.34636782613945971</v>
      </c>
      <c r="AH57" s="57">
        <f ca="1">IF('Asset Register'!AH61=0,0,AH56/'Asset Register'!AH61)</f>
        <v>0.32244000046895599</v>
      </c>
      <c r="AI57" s="57">
        <f ca="1">IF('Asset Register'!AI61=0,0,AI56/'Asset Register'!AI61)</f>
        <v>0.29078499861132279</v>
      </c>
      <c r="AJ57" s="57">
        <f ca="1">IF('Asset Register'!AJ61=0,0,AJ56/'Asset Register'!AJ61)</f>
        <v>0.26249401484948914</v>
      </c>
      <c r="AK57" s="57">
        <f ca="1">IF('Asset Register'!AK61=0,0,AK56/'Asset Register'!AK61)</f>
        <v>0.24436037034539407</v>
      </c>
      <c r="AL57" s="57">
        <f ca="1">IF('Asset Register'!AL61=0,0,AL56/'Asset Register'!AL61)</f>
        <v>0.22078886488539293</v>
      </c>
      <c r="AM57" s="57">
        <f ca="1">IF('Asset Register'!AM61=0,0,AM56/'Asset Register'!AM61)</f>
        <v>0.19966383505260438</v>
      </c>
      <c r="AN57" s="57">
        <f ca="1">IF('Asset Register'!AN61=0,0,AN56/'Asset Register'!AN61)</f>
        <v>0.18587063292095091</v>
      </c>
      <c r="AO57" s="57">
        <f ca="1">IF('Asset Register'!AO61=0,0,AO56/'Asset Register'!AO61)</f>
        <v>0.16822389744167388</v>
      </c>
      <c r="AP57" s="57">
        <f ca="1">IF('Asset Register'!AP61=0,0,AP56/'Asset Register'!AP61)</f>
        <v>0.15237012943365713</v>
      </c>
      <c r="AQ57" s="57">
        <f ca="1">IF('Asset Register'!AQ61=0,0,AQ56/'Asset Register'!AQ61)</f>
        <v>0.1381113381450588</v>
      </c>
      <c r="AR57" s="57">
        <f ca="1">IF('Asset Register'!AR61=0,0,AR56/'Asset Register'!AR61)</f>
        <v>0.12527363863508087</v>
      </c>
      <c r="AS57" s="57">
        <f ca="1">IF('Asset Register'!AS61=0,0,AS56/'Asset Register'!AS61)</f>
        <v>0.113703982661138</v>
      </c>
      <c r="AT57" s="57">
        <f ca="1">IF('Asset Register'!AT61=0,0,AT56/'Asset Register'!AT61)</f>
        <v>0.10326738521881142</v>
      </c>
      <c r="AU57" s="57">
        <f ca="1">IF('Asset Register'!AU61=0,0,AU56/'Asset Register'!AU61)</f>
        <v>9.3844562962763139E-2</v>
      </c>
      <c r="AV57" s="57">
        <f ca="1">IF('Asset Register'!AV61=0,0,AV56/'Asset Register'!AV61)</f>
        <v>8.5329916400722086E-2</v>
      </c>
      <c r="AW57" s="57">
        <f ca="1">IF('Asset Register'!AW61=0,0,AW56/'Asset Register'!AW61)</f>
        <v>7.7629800207292807E-2</v>
      </c>
      <c r="AX57" s="57">
        <f ca="1">IF('Asset Register'!AX61=0,0,AX56/'Asset Register'!AX61)</f>
        <v>6.9124926485779781E-2</v>
      </c>
      <c r="AY57" s="57">
        <f ca="1">IF('Asset Register'!AY61=0,0,AY56/'Asset Register'!AY61)</f>
        <v>6.2980488575932719E-2</v>
      </c>
      <c r="AZ57" s="57">
        <f ca="1">IF('Asset Register'!AZ61=0,0,AZ56/'Asset Register'!AZ61)</f>
        <v>5.7408211250338584E-2</v>
      </c>
      <c r="BA57" s="57">
        <f ca="1">IF('Asset Register'!BA61=0,0,BA56/'Asset Register'!BA61)</f>
        <v>5.2351670194334225E-2</v>
      </c>
    </row>
    <row r="58" spans="1:53" x14ac:dyDescent="0.3">
      <c r="A58" t="s">
        <v>301</v>
      </c>
      <c r="B58" t="s">
        <v>48</v>
      </c>
      <c r="D58" s="62">
        <f ca="1">'Financial Statements'!D44</f>
        <v>307624.375</v>
      </c>
      <c r="E58" s="62">
        <f ca="1">'Financial Statements'!E44</f>
        <v>898789.26215820317</v>
      </c>
      <c r="F58" s="62">
        <f ca="1">'Financial Statements'!F44</f>
        <v>1818566.9761429708</v>
      </c>
      <c r="G58" s="62">
        <f ca="1">'Financial Statements'!G44</f>
        <v>2795510.7794538583</v>
      </c>
      <c r="H58" s="62">
        <f ca="1">'Financial Statements'!H44</f>
        <v>3859054.9609172875</v>
      </c>
      <c r="I58" s="62">
        <f ca="1">'Financial Statements'!I44</f>
        <v>5001350.1194870062</v>
      </c>
      <c r="J58" s="62">
        <f ca="1">'Financial Statements'!J44</f>
        <v>6229032.7207357241</v>
      </c>
      <c r="K58" s="62">
        <f ca="1">'Financial Statements'!K44</f>
        <v>7495412.9581202883</v>
      </c>
      <c r="L58" s="62">
        <f ca="1">'Financial Statements'!L44</f>
        <v>8833901.6925135478</v>
      </c>
      <c r="M58" s="62">
        <f ca="1">'Financial Statements'!M44</f>
        <v>10260146.364179417</v>
      </c>
      <c r="N58" s="62">
        <f ca="1">'Financial Statements'!N44</f>
        <v>10897611.240245106</v>
      </c>
      <c r="O58" s="62">
        <f ca="1">'Financial Statements'!O44</f>
        <v>11380686.802886032</v>
      </c>
      <c r="P58" s="62">
        <f ca="1">'Financial Statements'!P44</f>
        <v>11888428.756581077</v>
      </c>
      <c r="Q58" s="62">
        <f ca="1">'Financial Statements'!Q44</f>
        <v>12413448.277848398</v>
      </c>
      <c r="R58" s="62">
        <f ca="1">'Financial Statements'!R44</f>
        <v>12956194.315493871</v>
      </c>
      <c r="S58" s="62">
        <f ca="1">'Financial Statements'!S44</f>
        <v>13517282.41868493</v>
      </c>
      <c r="T58" s="62">
        <f ca="1">'Financial Statements'!T44</f>
        <v>14101730.315072751</v>
      </c>
      <c r="U58" s="62">
        <f ca="1">'Financial Statements'!U44</f>
        <v>14706153.297921367</v>
      </c>
      <c r="V58" s="62">
        <f ca="1">'Financial Statements'!V44</f>
        <v>15331459.79028682</v>
      </c>
      <c r="W58" s="62">
        <f ca="1">'Financial Statements'!W44</f>
        <v>15978374.842090864</v>
      </c>
      <c r="X58" s="62">
        <f ca="1">'Financial Statements'!X44</f>
        <v>16647648.428415351</v>
      </c>
      <c r="Y58" s="62">
        <f ca="1">'Financial Statements'!Y44</f>
        <v>17339969.001204815</v>
      </c>
      <c r="Z58" s="62">
        <f ca="1">'Financial Statements'!Z44</f>
        <v>18063147.406800799</v>
      </c>
      <c r="AA58" s="62">
        <f ca="1">'Financial Statements'!AA44</f>
        <v>18848435.515774198</v>
      </c>
      <c r="AB58" s="62">
        <f ca="1">'Financial Statements'!AB44</f>
        <v>19669074.306531634</v>
      </c>
      <c r="AC58" s="62">
        <f ca="1">'Financial Statements'!AC44</f>
        <v>20557880.096265338</v>
      </c>
      <c r="AD58" s="62">
        <f ca="1">'Financial Statements'!AD44</f>
        <v>21533639.336373676</v>
      </c>
      <c r="AE58" s="62">
        <f ca="1">'Financial Statements'!AE44</f>
        <v>22630471.022797495</v>
      </c>
      <c r="AF58" s="62">
        <f ca="1">'Financial Statements'!AF44</f>
        <v>23816520.106491558</v>
      </c>
      <c r="AG58" s="62">
        <f ca="1">'Financial Statements'!AG44</f>
        <v>25036206.827797808</v>
      </c>
      <c r="AH58" s="62">
        <f ca="1">'Financial Statements'!AH44</f>
        <v>26306112.903768931</v>
      </c>
      <c r="AI58" s="62">
        <f ca="1">'Financial Statements'!AI44</f>
        <v>27641348.558347862</v>
      </c>
      <c r="AJ58" s="62">
        <f ca="1">'Financial Statements'!AJ44</f>
        <v>29110595.193030156</v>
      </c>
      <c r="AK58" s="62">
        <f ca="1">'Financial Statements'!AK44</f>
        <v>30721416.842156935</v>
      </c>
      <c r="AL58" s="62">
        <f ca="1">'Financial Statements'!AL44</f>
        <v>32438412.540611759</v>
      </c>
      <c r="AM58" s="62">
        <f ca="1">'Financial Statements'!AM44</f>
        <v>34306484.698325567</v>
      </c>
      <c r="AN58" s="62">
        <f ca="1">'Financial Statements'!AN44</f>
        <v>36328562.228288561</v>
      </c>
      <c r="AO58" s="62">
        <f ca="1">'Financial Statements'!AO44</f>
        <v>38466582.095994383</v>
      </c>
      <c r="AP58" s="62">
        <f ca="1">'Financial Statements'!AP44</f>
        <v>40769776.836193115</v>
      </c>
      <c r="AQ58" s="62">
        <f ca="1">'Financial Statements'!AQ44</f>
        <v>43257761.535707645</v>
      </c>
      <c r="AR58" s="62">
        <f ca="1">'Financial Statements'!AR44</f>
        <v>45937458.310183145</v>
      </c>
      <c r="AS58" s="62">
        <f ca="1">'Financial Statements'!AS44</f>
        <v>48815793.695992291</v>
      </c>
      <c r="AT58" s="62">
        <f ca="1">'Financial Statements'!AT44</f>
        <v>51884221.814336307</v>
      </c>
      <c r="AU58" s="62">
        <f ca="1">'Financial Statements'!AU44</f>
        <v>55136972.682036743</v>
      </c>
      <c r="AV58" s="62">
        <f ca="1">'Financial Statements'!AV44</f>
        <v>58581560.238515876</v>
      </c>
      <c r="AW58" s="62">
        <f ca="1">'Financial Statements'!AW44</f>
        <v>62225873.619275153</v>
      </c>
      <c r="AX58" s="62">
        <f ca="1">'Financial Statements'!AX44</f>
        <v>66101490.766614735</v>
      </c>
      <c r="AY58" s="62">
        <f ca="1">'Financial Statements'!AY44</f>
        <v>70268918.443174005</v>
      </c>
      <c r="AZ58" s="62">
        <f ca="1">'Financial Statements'!AZ44</f>
        <v>74666055.582077861</v>
      </c>
      <c r="BA58" s="62">
        <f ca="1">'Financial Statements'!BA44</f>
        <v>79303186.643613935</v>
      </c>
    </row>
    <row r="59" spans="1:53" x14ac:dyDescent="0.3">
      <c r="A59" t="s">
        <v>217</v>
      </c>
      <c r="B59" t="s">
        <v>44</v>
      </c>
      <c r="D59" s="57">
        <f t="shared" ref="D59:AI59" ca="1" si="36">IF(D58=0,0,D26/D58)</f>
        <v>0</v>
      </c>
      <c r="E59" s="57">
        <f t="shared" ca="1" si="36"/>
        <v>8.556632459685877E-2</v>
      </c>
      <c r="F59" s="57">
        <f t="shared" ca="1" si="36"/>
        <v>0.11298500126612726</v>
      </c>
      <c r="G59" s="57">
        <f t="shared" ca="1" si="36"/>
        <v>0.14425773242377379</v>
      </c>
      <c r="H59" s="57">
        <f t="shared" ca="1" si="36"/>
        <v>0.15497555474533845</v>
      </c>
      <c r="I59" s="57">
        <f t="shared" ca="1" si="36"/>
        <v>0.16300577342358027</v>
      </c>
      <c r="J59" s="57">
        <f t="shared" ca="1" si="36"/>
        <v>0.16776074532741453</v>
      </c>
      <c r="K59" s="57">
        <f t="shared" ca="1" si="36"/>
        <v>0.1723590119164036</v>
      </c>
      <c r="L59" s="57">
        <f t="shared" ca="1" si="36"/>
        <v>0.17464675513375896</v>
      </c>
      <c r="M59" s="57">
        <f t="shared" ca="1" si="36"/>
        <v>0.17648979934059306</v>
      </c>
      <c r="N59" s="57">
        <f t="shared" ca="1" si="36"/>
        <v>0.19233837330896966</v>
      </c>
      <c r="O59" s="57">
        <f t="shared" ca="1" si="36"/>
        <v>0.19150828940701681</v>
      </c>
      <c r="P59" s="57">
        <f t="shared" ca="1" si="36"/>
        <v>0.1913170985325261</v>
      </c>
      <c r="Q59" s="57">
        <f t="shared" ca="1" si="36"/>
        <v>0.1911343219682885</v>
      </c>
      <c r="R59" s="57">
        <f t="shared" ca="1" si="36"/>
        <v>0.19095011859110642</v>
      </c>
      <c r="S59" s="57">
        <f t="shared" ca="1" si="36"/>
        <v>0.19076551131851313</v>
      </c>
      <c r="T59" s="57">
        <f t="shared" ca="1" si="36"/>
        <v>0.19083281301285476</v>
      </c>
      <c r="U59" s="57">
        <f t="shared" ca="1" si="36"/>
        <v>0.19088439457210576</v>
      </c>
      <c r="V59" s="57">
        <f t="shared" ca="1" si="36"/>
        <v>0.19093366528266545</v>
      </c>
      <c r="W59" s="57">
        <f t="shared" ca="1" si="36"/>
        <v>0.19098076543674411</v>
      </c>
      <c r="X59" s="57">
        <f t="shared" ca="1" si="36"/>
        <v>0.19102580967564614</v>
      </c>
      <c r="Y59" s="57">
        <f t="shared" ca="1" si="36"/>
        <v>0.19106481790871571</v>
      </c>
      <c r="Z59" s="57">
        <f t="shared" ca="1" si="36"/>
        <v>0.19102895881187321</v>
      </c>
      <c r="AA59" s="57">
        <f t="shared" ca="1" si="36"/>
        <v>0.19071052087890225</v>
      </c>
      <c r="AB59" s="57">
        <f t="shared" ca="1" si="36"/>
        <v>0.19077811373158915</v>
      </c>
      <c r="AC59" s="57">
        <f t="shared" ca="1" si="36"/>
        <v>0.19046510263370581</v>
      </c>
      <c r="AD59" s="57">
        <f t="shared" ca="1" si="36"/>
        <v>0.1901359595606574</v>
      </c>
      <c r="AE59" s="57">
        <f t="shared" ca="1" si="36"/>
        <v>0.1896035814021533</v>
      </c>
      <c r="AF59" s="57">
        <f t="shared" ca="1" si="36"/>
        <v>0.1894912123070806</v>
      </c>
      <c r="AG59" s="57">
        <f t="shared" ca="1" si="36"/>
        <v>0.18975822353681523</v>
      </c>
      <c r="AH59" s="57">
        <f t="shared" ca="1" si="36"/>
        <v>0.1898050851309529</v>
      </c>
      <c r="AI59" s="57">
        <f t="shared" ca="1" si="36"/>
        <v>0.18980200374506043</v>
      </c>
      <c r="AJ59" s="57">
        <f t="shared" ref="AJ59:BA59" ca="1" si="37">IF(AJ58=0,0,AJ26/AJ58)</f>
        <v>0.18937864032971025</v>
      </c>
      <c r="AK59" s="57">
        <f t="shared" ca="1" si="37"/>
        <v>0.18909144615741028</v>
      </c>
      <c r="AL59" s="57">
        <f t="shared" ca="1" si="37"/>
        <v>0.18906746424640813</v>
      </c>
      <c r="AM59" s="57">
        <f t="shared" ca="1" si="37"/>
        <v>0.18878297824194357</v>
      </c>
      <c r="AN59" s="57">
        <f t="shared" ca="1" si="37"/>
        <v>0.18862770775451151</v>
      </c>
      <c r="AO59" s="57">
        <f t="shared" ca="1" si="37"/>
        <v>0.1887024608902364</v>
      </c>
      <c r="AP59" s="57">
        <f t="shared" ca="1" si="37"/>
        <v>0.18851655078264304</v>
      </c>
      <c r="AQ59" s="57">
        <f t="shared" ca="1" si="37"/>
        <v>0.1883670935659299</v>
      </c>
      <c r="AR59" s="57">
        <f t="shared" ca="1" si="37"/>
        <v>0.18825216699593386</v>
      </c>
      <c r="AS59" s="57">
        <f t="shared" ca="1" si="37"/>
        <v>0.18816362278306603</v>
      </c>
      <c r="AT59" s="57">
        <f t="shared" ca="1" si="37"/>
        <v>0.1878303321281958</v>
      </c>
      <c r="AU59" s="57">
        <f t="shared" ca="1" si="37"/>
        <v>0.18707220542823924</v>
      </c>
      <c r="AV59" s="57">
        <f t="shared" ca="1" si="37"/>
        <v>0.18593871994641897</v>
      </c>
      <c r="AW59" s="57">
        <f t="shared" ca="1" si="37"/>
        <v>0.18447470407095831</v>
      </c>
      <c r="AX59" s="57">
        <f t="shared" ca="1" si="37"/>
        <v>0.18265632234377477</v>
      </c>
      <c r="AY59" s="57">
        <f t="shared" ca="1" si="37"/>
        <v>0.1804050945498257</v>
      </c>
      <c r="AZ59" s="57">
        <f t="shared" ca="1" si="37"/>
        <v>0.17797178732195529</v>
      </c>
      <c r="BA59" s="57">
        <f t="shared" ca="1" si="37"/>
        <v>0.17538915580016376</v>
      </c>
    </row>
    <row r="60" spans="1:53" x14ac:dyDescent="0.3">
      <c r="A60" t="s">
        <v>63</v>
      </c>
      <c r="B60" t="s">
        <v>48</v>
      </c>
      <c r="D60" s="62">
        <f ca="1">reserve_tgt_months/12*D55*MIN(1,D$6/reserve_build_year)</f>
        <v>83.28125</v>
      </c>
      <c r="E60" s="62">
        <f ca="1">reserve_tgt_months/12*E55*MIN(1,E$6/reserve_build_year)</f>
        <v>1625.2162841796876</v>
      </c>
      <c r="F60" s="62">
        <f ca="1">reserve_tgt_months/12*F55*MIN(1,F$6/reserve_build_year)</f>
        <v>7698.8887804098113</v>
      </c>
      <c r="G60" s="62">
        <f ca="1">reserve_tgt_months/12*G55*MIN(1,G$6/reserve_build_year)</f>
        <v>19094.639749366004</v>
      </c>
      <c r="H60" s="62">
        <f ca="1">reserve_tgt_months/12*H55*MIN(1,H$6/reserve_build_year)</f>
        <v>35459.291635429792</v>
      </c>
      <c r="I60" s="62">
        <f ca="1">reserve_tgt_months/12*I55*MIN(1,I$6/reserve_build_year)</f>
        <v>57643.148096337565</v>
      </c>
      <c r="J60" s="62">
        <f ca="1">reserve_tgt_months/12*J55*MIN(1,J$6/reserve_build_year)</f>
        <v>86124.969093800886</v>
      </c>
      <c r="K60" s="62">
        <f ca="1">reserve_tgt_months/12*K55*MIN(1,K$6/reserve_build_year)</f>
        <v>121024.18195842812</v>
      </c>
      <c r="L60" s="62">
        <f ca="1">reserve_tgt_months/12*L55*MIN(1,L$6/reserve_build_year)</f>
        <v>162589.05972508702</v>
      </c>
      <c r="M60" s="62">
        <f ca="1">reserve_tgt_months/12*M55*MIN(1,M$6/reserve_build_year)</f>
        <v>211899.67571967863</v>
      </c>
      <c r="N60" s="62">
        <f ca="1">reserve_tgt_months/12*N55*MIN(1,N$6/reserve_build_year)</f>
        <v>231023.87853976892</v>
      </c>
      <c r="O60" s="62">
        <f ca="1">reserve_tgt_months/12*O55*MIN(1,O$6/reserve_build_year)</f>
        <v>236799.47550326315</v>
      </c>
      <c r="P60" s="62">
        <f ca="1">reserve_tgt_months/12*P55*MIN(1,P$6/reserve_build_year)</f>
        <v>242719.46239084474</v>
      </c>
      <c r="Q60" s="62">
        <f ca="1">reserve_tgt_months/12*Q55*MIN(1,Q$6/reserve_build_year)</f>
        <v>248787.44895061586</v>
      </c>
      <c r="R60" s="62">
        <f ca="1">reserve_tgt_months/12*R55*MIN(1,R$6/reserve_build_year)</f>
        <v>255007.13517438126</v>
      </c>
      <c r="S60" s="62">
        <f ca="1">reserve_tgt_months/12*S55*MIN(1,S$6/reserve_build_year)</f>
        <v>261382.31355374079</v>
      </c>
      <c r="T60" s="62">
        <f ca="1">reserve_tgt_months/12*T55*MIN(1,T$6/reserve_build_year)</f>
        <v>267916.87139258429</v>
      </c>
      <c r="U60" s="62">
        <f ca="1">reserve_tgt_months/12*U55*MIN(1,U$6/reserve_build_year)</f>
        <v>274614.79317739891</v>
      </c>
      <c r="V60" s="62">
        <f ca="1">reserve_tgt_months/12*V55*MIN(1,V$6/reserve_build_year)</f>
        <v>281480.16300683387</v>
      </c>
      <c r="W60" s="62">
        <f ca="1">reserve_tgt_months/12*W55*MIN(1,W$6/reserve_build_year)</f>
        <v>288517.16708200471</v>
      </c>
      <c r="X60" s="62">
        <f ca="1">reserve_tgt_months/12*X55*MIN(1,X$6/reserve_build_year)</f>
        <v>295730.09625905484</v>
      </c>
      <c r="Y60" s="62">
        <f ca="1">reserve_tgt_months/12*Y55*MIN(1,Y$6/reserve_build_year)</f>
        <v>303123.3486655312</v>
      </c>
      <c r="Z60" s="62">
        <f ca="1">reserve_tgt_months/12*Z55*MIN(1,Z$6/reserve_build_year)</f>
        <v>310701.43238216947</v>
      </c>
      <c r="AA60" s="62">
        <f ca="1">reserve_tgt_months/12*AA55*MIN(1,AA$6/reserve_build_year)</f>
        <v>318468.96819172369</v>
      </c>
      <c r="AB60" s="62">
        <f ca="1">reserve_tgt_months/12*AB55*MIN(1,AB$6/reserve_build_year)</f>
        <v>326430.6923965168</v>
      </c>
      <c r="AC60" s="62">
        <f ca="1">reserve_tgt_months/12*AC55*MIN(1,AC$6/reserve_build_year)</f>
        <v>314515.97212404397</v>
      </c>
      <c r="AD60" s="62">
        <f ca="1">reserve_tgt_months/12*AD55*MIN(1,AD$6/reserve_build_year)</f>
        <v>303036.13914151635</v>
      </c>
      <c r="AE60" s="62">
        <f ca="1">reserve_tgt_months/12*AE55*MIN(1,AE$6/reserve_build_year)</f>
        <v>291975.32006285101</v>
      </c>
      <c r="AF60" s="62">
        <f ca="1">reserve_tgt_months/12*AF55*MIN(1,AF$6/reserve_build_year)</f>
        <v>281318.22088055691</v>
      </c>
      <c r="AG60" s="62">
        <f ca="1">reserve_tgt_months/12*AG55*MIN(1,AG$6/reserve_build_year)</f>
        <v>271050.10581841657</v>
      </c>
      <c r="AH60" s="62">
        <f ca="1">reserve_tgt_months/12*AH55*MIN(1,AH$6/reserve_build_year)</f>
        <v>261156.77695604437</v>
      </c>
      <c r="AI60" s="62">
        <f ca="1">reserve_tgt_months/12*AI55*MIN(1,AI$6/reserve_build_year)</f>
        <v>251624.55459714876</v>
      </c>
      <c r="AJ60" s="62">
        <f ca="1">reserve_tgt_months/12*AJ55*MIN(1,AJ$6/reserve_build_year)</f>
        <v>242440.25835435282</v>
      </c>
      <c r="AK60" s="62">
        <f ca="1">reserve_tgt_months/12*AK55*MIN(1,AK$6/reserve_build_year)</f>
        <v>233591.18892441894</v>
      </c>
      <c r="AL60" s="62">
        <f ca="1">reserve_tgt_months/12*AL55*MIN(1,AL$6/reserve_build_year)</f>
        <v>225065.11052867764</v>
      </c>
      <c r="AM60" s="62">
        <f ca="1">reserve_tgt_months/12*AM55*MIN(1,AM$6/reserve_build_year)</f>
        <v>216850.23399438092</v>
      </c>
      <c r="AN60" s="62">
        <f ca="1">reserve_tgt_months/12*AN55*MIN(1,AN$6/reserve_build_year)</f>
        <v>208935.20045358603</v>
      </c>
      <c r="AO60" s="62">
        <f ca="1">reserve_tgt_months/12*AO55*MIN(1,AO$6/reserve_build_year)</f>
        <v>201309.06563703014</v>
      </c>
      <c r="AP60" s="62">
        <f ca="1">reserve_tgt_months/12*AP55*MIN(1,AP$6/reserve_build_year)</f>
        <v>193961.28474127853</v>
      </c>
      <c r="AQ60" s="62">
        <f ca="1">reserve_tgt_months/12*AQ55*MIN(1,AQ$6/reserve_build_year)</f>
        <v>186881.69784822187</v>
      </c>
      <c r="AR60" s="62">
        <f ca="1">reserve_tgt_months/12*AR55*MIN(1,AR$6/reserve_build_year)</f>
        <v>180060.51587676175</v>
      </c>
      <c r="AS60" s="62">
        <f ca="1">reserve_tgt_months/12*AS55*MIN(1,AS$6/reserve_build_year)</f>
        <v>173488.30704725994</v>
      </c>
      <c r="AT60" s="62">
        <f ca="1">reserve_tgt_months/12*AT55*MIN(1,AT$6/reserve_build_year)</f>
        <v>167155.98384003495</v>
      </c>
      <c r="AU60" s="62">
        <f ca="1">reserve_tgt_months/12*AU55*MIN(1,AU$6/reserve_build_year)</f>
        <v>161054.79042987368</v>
      </c>
      <c r="AV60" s="62">
        <f ca="1">reserve_tgt_months/12*AV55*MIN(1,AV$6/reserve_build_year)</f>
        <v>155176.29057918329</v>
      </c>
      <c r="AW60" s="62">
        <f ca="1">reserve_tgt_months/12*AW55*MIN(1,AW$6/reserve_build_year)</f>
        <v>149512.3559730431</v>
      </c>
      <c r="AX60" s="62">
        <f ca="1">reserve_tgt_months/12*AX55*MIN(1,AX$6/reserve_build_year)</f>
        <v>144055.154980027</v>
      </c>
      <c r="AY60" s="62">
        <f ca="1">reserve_tgt_months/12*AY55*MIN(1,AY$6/reserve_build_year)</f>
        <v>138797.14182325601</v>
      </c>
      <c r="AZ60" s="62">
        <f ca="1">reserve_tgt_months/12*AZ55*MIN(1,AZ$6/reserve_build_year)</f>
        <v>133731.04614670717</v>
      </c>
      <c r="BA60" s="62">
        <f ca="1">reserve_tgt_months/12*BA55*MIN(1,BA$6/reserve_build_year)</f>
        <v>128849.86296235236</v>
      </c>
    </row>
    <row r="61" spans="1:53" x14ac:dyDescent="0.3">
      <c r="A61" t="s">
        <v>218</v>
      </c>
      <c r="B61" t="s">
        <v>48</v>
      </c>
      <c r="D61" s="62">
        <f ca="1">reserve_min_months/12*D55</f>
        <v>416.40625</v>
      </c>
      <c r="E61" s="62">
        <f ca="1">reserve_min_months/12*E55</f>
        <v>4063.0407104492188</v>
      </c>
      <c r="F61" s="62">
        <f ca="1">reserve_min_months/12*F55</f>
        <v>12831.481300683019</v>
      </c>
      <c r="G61" s="62">
        <f ca="1">reserve_min_months/12*G55</f>
        <v>23868.299686707505</v>
      </c>
      <c r="H61" s="62">
        <f ca="1">reserve_min_months/12*H55</f>
        <v>35459.291635429792</v>
      </c>
      <c r="I61" s="62">
        <f ca="1">reserve_min_months/12*I55</f>
        <v>48035.956746947973</v>
      </c>
      <c r="J61" s="62">
        <f ca="1">reserve_min_months/12*J55</f>
        <v>61517.835067000633</v>
      </c>
      <c r="K61" s="62">
        <f ca="1">reserve_min_months/12*K55</f>
        <v>75640.113724017574</v>
      </c>
      <c r="L61" s="62">
        <f ca="1">reserve_min_months/12*L55</f>
        <v>90327.255402826122</v>
      </c>
      <c r="M61" s="62">
        <f ca="1">reserve_min_months/12*M55</f>
        <v>105949.83785983932</v>
      </c>
      <c r="N61" s="62">
        <f ca="1">reserve_min_months/12*N55</f>
        <v>115511.93926988446</v>
      </c>
      <c r="O61" s="62">
        <f ca="1">reserve_min_months/12*O55</f>
        <v>118399.73775163158</v>
      </c>
      <c r="P61" s="62">
        <f ca="1">reserve_min_months/12*P55</f>
        <v>121359.73119542237</v>
      </c>
      <c r="Q61" s="62">
        <f ca="1">reserve_min_months/12*Q55</f>
        <v>124393.72447530793</v>
      </c>
      <c r="R61" s="62">
        <f ca="1">reserve_min_months/12*R55</f>
        <v>127503.56758719063</v>
      </c>
      <c r="S61" s="62">
        <f ca="1">reserve_min_months/12*S55</f>
        <v>130691.1567768704</v>
      </c>
      <c r="T61" s="62">
        <f ca="1">reserve_min_months/12*T55</f>
        <v>133958.43569629214</v>
      </c>
      <c r="U61" s="62">
        <f ca="1">reserve_min_months/12*U55</f>
        <v>137307.39658869946</v>
      </c>
      <c r="V61" s="62">
        <f ca="1">reserve_min_months/12*V55</f>
        <v>140740.08150341694</v>
      </c>
      <c r="W61" s="62">
        <f ca="1">reserve_min_months/12*W55</f>
        <v>144258.58354100236</v>
      </c>
      <c r="X61" s="62">
        <f ca="1">reserve_min_months/12*X55</f>
        <v>147865.04812952742</v>
      </c>
      <c r="Y61" s="62">
        <f ca="1">reserve_min_months/12*Y55</f>
        <v>151561.6743327656</v>
      </c>
      <c r="Z61" s="62">
        <f ca="1">reserve_min_months/12*Z55</f>
        <v>155350.71619108474</v>
      </c>
      <c r="AA61" s="62">
        <f ca="1">reserve_min_months/12*AA55</f>
        <v>159234.48409586184</v>
      </c>
      <c r="AB61" s="62">
        <f ca="1">reserve_min_months/12*AB55</f>
        <v>163215.3461982584</v>
      </c>
      <c r="AC61" s="62">
        <f ca="1">reserve_min_months/12*AC55</f>
        <v>157257.98606202198</v>
      </c>
      <c r="AD61" s="62">
        <f ca="1">reserve_min_months/12*AD55</f>
        <v>151518.06957075818</v>
      </c>
      <c r="AE61" s="62">
        <f ca="1">reserve_min_months/12*AE55</f>
        <v>145987.6600314255</v>
      </c>
      <c r="AF61" s="62">
        <f ca="1">reserve_min_months/12*AF55</f>
        <v>140659.11044027845</v>
      </c>
      <c r="AG61" s="62">
        <f ca="1">reserve_min_months/12*AG55</f>
        <v>135525.05290920829</v>
      </c>
      <c r="AH61" s="62">
        <f ca="1">reserve_min_months/12*AH55</f>
        <v>130578.38847802219</v>
      </c>
      <c r="AI61" s="62">
        <f ca="1">reserve_min_months/12*AI55</f>
        <v>125812.27729857438</v>
      </c>
      <c r="AJ61" s="62">
        <f ca="1">reserve_min_months/12*AJ55</f>
        <v>121220.12917717641</v>
      </c>
      <c r="AK61" s="62">
        <f ca="1">reserve_min_months/12*AK55</f>
        <v>116795.59446220947</v>
      </c>
      <c r="AL61" s="62">
        <f ca="1">reserve_min_months/12*AL55</f>
        <v>112532.55526433882</v>
      </c>
      <c r="AM61" s="62">
        <f ca="1">reserve_min_months/12*AM55</f>
        <v>108425.11699719046</v>
      </c>
      <c r="AN61" s="62">
        <f ca="1">reserve_min_months/12*AN55</f>
        <v>104467.60022679302</v>
      </c>
      <c r="AO61" s="62">
        <f ca="1">reserve_min_months/12*AO55</f>
        <v>100654.53281851507</v>
      </c>
      <c r="AP61" s="62">
        <f ca="1">reserve_min_months/12*AP55</f>
        <v>96980.642370639267</v>
      </c>
      <c r="AQ61" s="62">
        <f ca="1">reserve_min_months/12*AQ55</f>
        <v>93440.848924110935</v>
      </c>
      <c r="AR61" s="62">
        <f ca="1">reserve_min_months/12*AR55</f>
        <v>90030.257938380877</v>
      </c>
      <c r="AS61" s="62">
        <f ca="1">reserve_min_months/12*AS55</f>
        <v>86744.153523629968</v>
      </c>
      <c r="AT61" s="62">
        <f ca="1">reserve_min_months/12*AT55</f>
        <v>83577.991920017477</v>
      </c>
      <c r="AU61" s="62">
        <f ca="1">reserve_min_months/12*AU55</f>
        <v>80527.395214936842</v>
      </c>
      <c r="AV61" s="62">
        <f ca="1">reserve_min_months/12*AV55</f>
        <v>77588.145289591645</v>
      </c>
      <c r="AW61" s="62">
        <f ca="1">reserve_min_months/12*AW55</f>
        <v>74756.17798652155</v>
      </c>
      <c r="AX61" s="62">
        <f ca="1">reserve_min_months/12*AX55</f>
        <v>72027.5774900135</v>
      </c>
      <c r="AY61" s="62">
        <f ca="1">reserve_min_months/12*AY55</f>
        <v>69398.570911628005</v>
      </c>
      <c r="AZ61" s="62">
        <f ca="1">reserve_min_months/12*AZ55</f>
        <v>66865.523073353586</v>
      </c>
      <c r="BA61" s="62">
        <f ca="1">reserve_min_months/12*BA55</f>
        <v>64424.93148117618</v>
      </c>
    </row>
    <row r="62" spans="1:53" x14ac:dyDescent="0.3">
      <c r="A62" s="42" t="s">
        <v>266</v>
      </c>
      <c r="B62" s="42" t="s">
        <v>48</v>
      </c>
      <c r="C62" s="42"/>
      <c r="D62" s="64">
        <f t="shared" ref="D62:AI62" ca="1" si="38">MAX(0,D36-D37)</f>
        <v>0</v>
      </c>
      <c r="E62" s="64">
        <f t="shared" ca="1" si="38"/>
        <v>0</v>
      </c>
      <c r="F62" s="64">
        <f t="shared" ca="1" si="38"/>
        <v>0</v>
      </c>
      <c r="G62" s="64">
        <f t="shared" ca="1" si="38"/>
        <v>0</v>
      </c>
      <c r="H62" s="64">
        <f t="shared" ca="1" si="38"/>
        <v>0</v>
      </c>
      <c r="I62" s="64">
        <f t="shared" ca="1" si="38"/>
        <v>0</v>
      </c>
      <c r="J62" s="64">
        <f t="shared" ca="1" si="38"/>
        <v>1173.0872184360633</v>
      </c>
      <c r="K62" s="64">
        <f t="shared" ca="1" si="38"/>
        <v>51194.293125900207</v>
      </c>
      <c r="L62" s="64">
        <f t="shared" ca="1" si="38"/>
        <v>121334.18024035299</v>
      </c>
      <c r="M62" s="64">
        <f t="shared" ca="1" si="38"/>
        <v>199165.34640075429</v>
      </c>
      <c r="N62" s="64">
        <f t="shared" ca="1" si="38"/>
        <v>377167.23882028461</v>
      </c>
      <c r="O62" s="64">
        <f t="shared" ca="1" si="38"/>
        <v>325870.97579399502</v>
      </c>
      <c r="P62" s="64">
        <f t="shared" ca="1" si="38"/>
        <v>250746.7762759949</v>
      </c>
      <c r="Q62" s="64">
        <f t="shared" ca="1" si="38"/>
        <v>173166.60994426074</v>
      </c>
      <c r="R62" s="64">
        <f t="shared" ca="1" si="38"/>
        <v>93192.28350352266</v>
      </c>
      <c r="S62" s="64">
        <f t="shared" ca="1" si="38"/>
        <v>10736.679726933071</v>
      </c>
      <c r="T62" s="64">
        <f t="shared" ca="1" si="38"/>
        <v>0</v>
      </c>
      <c r="U62" s="64">
        <f t="shared" ca="1" si="38"/>
        <v>0</v>
      </c>
      <c r="V62" s="64">
        <f t="shared" ca="1" si="38"/>
        <v>0</v>
      </c>
      <c r="W62" s="64">
        <f t="shared" ca="1" si="38"/>
        <v>0</v>
      </c>
      <c r="X62" s="64">
        <f t="shared" ca="1" si="38"/>
        <v>0</v>
      </c>
      <c r="Y62" s="64">
        <f t="shared" ca="1" si="38"/>
        <v>0</v>
      </c>
      <c r="Z62" s="64">
        <f t="shared" ca="1" si="38"/>
        <v>293896.69399225479</v>
      </c>
      <c r="AA62" s="64">
        <f t="shared" ca="1" si="38"/>
        <v>0</v>
      </c>
      <c r="AB62" s="64">
        <f t="shared" ca="1" si="38"/>
        <v>0</v>
      </c>
      <c r="AC62" s="64">
        <f t="shared" ca="1" si="38"/>
        <v>0</v>
      </c>
      <c r="AD62" s="64">
        <f t="shared" ca="1" si="38"/>
        <v>325099.27298246487</v>
      </c>
      <c r="AE62" s="64">
        <f t="shared" ca="1" si="38"/>
        <v>0</v>
      </c>
      <c r="AF62" s="64">
        <f t="shared" ca="1" si="38"/>
        <v>0</v>
      </c>
      <c r="AG62" s="64">
        <f t="shared" ca="1" si="38"/>
        <v>329044.00942177221</v>
      </c>
      <c r="AH62" s="64">
        <f t="shared" ca="1" si="38"/>
        <v>0</v>
      </c>
      <c r="AI62" s="64">
        <f t="shared" ca="1" si="38"/>
        <v>358165.57018398825</v>
      </c>
      <c r="AJ62" s="64">
        <f t="shared" ref="AJ62:BA62" ca="1" si="39">MAX(0,AJ36-AJ37)</f>
        <v>368832.34741100791</v>
      </c>
      <c r="AK62" s="64">
        <f t="shared" ca="1" si="39"/>
        <v>0</v>
      </c>
      <c r="AL62" s="64">
        <f t="shared" ca="1" si="39"/>
        <v>363426.75747785653</v>
      </c>
      <c r="AM62" s="64">
        <f t="shared" ca="1" si="39"/>
        <v>370783.03784180101</v>
      </c>
      <c r="AN62" s="64">
        <f t="shared" ca="1" si="39"/>
        <v>0</v>
      </c>
      <c r="AO62" s="64">
        <f t="shared" ca="1" si="39"/>
        <v>365969.4611973734</v>
      </c>
      <c r="AP62" s="64">
        <f t="shared" ca="1" si="39"/>
        <v>375092.3719947458</v>
      </c>
      <c r="AQ62" s="64">
        <f t="shared" ca="1" si="39"/>
        <v>371393.34945674968</v>
      </c>
      <c r="AR62" s="64">
        <f t="shared" ca="1" si="39"/>
        <v>367485.31431683461</v>
      </c>
      <c r="AS62" s="64">
        <f t="shared" ca="1" si="39"/>
        <v>363694.28163486579</v>
      </c>
      <c r="AT62" s="64">
        <f t="shared" ca="1" si="39"/>
        <v>375845.44240400125</v>
      </c>
      <c r="AU62" s="64">
        <f t="shared" ca="1" si="39"/>
        <v>402028.51153353835</v>
      </c>
      <c r="AV62" s="64">
        <f t="shared" ca="1" si="39"/>
        <v>429778.72332441877</v>
      </c>
      <c r="AW62" s="64">
        <f t="shared" ca="1" si="39"/>
        <v>459160.12363814726</v>
      </c>
      <c r="AX62" s="64">
        <f t="shared" ca="1" si="39"/>
        <v>1878820.8983124285</v>
      </c>
      <c r="AY62" s="64">
        <f t="shared" ca="1" si="39"/>
        <v>522724.4759707913</v>
      </c>
      <c r="AZ62" s="64">
        <f t="shared" ca="1" si="39"/>
        <v>556407.55716520362</v>
      </c>
      <c r="BA62" s="64">
        <f t="shared" ca="1" si="39"/>
        <v>591318.20255864167</v>
      </c>
    </row>
    <row r="64" spans="1:53" x14ac:dyDescent="0.3">
      <c r="A64" s="3" t="s">
        <v>267</v>
      </c>
      <c r="B64" s="3" t="s">
        <v>36</v>
      </c>
      <c r="C64" s="3"/>
      <c r="D64" s="45">
        <f ca="1">IF(D55&lt;=0,"",'Financial Statements'!D19/D55)</f>
        <v>153.69005628517823</v>
      </c>
      <c r="E64" s="45">
        <f ca="1">IF(E55&lt;=0,"",'Financial Statements'!E19/E55)</f>
        <v>6.7625919320624073</v>
      </c>
      <c r="F64" s="45">
        <f ca="1">IF(F55&lt;=0,"",'Financial Statements'!F19/F55)</f>
        <v>2.4574866226801775</v>
      </c>
      <c r="G64" s="45">
        <f ca="1">IF(G55&lt;=0,"",'Financial Statements'!G19/G55)</f>
        <v>1.5881869304276928</v>
      </c>
      <c r="H64" s="45">
        <f ca="1">IF(H55&lt;=0,"",'Financial Statements'!H19/H55)</f>
        <v>1.3369724906734948</v>
      </c>
      <c r="I64" s="45">
        <f ca="1">IF(I55&lt;=0,"",'Financial Statements'!I19/I55)</f>
        <v>1.1893294170340269</v>
      </c>
      <c r="J64" s="45">
        <f ca="1">IF(J55&lt;=0,"",'Financial Statements'!J19/J55)</f>
        <v>1.0975806149195371</v>
      </c>
      <c r="K64" s="45">
        <f ca="1">IF(K55&lt;=0,"",'Financial Statements'!K19/K55)</f>
        <v>1.036873503292105</v>
      </c>
      <c r="L64" s="45">
        <f ca="1">IF(L55&lt;=0,"",'Financial Statements'!L19/L55)</f>
        <v>0.99748868580391292</v>
      </c>
      <c r="M64" s="45">
        <f ca="1">IF(M55&lt;=0,"",'Financial Statements'!M19/M55)</f>
        <v>0.96509182507560354</v>
      </c>
      <c r="N64" s="45">
        <f ca="1">IF(N55&lt;=0,"",'Financial Statements'!N19/N55)</f>
        <v>0.98187328179616506</v>
      </c>
      <c r="O64" s="45">
        <f ca="1">IF(O55&lt;=0,"",'Financial Statements'!O19/O55)</f>
        <v>1.0264785631480204</v>
      </c>
      <c r="P64" s="45">
        <f ca="1">IF(P55&lt;=0,"",'Financial Statements'!P19/P55)</f>
        <v>1.0250544996305213</v>
      </c>
      <c r="Q64" s="45">
        <f ca="1">IF(Q55&lt;=0,"",'Financial Statements'!Q19/Q55)</f>
        <v>1.0245308951229912</v>
      </c>
      <c r="R64" s="45">
        <f ca="1">IF(R55&lt;=0,"",'Financial Statements'!R19/R55)</f>
        <v>1.0240104527234193</v>
      </c>
      <c r="S64" s="45">
        <f ca="1">IF(S55&lt;=0,"",'Financial Statements'!S19/S55)</f>
        <v>1.0234787787577224</v>
      </c>
      <c r="T64" s="45">
        <f ca="1">IF(T55&lt;=0,"",'Financial Statements'!T19/T55)</f>
        <v>1.0229373481198538</v>
      </c>
      <c r="U64" s="45">
        <f ca="1">IF(U55&lt;=0,"",'Financial Statements'!U19/U55)</f>
        <v>1.0227862982007667</v>
      </c>
      <c r="V64" s="45">
        <f ca="1">IF(V55&lt;=0,"",'Financial Statements'!V19/V55)</f>
        <v>1.0226141654869065</v>
      </c>
      <c r="W64" s="45">
        <f ca="1">IF(W55&lt;=0,"",'Financial Statements'!W19/W55)</f>
        <v>1.0224415947258252</v>
      </c>
      <c r="X64" s="45">
        <f ca="1">IF(X55&lt;=0,"",'Financial Statements'!X19/X55)</f>
        <v>1.0222685525622355</v>
      </c>
      <c r="Y64" s="45">
        <f ca="1">IF(Y55&lt;=0,"",'Financial Statements'!Y19/Y55)</f>
        <v>1.0220949807874855</v>
      </c>
      <c r="Z64" s="45">
        <f ca="1">IF(Z55&lt;=0,"",'Financial Statements'!Z19/Z55)</f>
        <v>1.033060978879532</v>
      </c>
      <c r="AA64" s="45">
        <f ca="1">IF(AA55&lt;=0,"",'Financial Statements'!AA19/AA55)</f>
        <v>1.0557382505824342</v>
      </c>
      <c r="AB64" s="45">
        <f ca="1">IF(AB55&lt;=0,"",'Financial Statements'!AB19/AB55)</f>
        <v>1.0548770630048789</v>
      </c>
      <c r="AC64" s="45">
        <f ca="1">IF(AC55&lt;=0,"",'Financial Statements'!AC19/AC55)</f>
        <v>1.1220192184978135</v>
      </c>
      <c r="AD64" s="45">
        <f ca="1">IF(AD55&lt;=0,"",'Financial Statements'!AD19/AD55)</f>
        <v>1.2068475732743744</v>
      </c>
      <c r="AE64" s="45">
        <f ca="1">IF(AE55&lt;=0,"",'Financial Statements'!AE19/AE55)</f>
        <v>1.3103356363076579</v>
      </c>
      <c r="AF64" s="45">
        <f ca="1">IF(AF55&lt;=0,"",'Financial Statements'!AF19/AF55)</f>
        <v>1.392023782763435</v>
      </c>
      <c r="AG64" s="45">
        <f ca="1">IF(AG55&lt;=0,"",'Financial Statements'!AG19/AG55)</f>
        <v>1.4985104493373056</v>
      </c>
      <c r="AH64" s="45">
        <f ca="1">IF(AH55&lt;=0,"",'Financial Statements'!AH19/AH55)</f>
        <v>1.6275070670355432</v>
      </c>
      <c r="AI64" s="45">
        <f ca="1">IF(AI55&lt;=0,"",'Financial Statements'!AI19/AI55)</f>
        <v>1.7530533024612727</v>
      </c>
      <c r="AJ64" s="45">
        <f ca="1">IF(AJ55&lt;=0,"",'Financial Statements'!AJ19/AJ55)</f>
        <v>1.9261635634611938</v>
      </c>
      <c r="AK64" s="45">
        <f ca="1">IF(AK55&lt;=0,"",'Financial Statements'!AK19/AK55)</f>
        <v>2.0865306270970589</v>
      </c>
      <c r="AL64" s="45">
        <f ca="1">IF(AL55&lt;=0,"",'Financial Statements'!AL19/AL55)</f>
        <v>2.2462548952345172</v>
      </c>
      <c r="AM64" s="45">
        <f ca="1">IF(AM55&lt;=0,"",'Financial Statements'!AM19/AM55)</f>
        <v>2.4651609630206037</v>
      </c>
      <c r="AN64" s="45">
        <f ca="1">IF(AN55&lt;=0,"",'Financial Statements'!AN19/AN55)</f>
        <v>2.6676398983426397</v>
      </c>
      <c r="AO64" s="45">
        <f ca="1">IF(AO55&lt;=0,"",'Financial Statements'!AO19/AO55)</f>
        <v>2.8727187155069496</v>
      </c>
      <c r="AP64" s="45">
        <f ca="1">IF(AP55&lt;=0,"",'Financial Statements'!AP19/AP55)</f>
        <v>3.1500685834420361</v>
      </c>
      <c r="AQ64" s="45">
        <f ca="1">IF(AQ55&lt;=0,"",'Financial Statements'!AQ19/AQ55)</f>
        <v>3.4502753051792294</v>
      </c>
      <c r="AR64" s="45">
        <f ca="1">IF(AR55&lt;=0,"",'Financial Statements'!AR19/AR55)</f>
        <v>3.7770976058725823</v>
      </c>
      <c r="AS64" s="45">
        <f ca="1">IF(AS55&lt;=0,"",'Financial Statements'!AS19/AS55)</f>
        <v>4.1328064795306405</v>
      </c>
      <c r="AT64" s="45">
        <f ca="1">IF(AT55&lt;=0,"",'Financial Statements'!AT19/AT55)</f>
        <v>4.5223505321584332</v>
      </c>
      <c r="AU64" s="45">
        <f ca="1">IF(AU55&lt;=0,"",'Financial Statements'!AU19/AU55)</f>
        <v>4.9483825839405871</v>
      </c>
      <c r="AV64" s="45">
        <f ca="1">IF(AV55&lt;=0,"",'Financial Statements'!AV19/AV55)</f>
        <v>5.4118815042221815</v>
      </c>
      <c r="AW64" s="45">
        <f ca="1">IF(AW55&lt;=0,"",'Financial Statements'!AW19/AW55)</f>
        <v>5.9160062199831005</v>
      </c>
      <c r="AX64" s="45">
        <f ca="1">IF(AX55&lt;=0,"",'Financial Statements'!AX19/AX55)</f>
        <v>6.5450203967745377</v>
      </c>
      <c r="AY64" s="45">
        <f ca="1">IF(AY55&lt;=0,"",'Financial Statements'!AY19/AY55)</f>
        <v>7.2415212265771522</v>
      </c>
      <c r="AZ64" s="45">
        <f ca="1">IF(AZ55&lt;=0,"",'Financial Statements'!AZ19/AZ55)</f>
        <v>7.9007526724414028</v>
      </c>
      <c r="BA64" s="45">
        <f ca="1">IF(BA55&lt;=0,"",'Financial Statements'!BA19/BA55)</f>
        <v>8.6167902217084595</v>
      </c>
    </row>
    <row r="65" spans="1:53" x14ac:dyDescent="0.3">
      <c r="A65" s="3" t="s">
        <v>268</v>
      </c>
      <c r="B65" s="3" t="s">
        <v>64</v>
      </c>
      <c r="C65" s="3"/>
      <c r="D65" s="46">
        <f ca="1">IF(D55&lt;=0,"",'Financial Statements'!D65/(D55/12))</f>
        <v>193.2562851782364</v>
      </c>
      <c r="E65" s="46">
        <f ca="1">IF(E55&lt;=0,"",'Financial Statements'!E65/(E55/12))</f>
        <v>19.292887288334015</v>
      </c>
      <c r="F65" s="46">
        <f ca="1">IF(F55&lt;=0,"",'Financial Statements'!F65/(F55/12))</f>
        <v>2.4796769510328782</v>
      </c>
      <c r="G65" s="46">
        <f ca="1">IF(G55&lt;=0,"",'Financial Statements'!G65/(G55/12))</f>
        <v>-1.8243710155305111</v>
      </c>
      <c r="H65" s="46">
        <f ca="1">IF(H55&lt;=0,"",'Financial Statements'!H65/(H55/12))</f>
        <v>-1.969204941149143</v>
      </c>
      <c r="I65" s="46">
        <f ca="1">IF(I55&lt;=0,"",'Financial Statements'!I65/(I55/12))</f>
        <v>-1.696384180145257</v>
      </c>
      <c r="J65" s="46">
        <f ca="1">IF(J55&lt;=0,"",'Financial Statements'!J65/(J55/12))</f>
        <v>-1.1383929900407521</v>
      </c>
      <c r="K65" s="46">
        <f ca="1">IF(K55&lt;=0,"",'Financial Statements'!K65/(K55/12))</f>
        <v>-2.4783963650717658</v>
      </c>
      <c r="L65" s="46">
        <f ca="1">IF(L55&lt;=0,"",'Financial Statements'!L65/(L55/12))</f>
        <v>-3.8310028912164542</v>
      </c>
      <c r="M65" s="46">
        <f ca="1">IF(M55&lt;=0,"",'Financial Statements'!M65/(M55/12))</f>
        <v>-4.8313247012736982</v>
      </c>
      <c r="N65" s="46">
        <f ca="1">IF(N55&lt;=0,"",'Financial Statements'!N65/(N55/12))</f>
        <v>-8.2439616707797576</v>
      </c>
      <c r="O65" s="46">
        <f ca="1">IF(O55&lt;=0,"",'Financial Statements'!O65/(O55/12))</f>
        <v>-6.3549670748554661</v>
      </c>
      <c r="P65" s="46">
        <f ca="1">IF(P55&lt;=0,"",'Financial Statements'!P65/(P55/12))</f>
        <v>-4.2965172144459807</v>
      </c>
      <c r="Q65" s="46">
        <f ca="1">IF(Q55&lt;=0,"",'Financial Statements'!Q65/(Q55/12))</f>
        <v>-2.274337170581842</v>
      </c>
      <c r="R65" s="46">
        <f ca="1">IF(R55&lt;=0,"",'Financial Statements'!R65/(R55/12))</f>
        <v>-0.29078110345387026</v>
      </c>
      <c r="S65" s="46">
        <f ca="1">IF(S55&lt;=0,"",'Financial Statements'!S65/(S55/12))</f>
        <v>1.6554579448912092</v>
      </c>
      <c r="T65" s="46">
        <f ca="1">IF(T55&lt;=0,"",'Financial Statements'!T65/(T55/12))</f>
        <v>3.6637593238690385</v>
      </c>
      <c r="U65" s="46">
        <f ca="1">IF(U55&lt;=0,"",'Financial Statements'!U65/(U55/12))</f>
        <v>5.6398299031245873</v>
      </c>
      <c r="V65" s="46">
        <f ca="1">IF(V55&lt;=0,"",'Financial Statements'!V65/(V55/12))</f>
        <v>7.5893366501663273</v>
      </c>
      <c r="W65" s="46">
        <f ca="1">IF(W55&lt;=0,"",'Financial Statements'!W65/(W55/12))</f>
        <v>9.5131574302444175</v>
      </c>
      <c r="X65" s="46">
        <f ca="1">IF(X55&lt;=0,"",'Financial Statements'!X65/(X55/12))</f>
        <v>11.412144296250695</v>
      </c>
      <c r="Y65" s="46">
        <f ca="1">IF(Y55&lt;=0,"",'Financial Statements'!Y65/(Y55/12))</f>
        <v>13.285396192980897</v>
      </c>
      <c r="Z65" s="46">
        <f ca="1">IF(Z55&lt;=0,"",'Financial Statements'!Z65/(Z55/12))</f>
        <v>3.7172472743899259</v>
      </c>
      <c r="AA65" s="46">
        <f ca="1">IF(AA55&lt;=0,"",'Financial Statements'!AA65/(AA55/12))</f>
        <v>6.2373278396330658</v>
      </c>
      <c r="AB65" s="46">
        <f ca="1">IF(AB55&lt;=0,"",'Financial Statements'!AB65/(AB55/12))</f>
        <v>8.8735131506161693</v>
      </c>
      <c r="AC65" s="46">
        <f ca="1">IF(AC55&lt;=0,"",'Financial Statements'!AC65/(AC55/12))</f>
        <v>12.965386138337458</v>
      </c>
      <c r="AD65" s="46">
        <f ca="1">IF(AD55&lt;=0,"",'Financial Statements'!AD65/(AD55/12))</f>
        <v>5.014974766673344</v>
      </c>
      <c r="AE65" s="46">
        <f ca="1">IF(AE55&lt;=0,"",'Financial Statements'!AE65/(AE55/12))</f>
        <v>12.006338784943438</v>
      </c>
      <c r="AF65" s="46">
        <f ca="1">IF(AF55&lt;=0,"",'Financial Statements'!AF65/(AF55/12))</f>
        <v>20.861320079516304</v>
      </c>
      <c r="AG65" s="46">
        <f ca="1">IF(AG55&lt;=0,"",'Financial Statements'!AG65/(AG55/12))</f>
        <v>13.666646671056936</v>
      </c>
      <c r="AH65" s="46">
        <f ca="1">IF(AH55&lt;=0,"",'Financial Statements'!AH65/(AH55/12))</f>
        <v>23.236820898606648</v>
      </c>
      <c r="AI65" s="46">
        <f ca="1">IF(AI55&lt;=0,"",'Financial Statements'!AI65/(AI55/12))</f>
        <v>14.914878588647708</v>
      </c>
      <c r="AJ65" s="46">
        <f ca="1">IF(AJ55&lt;=0,"",'Financial Statements'!AJ65/(AJ55/12))</f>
        <v>7.0201971258371829</v>
      </c>
      <c r="AK65" s="46">
        <f ca="1">IF(AK55&lt;=0,"",'Financial Statements'!AK65/(AK55/12))</f>
        <v>22.153622088927886</v>
      </c>
      <c r="AL65" s="46">
        <f ca="1">IF(AL55&lt;=0,"",'Financial Statements'!AL65/(AL55/12))</f>
        <v>16.215513066118053</v>
      </c>
      <c r="AM65" s="46">
        <f ca="1">IF(AM55&lt;=0,"",'Financial Statements'!AM65/(AM55/12))</f>
        <v>11.158414459066515</v>
      </c>
      <c r="AN65" s="46">
        <f ca="1">IF(AN55&lt;=0,"",'Financial Statements'!AN65/(AN55/12))</f>
        <v>34.857577276684196</v>
      </c>
      <c r="AO65" s="46">
        <f ca="1">IF(AO55&lt;=0,"",'Financial Statements'!AO65/(AO55/12))</f>
        <v>32.687415511798065</v>
      </c>
      <c r="AP65" s="46">
        <f ca="1">IF(AP55&lt;=0,"",'Financial Statements'!AP65/(AP55/12))</f>
        <v>31.847111639315791</v>
      </c>
      <c r="AQ65" s="46">
        <f ca="1">IF(AQ55&lt;=0,"",'Financial Statements'!AQ65/(AQ55/12))</f>
        <v>32.959556125437615</v>
      </c>
      <c r="AR65" s="46">
        <f ca="1">IF(AR55&lt;=0,"",'Financial Statements'!AR65/(AR55/12))</f>
        <v>36.299505142904337</v>
      </c>
      <c r="AS65" s="46">
        <f ca="1">IF(AS55&lt;=0,"",'Financial Statements'!AS65/(AS55/12))</f>
        <v>42.158254364666696</v>
      </c>
      <c r="AT65" s="46">
        <f ca="1">IF(AT55&lt;=0,"",'Financial Statements'!AT65/(AT55/12))</f>
        <v>50.288014132680509</v>
      </c>
      <c r="AU65" s="46">
        <f ca="1">IF(AU55&lt;=0,"",'Financial Statements'!AU65/(AU55/12))</f>
        <v>60.476270438776083</v>
      </c>
      <c r="AV65" s="46">
        <f ca="1">IF(AV55&lt;=0,"",'Financial Statements'!AV65/(AV55/12))</f>
        <v>72.963249543905661</v>
      </c>
      <c r="AW65" s="46">
        <f ca="1">IF(AW55&lt;=0,"",'Financial Statements'!AW65/(AW55/12))</f>
        <v>88.013423258221948</v>
      </c>
      <c r="AX65" s="46">
        <f ca="1">IF(AX55&lt;=0,"",'Financial Statements'!AX65/(AX55/12))</f>
        <v>50.025247214548877</v>
      </c>
      <c r="AY65" s="46">
        <f ca="1">IF(AY55&lt;=0,"",'Financial Statements'!AY65/(AY55/12))</f>
        <v>71.069002735553468</v>
      </c>
      <c r="AZ65" s="46">
        <f ca="1">IF(AZ55&lt;=0,"",'Financial Statements'!AZ65/(AZ55/12))</f>
        <v>95.814538223342822</v>
      </c>
      <c r="BA65" s="46">
        <f ca="1">IF(BA55&lt;=0,"",'Financial Statements'!BA65/(BA55/12))</f>
        <v>124.69747092643917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049C6-D7CC-4141-8660-593D80D10B3C}">
  <dimension ref="A1:BA135"/>
  <sheetViews>
    <sheetView workbookViewId="0">
      <pane xSplit="3" topLeftCell="P1" activePane="topRight" state="frozen"/>
      <selection pane="topRight"/>
    </sheetView>
  </sheetViews>
  <sheetFormatPr defaultRowHeight="14.4" outlineLevelRow="1" x14ac:dyDescent="0.3"/>
  <cols>
    <col min="1" max="1" width="46.33203125" customWidth="1"/>
    <col min="2" max="2" width="16.6640625" customWidth="1"/>
    <col min="3" max="3" width="2.5546875" customWidth="1"/>
    <col min="4" max="53" width="15.21875" customWidth="1"/>
  </cols>
  <sheetData>
    <row r="1" spans="1:53" ht="18" x14ac:dyDescent="0.35">
      <c r="A1" s="1" t="s">
        <v>115</v>
      </c>
    </row>
    <row r="2" spans="1:53" x14ac:dyDescent="0.3">
      <c r="A2" s="2" t="s">
        <v>116</v>
      </c>
    </row>
    <row r="6" spans="1:53" x14ac:dyDescent="0.3">
      <c r="A6" t="s">
        <v>88</v>
      </c>
      <c r="D6" s="27">
        <v>1</v>
      </c>
      <c r="E6" s="27">
        <v>2</v>
      </c>
      <c r="F6" s="27">
        <v>3</v>
      </c>
      <c r="G6" s="27">
        <v>4</v>
      </c>
      <c r="H6" s="27">
        <v>5</v>
      </c>
      <c r="I6" s="27">
        <v>6</v>
      </c>
      <c r="J6" s="27">
        <v>7</v>
      </c>
      <c r="K6" s="27">
        <v>8</v>
      </c>
      <c r="L6" s="27">
        <v>9</v>
      </c>
      <c r="M6" s="27">
        <v>10</v>
      </c>
      <c r="N6" s="27">
        <v>11</v>
      </c>
      <c r="O6" s="27">
        <v>12</v>
      </c>
      <c r="P6" s="27">
        <v>13</v>
      </c>
      <c r="Q6" s="27">
        <v>14</v>
      </c>
      <c r="R6" s="27">
        <v>15</v>
      </c>
      <c r="S6" s="27">
        <v>16</v>
      </c>
      <c r="T6" s="27">
        <v>17</v>
      </c>
      <c r="U6" s="27">
        <v>18</v>
      </c>
      <c r="V6" s="27">
        <v>19</v>
      </c>
      <c r="W6" s="27">
        <v>20</v>
      </c>
      <c r="X6" s="27">
        <v>21</v>
      </c>
      <c r="Y6" s="27">
        <v>22</v>
      </c>
      <c r="Z6" s="27">
        <v>23</v>
      </c>
      <c r="AA6" s="27">
        <v>24</v>
      </c>
      <c r="AB6" s="27">
        <v>25</v>
      </c>
      <c r="AC6" s="27">
        <v>26</v>
      </c>
      <c r="AD6" s="27">
        <v>27</v>
      </c>
      <c r="AE6" s="27">
        <v>28</v>
      </c>
      <c r="AF6" s="27">
        <v>29</v>
      </c>
      <c r="AG6" s="27">
        <v>30</v>
      </c>
      <c r="AH6" s="27">
        <v>31</v>
      </c>
      <c r="AI6" s="27">
        <v>32</v>
      </c>
      <c r="AJ6" s="27">
        <v>33</v>
      </c>
      <c r="AK6" s="27">
        <v>34</v>
      </c>
      <c r="AL6" s="27">
        <v>35</v>
      </c>
      <c r="AM6" s="27">
        <v>36</v>
      </c>
      <c r="AN6" s="27">
        <v>37</v>
      </c>
      <c r="AO6" s="27">
        <v>38</v>
      </c>
      <c r="AP6" s="27">
        <v>39</v>
      </c>
      <c r="AQ6" s="27">
        <v>40</v>
      </c>
      <c r="AR6" s="27">
        <v>41</v>
      </c>
      <c r="AS6" s="27">
        <v>42</v>
      </c>
      <c r="AT6" s="27">
        <v>43</v>
      </c>
      <c r="AU6" s="27">
        <v>44</v>
      </c>
      <c r="AV6" s="27">
        <v>45</v>
      </c>
      <c r="AW6" s="27">
        <v>46</v>
      </c>
      <c r="AX6" s="27">
        <v>47</v>
      </c>
      <c r="AY6" s="27">
        <v>48</v>
      </c>
      <c r="AZ6" s="27">
        <v>49</v>
      </c>
      <c r="BA6" s="27">
        <v>50</v>
      </c>
    </row>
    <row r="7" spans="1:53" x14ac:dyDescent="0.3">
      <c r="A7" t="s">
        <v>89</v>
      </c>
      <c r="D7" s="27">
        <f>base_calendar_year+D$6-1</f>
        <v>2026</v>
      </c>
      <c r="E7" s="27">
        <f>base_calendar_year+E$6-1</f>
        <v>2027</v>
      </c>
      <c r="F7" s="27">
        <f>base_calendar_year+F$6-1</f>
        <v>2028</v>
      </c>
      <c r="G7" s="27">
        <f>base_calendar_year+G$6-1</f>
        <v>2029</v>
      </c>
      <c r="H7" s="27">
        <f>base_calendar_year+H$6-1</f>
        <v>2030</v>
      </c>
      <c r="I7" s="27">
        <f>base_calendar_year+I$6-1</f>
        <v>2031</v>
      </c>
      <c r="J7" s="27">
        <f>base_calendar_year+J$6-1</f>
        <v>2032</v>
      </c>
      <c r="K7" s="27">
        <f>base_calendar_year+K$6-1</f>
        <v>2033</v>
      </c>
      <c r="L7" s="27">
        <f>base_calendar_year+L$6-1</f>
        <v>2034</v>
      </c>
      <c r="M7" s="27">
        <f>base_calendar_year+M$6-1</f>
        <v>2035</v>
      </c>
      <c r="N7" s="27">
        <f>base_calendar_year+N$6-1</f>
        <v>2036</v>
      </c>
      <c r="O7" s="27">
        <f>base_calendar_year+O$6-1</f>
        <v>2037</v>
      </c>
      <c r="P7" s="27">
        <f>base_calendar_year+P$6-1</f>
        <v>2038</v>
      </c>
      <c r="Q7" s="27">
        <f>base_calendar_year+Q$6-1</f>
        <v>2039</v>
      </c>
      <c r="R7" s="27">
        <f>base_calendar_year+R$6-1</f>
        <v>2040</v>
      </c>
      <c r="S7" s="27">
        <f>base_calendar_year+S$6-1</f>
        <v>2041</v>
      </c>
      <c r="T7" s="27">
        <f>base_calendar_year+T$6-1</f>
        <v>2042</v>
      </c>
      <c r="U7" s="27">
        <f>base_calendar_year+U$6-1</f>
        <v>2043</v>
      </c>
      <c r="V7" s="27">
        <f>base_calendar_year+V$6-1</f>
        <v>2044</v>
      </c>
      <c r="W7" s="27">
        <f>base_calendar_year+W$6-1</f>
        <v>2045</v>
      </c>
      <c r="X7" s="27">
        <f>base_calendar_year+X$6-1</f>
        <v>2046</v>
      </c>
      <c r="Y7" s="27">
        <f>base_calendar_year+Y$6-1</f>
        <v>2047</v>
      </c>
      <c r="Z7" s="27">
        <f>base_calendar_year+Z$6-1</f>
        <v>2048</v>
      </c>
      <c r="AA7" s="27">
        <f>base_calendar_year+AA$6-1</f>
        <v>2049</v>
      </c>
      <c r="AB7" s="27">
        <f>base_calendar_year+AB$6-1</f>
        <v>2050</v>
      </c>
      <c r="AC7" s="27">
        <f>base_calendar_year+AC$6-1</f>
        <v>2051</v>
      </c>
      <c r="AD7" s="27">
        <f>base_calendar_year+AD$6-1</f>
        <v>2052</v>
      </c>
      <c r="AE7" s="27">
        <f>base_calendar_year+AE$6-1</f>
        <v>2053</v>
      </c>
      <c r="AF7" s="27">
        <f>base_calendar_year+AF$6-1</f>
        <v>2054</v>
      </c>
      <c r="AG7" s="27">
        <f>base_calendar_year+AG$6-1</f>
        <v>2055</v>
      </c>
      <c r="AH7" s="27">
        <f>base_calendar_year+AH$6-1</f>
        <v>2056</v>
      </c>
      <c r="AI7" s="27">
        <f>base_calendar_year+AI$6-1</f>
        <v>2057</v>
      </c>
      <c r="AJ7" s="27">
        <f>base_calendar_year+AJ$6-1</f>
        <v>2058</v>
      </c>
      <c r="AK7" s="27">
        <f>base_calendar_year+AK$6-1</f>
        <v>2059</v>
      </c>
      <c r="AL7" s="27">
        <f>base_calendar_year+AL$6-1</f>
        <v>2060</v>
      </c>
      <c r="AM7" s="27">
        <f>base_calendar_year+AM$6-1</f>
        <v>2061</v>
      </c>
      <c r="AN7" s="27">
        <f>base_calendar_year+AN$6-1</f>
        <v>2062</v>
      </c>
      <c r="AO7" s="27">
        <f>base_calendar_year+AO$6-1</f>
        <v>2063</v>
      </c>
      <c r="AP7" s="27">
        <f>base_calendar_year+AP$6-1</f>
        <v>2064</v>
      </c>
      <c r="AQ7" s="27">
        <f>base_calendar_year+AQ$6-1</f>
        <v>2065</v>
      </c>
      <c r="AR7" s="27">
        <f>base_calendar_year+AR$6-1</f>
        <v>2066</v>
      </c>
      <c r="AS7" s="27">
        <f>base_calendar_year+AS$6-1</f>
        <v>2067</v>
      </c>
      <c r="AT7" s="27">
        <f>base_calendar_year+AT$6-1</f>
        <v>2068</v>
      </c>
      <c r="AU7" s="27">
        <f>base_calendar_year+AU$6-1</f>
        <v>2069</v>
      </c>
      <c r="AV7" s="27">
        <f>base_calendar_year+AV$6-1</f>
        <v>2070</v>
      </c>
      <c r="AW7" s="27">
        <f>base_calendar_year+AW$6-1</f>
        <v>2071</v>
      </c>
      <c r="AX7" s="27">
        <f>base_calendar_year+AX$6-1</f>
        <v>2072</v>
      </c>
      <c r="AY7" s="27">
        <f>base_calendar_year+AY$6-1</f>
        <v>2073</v>
      </c>
      <c r="AZ7" s="27">
        <f>base_calendar_year+AZ$6-1</f>
        <v>2074</v>
      </c>
      <c r="BA7" s="27">
        <f>base_calendar_year+BA$6-1</f>
        <v>2075</v>
      </c>
    </row>
    <row r="9" spans="1:53" x14ac:dyDescent="0.3">
      <c r="A9" s="37" t="s">
        <v>117</v>
      </c>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row>
    <row r="10" spans="1:53" outlineLevel="1" x14ac:dyDescent="0.3">
      <c r="A10" t="s">
        <v>137</v>
      </c>
      <c r="B10">
        <v>1</v>
      </c>
      <c r="D10" s="40">
        <f ca="1">IF(D$6&lt;$B10,0,IF(D$6=$B10,'Growth Engine'!D$10*'Macro &amp; Indexation'!D$19,C10*(1+'Macro &amp; Indexation'!D$16)))</f>
        <v>280000</v>
      </c>
      <c r="E10" s="40">
        <f ca="1">IF(E$6&lt;$B10,0,IF(E$6=$B10,'Growth Engine'!E$10*'Macro &amp; Indexation'!E$19,D10*(1+'Macro &amp; Indexation'!E$16)))</f>
        <v>289800</v>
      </c>
      <c r="F10" s="40">
        <f ca="1">IF(F$6&lt;$B10,0,IF(F$6=$B10,'Growth Engine'!F$10*'Macro &amp; Indexation'!F$19,E10*(1+'Macro &amp; Indexation'!F$16)))</f>
        <v>299943</v>
      </c>
      <c r="G10" s="40">
        <f ca="1">IF(G$6&lt;$B10,0,IF(G$6=$B10,'Growth Engine'!G$10*'Macro &amp; Indexation'!G$19,F10*(1+'Macro &amp; Indexation'!G$16)))</f>
        <v>310441.005</v>
      </c>
      <c r="H10" s="40">
        <f ca="1">IF(H$6&lt;$B10,0,IF(H$6=$B10,'Growth Engine'!H$10*'Macro &amp; Indexation'!H$19,G10*(1+'Macro &amp; Indexation'!H$16)))</f>
        <v>321306.440175</v>
      </c>
      <c r="I10" s="40">
        <f ca="1">IF(I$6&lt;$B10,0,IF(I$6=$B10,'Growth Engine'!I$10*'Macro &amp; Indexation'!I$19,H10*(1+'Macro &amp; Indexation'!I$16)))</f>
        <v>332552.16558112495</v>
      </c>
      <c r="J10" s="40">
        <f ca="1">IF(J$6&lt;$B10,0,IF(J$6=$B10,'Growth Engine'!J$10*'Macro &amp; Indexation'!J$19,I10*(1+'Macro &amp; Indexation'!J$16)))</f>
        <v>344191.49137646431</v>
      </c>
      <c r="K10" s="40">
        <f ca="1">IF(K$6&lt;$B10,0,IF(K$6=$B10,'Growth Engine'!K$10*'Macro &amp; Indexation'!K$19,J10*(1+'Macro &amp; Indexation'!K$16)))</f>
        <v>356238.19357464055</v>
      </c>
      <c r="L10" s="40">
        <f ca="1">IF(L$6&lt;$B10,0,IF(L$6=$B10,'Growth Engine'!L$10*'Macro &amp; Indexation'!L$19,K10*(1+'Macro &amp; Indexation'!L$16)))</f>
        <v>368706.53034975292</v>
      </c>
      <c r="M10" s="40">
        <f ca="1">IF(M$6&lt;$B10,0,IF(M$6=$B10,'Growth Engine'!M$10*'Macro &amp; Indexation'!M$19,L10*(1+'Macro &amp; Indexation'!M$16)))</f>
        <v>381611.25891199423</v>
      </c>
      <c r="N10" s="40">
        <f ca="1">IF(N$6&lt;$B10,0,IF(N$6=$B10,'Growth Engine'!N$10*'Macro &amp; Indexation'!N$19,M10*(1+'Macro &amp; Indexation'!N$16)))</f>
        <v>394967.652973914</v>
      </c>
      <c r="O10" s="40">
        <f ca="1">IF(O$6&lt;$B10,0,IF(O$6=$B10,'Growth Engine'!O$10*'Macro &amp; Indexation'!O$19,N10*(1+'Macro &amp; Indexation'!O$16)))</f>
        <v>408791.52082800097</v>
      </c>
      <c r="P10" s="40">
        <f ca="1">IF(P$6&lt;$B10,0,IF(P$6=$B10,'Growth Engine'!P$10*'Macro &amp; Indexation'!P$19,O10*(1+'Macro &amp; Indexation'!P$16)))</f>
        <v>423099.22405698098</v>
      </c>
      <c r="Q10" s="40">
        <f ca="1">IF(Q$6&lt;$B10,0,IF(Q$6=$B10,'Growth Engine'!Q$10*'Macro &amp; Indexation'!Q$19,P10*(1+'Macro &amp; Indexation'!Q$16)))</f>
        <v>437907.69689897529</v>
      </c>
      <c r="R10" s="40">
        <f ca="1">IF(R$6&lt;$B10,0,IF(R$6=$B10,'Growth Engine'!R$10*'Macro &amp; Indexation'!R$19,Q10*(1+'Macro &amp; Indexation'!R$16)))</f>
        <v>453234.46629043942</v>
      </c>
      <c r="S10" s="40">
        <f ca="1">IF(S$6&lt;$B10,0,IF(S$6=$B10,'Growth Engine'!S$10*'Macro &amp; Indexation'!S$19,R10*(1+'Macro &amp; Indexation'!S$16)))</f>
        <v>469097.67261060479</v>
      </c>
      <c r="T10" s="40">
        <f ca="1">IF(T$6&lt;$B10,0,IF(T$6=$B10,'Growth Engine'!T$10*'Macro &amp; Indexation'!T$19,S10*(1+'Macro &amp; Indexation'!T$16)))</f>
        <v>485516.09115197591</v>
      </c>
      <c r="U10" s="40">
        <f ca="1">IF(U$6&lt;$B10,0,IF(U$6=$B10,'Growth Engine'!U$10*'Macro &amp; Indexation'!U$19,T10*(1+'Macro &amp; Indexation'!U$16)))</f>
        <v>502509.15434229502</v>
      </c>
      <c r="V10" s="40">
        <f ca="1">IF(V$6&lt;$B10,0,IF(V$6=$B10,'Growth Engine'!V$10*'Macro &amp; Indexation'!V$19,U10*(1+'Macro &amp; Indexation'!V$16)))</f>
        <v>520096.97474427533</v>
      </c>
      <c r="W10" s="40">
        <f ca="1">IF(W$6&lt;$B10,0,IF(W$6=$B10,'Growth Engine'!W$10*'Macro &amp; Indexation'!W$19,V10*(1+'Macro &amp; Indexation'!W$16)))</f>
        <v>538300.36886032496</v>
      </c>
      <c r="X10" s="40">
        <f ca="1">IF(X$6&lt;$B10,0,IF(X$6=$B10,'Growth Engine'!X$10*'Macro &amp; Indexation'!X$19,W10*(1+'Macro &amp; Indexation'!X$16)))</f>
        <v>557140.8817704363</v>
      </c>
      <c r="Y10" s="40">
        <f ca="1">IF(Y$6&lt;$B10,0,IF(Y$6=$B10,'Growth Engine'!Y$10*'Macro &amp; Indexation'!Y$19,X10*(1+'Macro &amp; Indexation'!Y$16)))</f>
        <v>576640.81263240147</v>
      </c>
      <c r="Z10" s="40">
        <f ca="1">IF(Z$6&lt;$B10,0,IF(Z$6=$B10,'Growth Engine'!Z$10*'Macro &amp; Indexation'!Z$19,Y10*(1+'Macro &amp; Indexation'!Z$16)))</f>
        <v>596823.24107453553</v>
      </c>
      <c r="AA10" s="40">
        <f ca="1">IF(AA$6&lt;$B10,0,IF(AA$6=$B10,'Growth Engine'!AA$10*'Macro &amp; Indexation'!AA$19,Z10*(1+'Macro &amp; Indexation'!AA$16)))</f>
        <v>617712.05451214418</v>
      </c>
      <c r="AB10" s="40">
        <f ca="1">IF(AB$6&lt;$B10,0,IF(AB$6=$B10,'Growth Engine'!AB$10*'Macro &amp; Indexation'!AB$19,AA10*(1+'Macro &amp; Indexation'!AB$16)))</f>
        <v>639331.97642006923</v>
      </c>
      <c r="AC10" s="40">
        <f ca="1">IF(AC$6&lt;$B10,0,IF(AC$6=$B10,'Growth Engine'!AC$10*'Macro &amp; Indexation'!AC$19,AB10*(1+'Macro &amp; Indexation'!AC$16)))</f>
        <v>661708.59559477156</v>
      </c>
      <c r="AD10" s="40">
        <f ca="1">IF(AD$6&lt;$B10,0,IF(AD$6=$B10,'Growth Engine'!AD$10*'Macro &amp; Indexation'!AD$19,AC10*(1+'Macro &amp; Indexation'!AD$16)))</f>
        <v>684868.39644058852</v>
      </c>
      <c r="AE10" s="40">
        <f ca="1">IF(AE$6&lt;$B10,0,IF(AE$6=$B10,'Growth Engine'!AE$10*'Macro &amp; Indexation'!AE$19,AD10*(1+'Macro &amp; Indexation'!AE$16)))</f>
        <v>708838.79031600908</v>
      </c>
      <c r="AF10" s="40">
        <f ca="1">IF(AF$6&lt;$B10,0,IF(AF$6=$B10,'Growth Engine'!AF$10*'Macro &amp; Indexation'!AF$19,AE10*(1+'Macro &amp; Indexation'!AF$16)))</f>
        <v>733648.14797706937</v>
      </c>
      <c r="AG10" s="40">
        <f ca="1">IF(AG$6&lt;$B10,0,IF(AG$6=$B10,'Growth Engine'!AG$10*'Macro &amp; Indexation'!AG$19,AF10*(1+'Macro &amp; Indexation'!AG$16)))</f>
        <v>759325.83315626672</v>
      </c>
      <c r="AH10" s="40">
        <f ca="1">IF(AH$6&lt;$B10,0,IF(AH$6=$B10,'Growth Engine'!AH$10*'Macro &amp; Indexation'!AH$19,AG10*(1+'Macro &amp; Indexation'!AH$16)))</f>
        <v>785902.23731673602</v>
      </c>
      <c r="AI10" s="40">
        <f ca="1">IF(AI$6&lt;$B10,0,IF(AI$6=$B10,'Growth Engine'!AI$10*'Macro &amp; Indexation'!AI$19,AH10*(1+'Macro &amp; Indexation'!AI$16)))</f>
        <v>813408.81562282168</v>
      </c>
      <c r="AJ10" s="40">
        <f ca="1">IF(AJ$6&lt;$B10,0,IF(AJ$6=$B10,'Growth Engine'!AJ$10*'Macro &amp; Indexation'!AJ$19,AI10*(1+'Macro &amp; Indexation'!AJ$16)))</f>
        <v>841878.12416962034</v>
      </c>
      <c r="AK10" s="40">
        <f ca="1">IF(AK$6&lt;$B10,0,IF(AK$6=$B10,'Growth Engine'!AK$10*'Macro &amp; Indexation'!AK$19,AJ10*(1+'Macro &amp; Indexation'!AK$16)))</f>
        <v>871343.85851555702</v>
      </c>
      <c r="AL10" s="40">
        <f ca="1">IF(AL$6&lt;$B10,0,IF(AL$6=$B10,'Growth Engine'!AL$10*'Macro &amp; Indexation'!AL$19,AK10*(1+'Macro &amp; Indexation'!AL$16)))</f>
        <v>901840.89356360142</v>
      </c>
      <c r="AM10" s="40">
        <f ca="1">IF(AM$6&lt;$B10,0,IF(AM$6=$B10,'Growth Engine'!AM$10*'Macro &amp; Indexation'!AM$19,AL10*(1+'Macro &amp; Indexation'!AM$16)))</f>
        <v>933405.32483832736</v>
      </c>
      <c r="AN10" s="40">
        <f ca="1">IF(AN$6&lt;$B10,0,IF(AN$6=$B10,'Growth Engine'!AN$10*'Macro &amp; Indexation'!AN$19,AM10*(1+'Macro &amp; Indexation'!AN$16)))</f>
        <v>966074.51120766869</v>
      </c>
      <c r="AO10" s="40">
        <f ca="1">IF(AO$6&lt;$B10,0,IF(AO$6=$B10,'Growth Engine'!AO$10*'Macro &amp; Indexation'!AO$19,AN10*(1+'Macro &amp; Indexation'!AO$16)))</f>
        <v>999887.11909993703</v>
      </c>
      <c r="AP10" s="40">
        <f ca="1">IF(AP$6&lt;$B10,0,IF(AP$6=$B10,'Growth Engine'!AP$10*'Macro &amp; Indexation'!AP$19,AO10*(1+'Macro &amp; Indexation'!AP$16)))</f>
        <v>1034883.1682684347</v>
      </c>
      <c r="AQ10" s="40">
        <f ca="1">IF(AQ$6&lt;$B10,0,IF(AQ$6=$B10,'Growth Engine'!AQ$10*'Macro &amp; Indexation'!AQ$19,AP10*(1+'Macro &amp; Indexation'!AQ$16)))</f>
        <v>1071104.0791578298</v>
      </c>
      <c r="AR10" s="40">
        <f ca="1">IF(AR$6&lt;$B10,0,IF(AR$6=$B10,'Growth Engine'!AR$10*'Macro &amp; Indexation'!AR$19,AQ10*(1+'Macro &amp; Indexation'!AR$16)))</f>
        <v>1108592.7219283537</v>
      </c>
      <c r="AS10" s="40">
        <f ca="1">IF(AS$6&lt;$B10,0,IF(AS$6=$B10,'Growth Engine'!AS$10*'Macro &amp; Indexation'!AS$19,AR10*(1+'Macro &amp; Indexation'!AS$16)))</f>
        <v>1147393.4671958459</v>
      </c>
      <c r="AT10" s="40">
        <f ca="1">IF(AT$6&lt;$B10,0,IF(AT$6=$B10,'Growth Engine'!AT$10*'Macro &amp; Indexation'!AT$19,AS10*(1+'Macro &amp; Indexation'!AT$16)))</f>
        <v>1187552.2385477005</v>
      </c>
      <c r="AU10" s="40">
        <f ca="1">IF(AU$6&lt;$B10,0,IF(AU$6=$B10,'Growth Engine'!AU$10*'Macro &amp; Indexation'!AU$19,AT10*(1+'Macro &amp; Indexation'!AU$16)))</f>
        <v>1229116.5668968698</v>
      </c>
      <c r="AV10" s="40">
        <f ca="1">IF(AV$6&lt;$B10,0,IF(AV$6=$B10,'Growth Engine'!AV$10*'Macro &amp; Indexation'!AV$19,AU10*(1+'Macro &amp; Indexation'!AV$16)))</f>
        <v>1272135.6467382601</v>
      </c>
      <c r="AW10" s="40">
        <f ca="1">IF(AW$6&lt;$B10,0,IF(AW$6=$B10,'Growth Engine'!AW$10*'Macro &amp; Indexation'!AW$19,AV10*(1+'Macro &amp; Indexation'!AW$16)))</f>
        <v>1316660.3943740991</v>
      </c>
      <c r="AX10" s="40">
        <f ca="1">IF(AX$6&lt;$B10,0,IF(AX$6=$B10,'Growth Engine'!AX$10*'Macro &amp; Indexation'!AX$19,AW10*(1+'Macro &amp; Indexation'!AX$16)))</f>
        <v>1362743.5081771924</v>
      </c>
      <c r="AY10" s="40">
        <f ca="1">IF(AY$6&lt;$B10,0,IF(AY$6=$B10,'Growth Engine'!AY$10*'Macro &amp; Indexation'!AY$19,AX10*(1+'Macro &amp; Indexation'!AY$16)))</f>
        <v>1410439.5309633941</v>
      </c>
      <c r="AZ10" s="40">
        <f ca="1">IF(AZ$6&lt;$B10,0,IF(AZ$6=$B10,'Growth Engine'!AZ$10*'Macro &amp; Indexation'!AZ$19,AY10*(1+'Macro &amp; Indexation'!AZ$16)))</f>
        <v>1459804.9145471128</v>
      </c>
      <c r="BA10" s="40">
        <f ca="1">IF(BA$6&lt;$B10,0,IF(BA$6=$B10,'Growth Engine'!BA$10*'Macro &amp; Indexation'!BA$19,AZ10*(1+'Macro &amp; Indexation'!BA$16)))</f>
        <v>1510898.0865562616</v>
      </c>
    </row>
    <row r="11" spans="1:53" outlineLevel="1" x14ac:dyDescent="0.3">
      <c r="A11" t="s">
        <v>138</v>
      </c>
      <c r="B11">
        <v>2</v>
      </c>
      <c r="D11" s="40">
        <f>IF(D$6&lt;$B11,0,IF(D$6=$B11,'Growth Engine'!D$10*'Macro &amp; Indexation'!D$19,C11*(1+'Macro &amp; Indexation'!D$16)))</f>
        <v>0</v>
      </c>
      <c r="E11" s="40">
        <f ca="1">IF(E$6&lt;$B11,0,IF(E$6=$B11,'Growth Engine'!E$10*'Macro &amp; Indexation'!E$19,D11*(1+'Macro &amp; Indexation'!E$16)))</f>
        <v>579600</v>
      </c>
      <c r="F11" s="40">
        <f ca="1">IF(F$6&lt;$B11,0,IF(F$6=$B11,'Growth Engine'!F$10*'Macro &amp; Indexation'!F$19,E11*(1+'Macro &amp; Indexation'!F$16)))</f>
        <v>599886</v>
      </c>
      <c r="G11" s="40">
        <f ca="1">IF(G$6&lt;$B11,0,IF(G$6=$B11,'Growth Engine'!G$10*'Macro &amp; Indexation'!G$19,F11*(1+'Macro &amp; Indexation'!G$16)))</f>
        <v>620882.01</v>
      </c>
      <c r="H11" s="40">
        <f ca="1">IF(H$6&lt;$B11,0,IF(H$6=$B11,'Growth Engine'!H$10*'Macro &amp; Indexation'!H$19,G11*(1+'Macro &amp; Indexation'!H$16)))</f>
        <v>642612.88034999999</v>
      </c>
      <c r="I11" s="40">
        <f ca="1">IF(I$6&lt;$B11,0,IF(I$6=$B11,'Growth Engine'!I$10*'Macro &amp; Indexation'!I$19,H11*(1+'Macro &amp; Indexation'!I$16)))</f>
        <v>665104.3311622499</v>
      </c>
      <c r="J11" s="40">
        <f ca="1">IF(J$6&lt;$B11,0,IF(J$6=$B11,'Growth Engine'!J$10*'Macro &amp; Indexation'!J$19,I11*(1+'Macro &amp; Indexation'!J$16)))</f>
        <v>688382.98275292863</v>
      </c>
      <c r="K11" s="40">
        <f ca="1">IF(K$6&lt;$B11,0,IF(K$6=$B11,'Growth Engine'!K$10*'Macro &amp; Indexation'!K$19,J11*(1+'Macro &amp; Indexation'!K$16)))</f>
        <v>712476.3871492811</v>
      </c>
      <c r="L11" s="40">
        <f ca="1">IF(L$6&lt;$B11,0,IF(L$6=$B11,'Growth Engine'!L$10*'Macro &amp; Indexation'!L$19,K11*(1+'Macro &amp; Indexation'!L$16)))</f>
        <v>737413.06069950585</v>
      </c>
      <c r="M11" s="40">
        <f ca="1">IF(M$6&lt;$B11,0,IF(M$6=$B11,'Growth Engine'!M$10*'Macro &amp; Indexation'!M$19,L11*(1+'Macro &amp; Indexation'!M$16)))</f>
        <v>763222.51782398846</v>
      </c>
      <c r="N11" s="40">
        <f ca="1">IF(N$6&lt;$B11,0,IF(N$6=$B11,'Growth Engine'!N$10*'Macro &amp; Indexation'!N$19,M11*(1+'Macro &amp; Indexation'!N$16)))</f>
        <v>789935.30594782799</v>
      </c>
      <c r="O11" s="40">
        <f ca="1">IF(O$6&lt;$B11,0,IF(O$6=$B11,'Growth Engine'!O$10*'Macro &amp; Indexation'!O$19,N11*(1+'Macro &amp; Indexation'!O$16)))</f>
        <v>817583.04165600194</v>
      </c>
      <c r="P11" s="40">
        <f ca="1">IF(P$6&lt;$B11,0,IF(P$6=$B11,'Growth Engine'!P$10*'Macro &amp; Indexation'!P$19,O11*(1+'Macro &amp; Indexation'!P$16)))</f>
        <v>846198.44811396196</v>
      </c>
      <c r="Q11" s="40">
        <f ca="1">IF(Q$6&lt;$B11,0,IF(Q$6=$B11,'Growth Engine'!Q$10*'Macro &amp; Indexation'!Q$19,P11*(1+'Macro &amp; Indexation'!Q$16)))</f>
        <v>875815.39379795059</v>
      </c>
      <c r="R11" s="40">
        <f ca="1">IF(R$6&lt;$B11,0,IF(R$6=$B11,'Growth Engine'!R$10*'Macro &amp; Indexation'!R$19,Q11*(1+'Macro &amp; Indexation'!R$16)))</f>
        <v>906468.93258087884</v>
      </c>
      <c r="S11" s="40">
        <f ca="1">IF(S$6&lt;$B11,0,IF(S$6=$B11,'Growth Engine'!S$10*'Macro &amp; Indexation'!S$19,R11*(1+'Macro &amp; Indexation'!S$16)))</f>
        <v>938195.34522120957</v>
      </c>
      <c r="T11" s="40">
        <f ca="1">IF(T$6&lt;$B11,0,IF(T$6=$B11,'Growth Engine'!T$10*'Macro &amp; Indexation'!T$19,S11*(1+'Macro &amp; Indexation'!T$16)))</f>
        <v>971032.18230395182</v>
      </c>
      <c r="U11" s="40">
        <f ca="1">IF(U$6&lt;$B11,0,IF(U$6=$B11,'Growth Engine'!U$10*'Macro &amp; Indexation'!U$19,T11*(1+'Macro &amp; Indexation'!U$16)))</f>
        <v>1005018.30868459</v>
      </c>
      <c r="V11" s="40">
        <f ca="1">IF(V$6&lt;$B11,0,IF(V$6=$B11,'Growth Engine'!V$10*'Macro &amp; Indexation'!V$19,U11*(1+'Macro &amp; Indexation'!V$16)))</f>
        <v>1040193.9494885507</v>
      </c>
      <c r="W11" s="40">
        <f ca="1">IF(W$6&lt;$B11,0,IF(W$6=$B11,'Growth Engine'!W$10*'Macro &amp; Indexation'!W$19,V11*(1+'Macro &amp; Indexation'!W$16)))</f>
        <v>1076600.7377206499</v>
      </c>
      <c r="X11" s="40">
        <f ca="1">IF(X$6&lt;$B11,0,IF(X$6=$B11,'Growth Engine'!X$10*'Macro &amp; Indexation'!X$19,W11*(1+'Macro &amp; Indexation'!X$16)))</f>
        <v>1114281.7635408726</v>
      </c>
      <c r="Y11" s="40">
        <f ca="1">IF(Y$6&lt;$B11,0,IF(Y$6=$B11,'Growth Engine'!Y$10*'Macro &amp; Indexation'!Y$19,X11*(1+'Macro &amp; Indexation'!Y$16)))</f>
        <v>1153281.6252648029</v>
      </c>
      <c r="Z11" s="40">
        <f ca="1">IF(Z$6&lt;$B11,0,IF(Z$6=$B11,'Growth Engine'!Z$10*'Macro &amp; Indexation'!Z$19,Y11*(1+'Macro &amp; Indexation'!Z$16)))</f>
        <v>1193646.4821490711</v>
      </c>
      <c r="AA11" s="40">
        <f ca="1">IF(AA$6&lt;$B11,0,IF(AA$6=$B11,'Growth Engine'!AA$10*'Macro &amp; Indexation'!AA$19,Z11*(1+'Macro &amp; Indexation'!AA$16)))</f>
        <v>1235424.1090242884</v>
      </c>
      <c r="AB11" s="40">
        <f ca="1">IF(AB$6&lt;$B11,0,IF(AB$6=$B11,'Growth Engine'!AB$10*'Macro &amp; Indexation'!AB$19,AA11*(1+'Macro &amp; Indexation'!AB$16)))</f>
        <v>1278663.9528401385</v>
      </c>
      <c r="AC11" s="40">
        <f ca="1">IF(AC$6&lt;$B11,0,IF(AC$6=$B11,'Growth Engine'!AC$10*'Macro &amp; Indexation'!AC$19,AB11*(1+'Macro &amp; Indexation'!AC$16)))</f>
        <v>1323417.1911895431</v>
      </c>
      <c r="AD11" s="40">
        <f ca="1">IF(AD$6&lt;$B11,0,IF(AD$6=$B11,'Growth Engine'!AD$10*'Macro &amp; Indexation'!AD$19,AC11*(1+'Macro &amp; Indexation'!AD$16)))</f>
        <v>1369736.792881177</v>
      </c>
      <c r="AE11" s="40">
        <f ca="1">IF(AE$6&lt;$B11,0,IF(AE$6=$B11,'Growth Engine'!AE$10*'Macro &amp; Indexation'!AE$19,AD11*(1+'Macro &amp; Indexation'!AE$16)))</f>
        <v>1417677.5806320182</v>
      </c>
      <c r="AF11" s="40">
        <f ca="1">IF(AF$6&lt;$B11,0,IF(AF$6=$B11,'Growth Engine'!AF$10*'Macro &amp; Indexation'!AF$19,AE11*(1+'Macro &amp; Indexation'!AF$16)))</f>
        <v>1467296.2959541387</v>
      </c>
      <c r="AG11" s="40">
        <f ca="1">IF(AG$6&lt;$B11,0,IF(AG$6=$B11,'Growth Engine'!AG$10*'Macro &amp; Indexation'!AG$19,AF11*(1+'Macro &amp; Indexation'!AG$16)))</f>
        <v>1518651.6663125334</v>
      </c>
      <c r="AH11" s="40">
        <f ca="1">IF(AH$6&lt;$B11,0,IF(AH$6=$B11,'Growth Engine'!AH$10*'Macro &amp; Indexation'!AH$19,AG11*(1+'Macro &amp; Indexation'!AH$16)))</f>
        <v>1571804.474633472</v>
      </c>
      <c r="AI11" s="40">
        <f ca="1">IF(AI$6&lt;$B11,0,IF(AI$6=$B11,'Growth Engine'!AI$10*'Macro &amp; Indexation'!AI$19,AH11*(1+'Macro &amp; Indexation'!AI$16)))</f>
        <v>1626817.6312456434</v>
      </c>
      <c r="AJ11" s="40">
        <f ca="1">IF(AJ$6&lt;$B11,0,IF(AJ$6=$B11,'Growth Engine'!AJ$10*'Macro &amp; Indexation'!AJ$19,AI11*(1+'Macro &amp; Indexation'!AJ$16)))</f>
        <v>1683756.2483392407</v>
      </c>
      <c r="AK11" s="40">
        <f ca="1">IF(AK$6&lt;$B11,0,IF(AK$6=$B11,'Growth Engine'!AK$10*'Macro &amp; Indexation'!AK$19,AJ11*(1+'Macro &amp; Indexation'!AK$16)))</f>
        <v>1742687.717031114</v>
      </c>
      <c r="AL11" s="40">
        <f ca="1">IF(AL$6&lt;$B11,0,IF(AL$6=$B11,'Growth Engine'!AL$10*'Macro &amp; Indexation'!AL$19,AK11*(1+'Macro &amp; Indexation'!AL$16)))</f>
        <v>1803681.7871272028</v>
      </c>
      <c r="AM11" s="40">
        <f ca="1">IF(AM$6&lt;$B11,0,IF(AM$6=$B11,'Growth Engine'!AM$10*'Macro &amp; Indexation'!AM$19,AL11*(1+'Macro &amp; Indexation'!AM$16)))</f>
        <v>1866810.6496766547</v>
      </c>
      <c r="AN11" s="40">
        <f ca="1">IF(AN$6&lt;$B11,0,IF(AN$6=$B11,'Growth Engine'!AN$10*'Macro &amp; Indexation'!AN$19,AM11*(1+'Macro &amp; Indexation'!AN$16)))</f>
        <v>1932149.0224153374</v>
      </c>
      <c r="AO11" s="40">
        <f ca="1">IF(AO$6&lt;$B11,0,IF(AO$6=$B11,'Growth Engine'!AO$10*'Macro &amp; Indexation'!AO$19,AN11*(1+'Macro &amp; Indexation'!AO$16)))</f>
        <v>1999774.2381998741</v>
      </c>
      <c r="AP11" s="40">
        <f ca="1">IF(AP$6&lt;$B11,0,IF(AP$6=$B11,'Growth Engine'!AP$10*'Macro &amp; Indexation'!AP$19,AO11*(1+'Macro &amp; Indexation'!AP$16)))</f>
        <v>2069766.3365368694</v>
      </c>
      <c r="AQ11" s="40">
        <f ca="1">IF(AQ$6&lt;$B11,0,IF(AQ$6=$B11,'Growth Engine'!AQ$10*'Macro &amp; Indexation'!AQ$19,AP11*(1+'Macro &amp; Indexation'!AQ$16)))</f>
        <v>2142208.1583156595</v>
      </c>
      <c r="AR11" s="40">
        <f ca="1">IF(AR$6&lt;$B11,0,IF(AR$6=$B11,'Growth Engine'!AR$10*'Macro &amp; Indexation'!AR$19,AQ11*(1+'Macro &amp; Indexation'!AR$16)))</f>
        <v>2217185.4438567073</v>
      </c>
      <c r="AS11" s="40">
        <f ca="1">IF(AS$6&lt;$B11,0,IF(AS$6=$B11,'Growth Engine'!AS$10*'Macro &amp; Indexation'!AS$19,AR11*(1+'Macro &amp; Indexation'!AS$16)))</f>
        <v>2294786.9343916918</v>
      </c>
      <c r="AT11" s="40">
        <f ca="1">IF(AT$6&lt;$B11,0,IF(AT$6=$B11,'Growth Engine'!AT$10*'Macro &amp; Indexation'!AT$19,AS11*(1+'Macro &amp; Indexation'!AT$16)))</f>
        <v>2375104.4770954009</v>
      </c>
      <c r="AU11" s="40">
        <f ca="1">IF(AU$6&lt;$B11,0,IF(AU$6=$B11,'Growth Engine'!AU$10*'Macro &amp; Indexation'!AU$19,AT11*(1+'Macro &amp; Indexation'!AU$16)))</f>
        <v>2458233.1337937396</v>
      </c>
      <c r="AV11" s="40">
        <f ca="1">IF(AV$6&lt;$B11,0,IF(AV$6=$B11,'Growth Engine'!AV$10*'Macro &amp; Indexation'!AV$19,AU11*(1+'Macro &amp; Indexation'!AV$16)))</f>
        <v>2544271.2934765201</v>
      </c>
      <c r="AW11" s="40">
        <f ca="1">IF(AW$6&lt;$B11,0,IF(AW$6=$B11,'Growth Engine'!AW$10*'Macro &amp; Indexation'!AW$19,AV11*(1+'Macro &amp; Indexation'!AW$16)))</f>
        <v>2633320.7887481982</v>
      </c>
      <c r="AX11" s="40">
        <f ca="1">IF(AX$6&lt;$B11,0,IF(AX$6=$B11,'Growth Engine'!AX$10*'Macro &amp; Indexation'!AX$19,AW11*(1+'Macro &amp; Indexation'!AX$16)))</f>
        <v>2725487.0163543848</v>
      </c>
      <c r="AY11" s="40">
        <f ca="1">IF(AY$6&lt;$B11,0,IF(AY$6=$B11,'Growth Engine'!AY$10*'Macro &amp; Indexation'!AY$19,AX11*(1+'Macro &amp; Indexation'!AY$16)))</f>
        <v>2820879.0619267882</v>
      </c>
      <c r="AZ11" s="40">
        <f ca="1">IF(AZ$6&lt;$B11,0,IF(AZ$6=$B11,'Growth Engine'!AZ$10*'Macro &amp; Indexation'!AZ$19,AY11*(1+'Macro &amp; Indexation'!AZ$16)))</f>
        <v>2919609.8290942255</v>
      </c>
      <c r="BA11" s="40">
        <f ca="1">IF(BA$6&lt;$B11,0,IF(BA$6=$B11,'Growth Engine'!BA$10*'Macro &amp; Indexation'!BA$19,AZ11*(1+'Macro &amp; Indexation'!BA$16)))</f>
        <v>3021796.1731125233</v>
      </c>
    </row>
    <row r="12" spans="1:53" outlineLevel="1" x14ac:dyDescent="0.3">
      <c r="A12" t="s">
        <v>139</v>
      </c>
      <c r="B12">
        <v>3</v>
      </c>
      <c r="D12" s="40">
        <f>IF(D$6&lt;$B12,0,IF(D$6=$B12,'Growth Engine'!D$10*'Macro &amp; Indexation'!D$19,C12*(1+'Macro &amp; Indexation'!D$16)))</f>
        <v>0</v>
      </c>
      <c r="E12" s="40">
        <f>IF(E$6&lt;$B12,0,IF(E$6=$B12,'Growth Engine'!E$10*'Macro &amp; Indexation'!E$19,D12*(1+'Macro &amp; Indexation'!E$16)))</f>
        <v>0</v>
      </c>
      <c r="F12" s="40">
        <f ca="1">IF(F$6&lt;$B12,0,IF(F$6=$B12,'Growth Engine'!F$10*'Macro &amp; Indexation'!F$19,E12*(1+'Macro &amp; Indexation'!F$16)))</f>
        <v>899828.99999999977</v>
      </c>
      <c r="G12" s="40">
        <f ca="1">IF(G$6&lt;$B12,0,IF(G$6=$B12,'Growth Engine'!G$10*'Macro &amp; Indexation'!G$19,F12*(1+'Macro &amp; Indexation'!G$16)))</f>
        <v>931323.01499999966</v>
      </c>
      <c r="H12" s="40">
        <f ca="1">IF(H$6&lt;$B12,0,IF(H$6=$B12,'Growth Engine'!H$10*'Macro &amp; Indexation'!H$19,G12*(1+'Macro &amp; Indexation'!H$16)))</f>
        <v>963919.32052499952</v>
      </c>
      <c r="I12" s="40">
        <f ca="1">IF(I$6&lt;$B12,0,IF(I$6=$B12,'Growth Engine'!I$10*'Macro &amp; Indexation'!I$19,H12*(1+'Macro &amp; Indexation'!I$16)))</f>
        <v>997656.49674337439</v>
      </c>
      <c r="J12" s="40">
        <f ca="1">IF(J$6&lt;$B12,0,IF(J$6=$B12,'Growth Engine'!J$10*'Macro &amp; Indexation'!J$19,I12*(1+'Macro &amp; Indexation'!J$16)))</f>
        <v>1032574.4741293924</v>
      </c>
      <c r="K12" s="40">
        <f ca="1">IF(K$6&lt;$B12,0,IF(K$6=$B12,'Growth Engine'!K$10*'Macro &amp; Indexation'!K$19,J12*(1+'Macro &amp; Indexation'!K$16)))</f>
        <v>1068714.5807239211</v>
      </c>
      <c r="L12" s="40">
        <f ca="1">IF(L$6&lt;$B12,0,IF(L$6=$B12,'Growth Engine'!L$10*'Macro &amp; Indexation'!L$19,K12*(1+'Macro &amp; Indexation'!L$16)))</f>
        <v>1106119.5910492581</v>
      </c>
      <c r="M12" s="40">
        <f ca="1">IF(M$6&lt;$B12,0,IF(M$6=$B12,'Growth Engine'!M$10*'Macro &amp; Indexation'!M$19,L12*(1+'Macro &amp; Indexation'!M$16)))</f>
        <v>1144833.7767359822</v>
      </c>
      <c r="N12" s="40">
        <f ca="1">IF(N$6&lt;$B12,0,IF(N$6=$B12,'Growth Engine'!N$10*'Macro &amp; Indexation'!N$19,M12*(1+'Macro &amp; Indexation'!N$16)))</f>
        <v>1184902.9589217415</v>
      </c>
      <c r="O12" s="40">
        <f ca="1">IF(O$6&lt;$B12,0,IF(O$6=$B12,'Growth Engine'!O$10*'Macro &amp; Indexation'!O$19,N12*(1+'Macro &amp; Indexation'!O$16)))</f>
        <v>1226374.5624840022</v>
      </c>
      <c r="P12" s="40">
        <f ca="1">IF(P$6&lt;$B12,0,IF(P$6=$B12,'Growth Engine'!P$10*'Macro &amp; Indexation'!P$19,O12*(1+'Macro &amp; Indexation'!P$16)))</f>
        <v>1269297.6721709422</v>
      </c>
      <c r="Q12" s="40">
        <f ca="1">IF(Q$6&lt;$B12,0,IF(Q$6=$B12,'Growth Engine'!Q$10*'Macro &amp; Indexation'!Q$19,P12*(1+'Macro &amp; Indexation'!Q$16)))</f>
        <v>1313723.0906969251</v>
      </c>
      <c r="R12" s="40">
        <f ca="1">IF(R$6&lt;$B12,0,IF(R$6=$B12,'Growth Engine'!R$10*'Macro &amp; Indexation'!R$19,Q12*(1+'Macro &amp; Indexation'!R$16)))</f>
        <v>1359703.3988713173</v>
      </c>
      <c r="S12" s="40">
        <f ca="1">IF(S$6&lt;$B12,0,IF(S$6=$B12,'Growth Engine'!S$10*'Macro &amp; Indexation'!S$19,R12*(1+'Macro &amp; Indexation'!S$16)))</f>
        <v>1407293.0178318133</v>
      </c>
      <c r="T12" s="40">
        <f ca="1">IF(T$6&lt;$B12,0,IF(T$6=$B12,'Growth Engine'!T$10*'Macro &amp; Indexation'!T$19,S12*(1+'Macro &amp; Indexation'!T$16)))</f>
        <v>1456548.2734559267</v>
      </c>
      <c r="U12" s="40">
        <f ca="1">IF(U$6&lt;$B12,0,IF(U$6=$B12,'Growth Engine'!U$10*'Macro &amp; Indexation'!U$19,T12*(1+'Macro &amp; Indexation'!U$16)))</f>
        <v>1507527.463026884</v>
      </c>
      <c r="V12" s="40">
        <f ca="1">IF(V$6&lt;$B12,0,IF(V$6=$B12,'Growth Engine'!V$10*'Macro &amp; Indexation'!V$19,U12*(1+'Macro &amp; Indexation'!V$16)))</f>
        <v>1560290.9242328249</v>
      </c>
      <c r="W12" s="40">
        <f ca="1">IF(W$6&lt;$B12,0,IF(W$6=$B12,'Growth Engine'!W$10*'Macro &amp; Indexation'!W$19,V12*(1+'Macro &amp; Indexation'!W$16)))</f>
        <v>1614901.1065809736</v>
      </c>
      <c r="X12" s="40">
        <f ca="1">IF(X$6&lt;$B12,0,IF(X$6=$B12,'Growth Engine'!X$10*'Macro &amp; Indexation'!X$19,W12*(1+'Macro &amp; Indexation'!X$16)))</f>
        <v>1671422.6453113076</v>
      </c>
      <c r="Y12" s="40">
        <f ca="1">IF(Y$6&lt;$B12,0,IF(Y$6=$B12,'Growth Engine'!Y$10*'Macro &amp; Indexation'!Y$19,X12*(1+'Macro &amp; Indexation'!Y$16)))</f>
        <v>1729922.4378972033</v>
      </c>
      <c r="Z12" s="40">
        <f ca="1">IF(Z$6&lt;$B12,0,IF(Z$6=$B12,'Growth Engine'!Z$10*'Macro &amp; Indexation'!Z$19,Y12*(1+'Macro &amp; Indexation'!Z$16)))</f>
        <v>1790469.7232236052</v>
      </c>
      <c r="AA12" s="40">
        <f ca="1">IF(AA$6&lt;$B12,0,IF(AA$6=$B12,'Growth Engine'!AA$10*'Macro &amp; Indexation'!AA$19,Z12*(1+'Macro &amp; Indexation'!AA$16)))</f>
        <v>1853136.1635364313</v>
      </c>
      <c r="AB12" s="40">
        <f ca="1">IF(AB$6&lt;$B12,0,IF(AB$6=$B12,'Growth Engine'!AB$10*'Macro &amp; Indexation'!AB$19,AA12*(1+'Macro &amp; Indexation'!AB$16)))</f>
        <v>1917995.9292602062</v>
      </c>
      <c r="AC12" s="40">
        <f ca="1">IF(AC$6&lt;$B12,0,IF(AC$6=$B12,'Growth Engine'!AC$10*'Macro &amp; Indexation'!AC$19,AB12*(1+'Macro &amp; Indexation'!AC$16)))</f>
        <v>1985125.7867843132</v>
      </c>
      <c r="AD12" s="40">
        <f ca="1">IF(AD$6&lt;$B12,0,IF(AD$6=$B12,'Growth Engine'!AD$10*'Macro &amp; Indexation'!AD$19,AC12*(1+'Macro &amp; Indexation'!AD$16)))</f>
        <v>2054605.189321764</v>
      </c>
      <c r="AE12" s="40">
        <f ca="1">IF(AE$6&lt;$B12,0,IF(AE$6=$B12,'Growth Engine'!AE$10*'Macro &amp; Indexation'!AE$19,AD12*(1+'Macro &amp; Indexation'!AE$16)))</f>
        <v>2126516.3709480255</v>
      </c>
      <c r="AF12" s="40">
        <f ca="1">IF(AF$6&lt;$B12,0,IF(AF$6=$B12,'Growth Engine'!AF$10*'Macro &amp; Indexation'!AF$19,AE12*(1+'Macro &amp; Indexation'!AF$16)))</f>
        <v>2200944.4439312061</v>
      </c>
      <c r="AG12" s="40">
        <f ca="1">IF(AG$6&lt;$B12,0,IF(AG$6=$B12,'Growth Engine'!AG$10*'Macro &amp; Indexation'!AG$19,AF12*(1+'Macro &amp; Indexation'!AG$16)))</f>
        <v>2277977.4994687983</v>
      </c>
      <c r="AH12" s="40">
        <f ca="1">IF(AH$6&lt;$B12,0,IF(AH$6=$B12,'Growth Engine'!AH$10*'Macro &amp; Indexation'!AH$19,AG12*(1+'Macro &amp; Indexation'!AH$16)))</f>
        <v>2357706.7119502062</v>
      </c>
      <c r="AI12" s="40">
        <f ca="1">IF(AI$6&lt;$B12,0,IF(AI$6=$B12,'Growth Engine'!AI$10*'Macro &amp; Indexation'!AI$19,AH12*(1+'Macro &amp; Indexation'!AI$16)))</f>
        <v>2440226.4468684634</v>
      </c>
      <c r="AJ12" s="40">
        <f ca="1">IF(AJ$6&lt;$B12,0,IF(AJ$6=$B12,'Growth Engine'!AJ$10*'Macro &amp; Indexation'!AJ$19,AI12*(1+'Macro &amp; Indexation'!AJ$16)))</f>
        <v>2525634.3725088593</v>
      </c>
      <c r="AK12" s="40">
        <f ca="1">IF(AK$6&lt;$B12,0,IF(AK$6=$B12,'Growth Engine'!AK$10*'Macro &amp; Indexation'!AK$19,AJ12*(1+'Macro &amp; Indexation'!AK$16)))</f>
        <v>2614031.5755466693</v>
      </c>
      <c r="AL12" s="40">
        <f ca="1">IF(AL$6&lt;$B12,0,IF(AL$6=$B12,'Growth Engine'!AL$10*'Macro &amp; Indexation'!AL$19,AK12*(1+'Macro &amp; Indexation'!AL$16)))</f>
        <v>2705522.6806908026</v>
      </c>
      <c r="AM12" s="40">
        <f ca="1">IF(AM$6&lt;$B12,0,IF(AM$6=$B12,'Growth Engine'!AM$10*'Macro &amp; Indexation'!AM$19,AL12*(1+'Macro &amp; Indexation'!AM$16)))</f>
        <v>2800215.9745149803</v>
      </c>
      <c r="AN12" s="40">
        <f ca="1">IF(AN$6&lt;$B12,0,IF(AN$6=$B12,'Growth Engine'!AN$10*'Macro &amp; Indexation'!AN$19,AM12*(1+'Macro &amp; Indexation'!AN$16)))</f>
        <v>2898223.5336230043</v>
      </c>
      <c r="AO12" s="40">
        <f ca="1">IF(AO$6&lt;$B12,0,IF(AO$6=$B12,'Growth Engine'!AO$10*'Macro &amp; Indexation'!AO$19,AN12*(1+'Macro &amp; Indexation'!AO$16)))</f>
        <v>2999661.3572998093</v>
      </c>
      <c r="AP12" s="40">
        <f ca="1">IF(AP$6&lt;$B12,0,IF(AP$6=$B12,'Growth Engine'!AP$10*'Macro &amp; Indexation'!AP$19,AO12*(1+'Macro &amp; Indexation'!AP$16)))</f>
        <v>3104649.5048053022</v>
      </c>
      <c r="AQ12" s="40">
        <f ca="1">IF(AQ$6&lt;$B12,0,IF(AQ$6=$B12,'Growth Engine'!AQ$10*'Macro &amp; Indexation'!AQ$19,AP12*(1+'Macro &amp; Indexation'!AQ$16)))</f>
        <v>3213312.2374734874</v>
      </c>
      <c r="AR12" s="40">
        <f ca="1">IF(AR$6&lt;$B12,0,IF(AR$6=$B12,'Growth Engine'!AR$10*'Macro &amp; Indexation'!AR$19,AQ12*(1+'Macro &amp; Indexation'!AR$16)))</f>
        <v>3325778.1657850593</v>
      </c>
      <c r="AS12" s="40">
        <f ca="1">IF(AS$6&lt;$B12,0,IF(AS$6=$B12,'Growth Engine'!AS$10*'Macro &amp; Indexation'!AS$19,AR12*(1+'Macro &amp; Indexation'!AS$16)))</f>
        <v>3442180.4015875361</v>
      </c>
      <c r="AT12" s="40">
        <f ca="1">IF(AT$6&lt;$B12,0,IF(AT$6=$B12,'Growth Engine'!AT$10*'Macro &amp; Indexation'!AT$19,AS12*(1+'Macro &amp; Indexation'!AT$16)))</f>
        <v>3562656.7156430995</v>
      </c>
      <c r="AU12" s="40">
        <f ca="1">IF(AU$6&lt;$B12,0,IF(AU$6=$B12,'Growth Engine'!AU$10*'Macro &amp; Indexation'!AU$19,AT12*(1+'Macro &amp; Indexation'!AU$16)))</f>
        <v>3687349.7006906075</v>
      </c>
      <c r="AV12" s="40">
        <f ca="1">IF(AV$6&lt;$B12,0,IF(AV$6=$B12,'Growth Engine'!AV$10*'Macro &amp; Indexation'!AV$19,AU12*(1+'Macro &amp; Indexation'!AV$16)))</f>
        <v>3816406.9402147783</v>
      </c>
      <c r="AW12" s="40">
        <f ca="1">IF(AW$6&lt;$B12,0,IF(AW$6=$B12,'Growth Engine'!AW$10*'Macro &amp; Indexation'!AW$19,AV12*(1+'Macro &amp; Indexation'!AW$16)))</f>
        <v>3949981.1831222954</v>
      </c>
      <c r="AX12" s="40">
        <f ca="1">IF(AX$6&lt;$B12,0,IF(AX$6=$B12,'Growth Engine'!AX$10*'Macro &amp; Indexation'!AX$19,AW12*(1+'Macro &amp; Indexation'!AX$16)))</f>
        <v>4088230.5245315754</v>
      </c>
      <c r="AY12" s="40">
        <f ca="1">IF(AY$6&lt;$B12,0,IF(AY$6=$B12,'Growth Engine'!AY$10*'Macro &amp; Indexation'!AY$19,AX12*(1+'Macro &amp; Indexation'!AY$16)))</f>
        <v>4231318.5928901806</v>
      </c>
      <c r="AZ12" s="40">
        <f ca="1">IF(AZ$6&lt;$B12,0,IF(AZ$6=$B12,'Growth Engine'!AZ$10*'Macro &amp; Indexation'!AZ$19,AY12*(1+'Macro &amp; Indexation'!AZ$16)))</f>
        <v>4379414.7436413364</v>
      </c>
      <c r="BA12" s="40">
        <f ca="1">IF(BA$6&lt;$B12,0,IF(BA$6=$B12,'Growth Engine'!BA$10*'Macro &amp; Indexation'!BA$19,AZ12*(1+'Macro &amp; Indexation'!BA$16)))</f>
        <v>4532694.2596687833</v>
      </c>
    </row>
    <row r="13" spans="1:53" outlineLevel="1" x14ac:dyDescent="0.3">
      <c r="A13" t="s">
        <v>140</v>
      </c>
      <c r="B13">
        <v>4</v>
      </c>
      <c r="D13" s="40">
        <f>IF(D$6&lt;$B13,0,IF(D$6=$B13,'Growth Engine'!D$10*'Macro &amp; Indexation'!D$19,C13*(1+'Macro &amp; Indexation'!D$16)))</f>
        <v>0</v>
      </c>
      <c r="E13" s="40">
        <f>IF(E$6&lt;$B13,0,IF(E$6=$B13,'Growth Engine'!E$10*'Macro &amp; Indexation'!E$19,D13*(1+'Macro &amp; Indexation'!E$16)))</f>
        <v>0</v>
      </c>
      <c r="F13" s="40">
        <f>IF(F$6&lt;$B13,0,IF(F$6=$B13,'Growth Engine'!F$10*'Macro &amp; Indexation'!F$19,E13*(1+'Macro &amp; Indexation'!F$16)))</f>
        <v>0</v>
      </c>
      <c r="G13" s="40">
        <f ca="1">IF(G$6&lt;$B13,0,IF(G$6=$B13,'Growth Engine'!G$10*'Macro &amp; Indexation'!G$19,F13*(1+'Macro &amp; Indexation'!G$16)))</f>
        <v>931323.0149999999</v>
      </c>
      <c r="H13" s="40">
        <f ca="1">IF(H$6&lt;$B13,0,IF(H$6=$B13,'Growth Engine'!H$10*'Macro &amp; Indexation'!H$19,G13*(1+'Macro &amp; Indexation'!H$16)))</f>
        <v>963919.32052499987</v>
      </c>
      <c r="I13" s="40">
        <f ca="1">IF(I$6&lt;$B13,0,IF(I$6=$B13,'Growth Engine'!I$10*'Macro &amp; Indexation'!I$19,H13*(1+'Macro &amp; Indexation'!I$16)))</f>
        <v>997656.49674337474</v>
      </c>
      <c r="J13" s="40">
        <f ca="1">IF(J$6&lt;$B13,0,IF(J$6=$B13,'Growth Engine'!J$10*'Macro &amp; Indexation'!J$19,I13*(1+'Macro &amp; Indexation'!J$16)))</f>
        <v>1032574.4741293928</v>
      </c>
      <c r="K13" s="40">
        <f ca="1">IF(K$6&lt;$B13,0,IF(K$6=$B13,'Growth Engine'!K$10*'Macro &amp; Indexation'!K$19,J13*(1+'Macro &amp; Indexation'!K$16)))</f>
        <v>1068714.5807239215</v>
      </c>
      <c r="L13" s="40">
        <f ca="1">IF(L$6&lt;$B13,0,IF(L$6=$B13,'Growth Engine'!L$10*'Macro &amp; Indexation'!L$19,K13*(1+'Macro &amp; Indexation'!L$16)))</f>
        <v>1106119.5910492586</v>
      </c>
      <c r="M13" s="40">
        <f ca="1">IF(M$6&lt;$B13,0,IF(M$6=$B13,'Growth Engine'!M$10*'Macro &amp; Indexation'!M$19,L13*(1+'Macro &amp; Indexation'!M$16)))</f>
        <v>1144833.7767359826</v>
      </c>
      <c r="N13" s="40">
        <f ca="1">IF(N$6&lt;$B13,0,IF(N$6=$B13,'Growth Engine'!N$10*'Macro &amp; Indexation'!N$19,M13*(1+'Macro &amp; Indexation'!N$16)))</f>
        <v>1184902.9589217419</v>
      </c>
      <c r="O13" s="40">
        <f ca="1">IF(O$6&lt;$B13,0,IF(O$6=$B13,'Growth Engine'!O$10*'Macro &amp; Indexation'!O$19,N13*(1+'Macro &amp; Indexation'!O$16)))</f>
        <v>1226374.5624840029</v>
      </c>
      <c r="P13" s="40">
        <f ca="1">IF(P$6&lt;$B13,0,IF(P$6=$B13,'Growth Engine'!P$10*'Macro &amp; Indexation'!P$19,O13*(1+'Macro &amp; Indexation'!P$16)))</f>
        <v>1269297.6721709429</v>
      </c>
      <c r="Q13" s="40">
        <f ca="1">IF(Q$6&lt;$B13,0,IF(Q$6=$B13,'Growth Engine'!Q$10*'Macro &amp; Indexation'!Q$19,P13*(1+'Macro &amp; Indexation'!Q$16)))</f>
        <v>1313723.0906969258</v>
      </c>
      <c r="R13" s="40">
        <f ca="1">IF(R$6&lt;$B13,0,IF(R$6=$B13,'Growth Engine'!R$10*'Macro &amp; Indexation'!R$19,Q13*(1+'Macro &amp; Indexation'!R$16)))</f>
        <v>1359703.398871318</v>
      </c>
      <c r="S13" s="40">
        <f ca="1">IF(S$6&lt;$B13,0,IF(S$6=$B13,'Growth Engine'!S$10*'Macro &amp; Indexation'!S$19,R13*(1+'Macro &amp; Indexation'!S$16)))</f>
        <v>1407293.017831814</v>
      </c>
      <c r="T13" s="40">
        <f ca="1">IF(T$6&lt;$B13,0,IF(T$6=$B13,'Growth Engine'!T$10*'Macro &amp; Indexation'!T$19,S13*(1+'Macro &amp; Indexation'!T$16)))</f>
        <v>1456548.2734559274</v>
      </c>
      <c r="U13" s="40">
        <f ca="1">IF(U$6&lt;$B13,0,IF(U$6=$B13,'Growth Engine'!U$10*'Macro &amp; Indexation'!U$19,T13*(1+'Macro &amp; Indexation'!U$16)))</f>
        <v>1507527.4630268847</v>
      </c>
      <c r="V13" s="40">
        <f ca="1">IF(V$6&lt;$B13,0,IF(V$6=$B13,'Growth Engine'!V$10*'Macro &amp; Indexation'!V$19,U13*(1+'Macro &amp; Indexation'!V$16)))</f>
        <v>1560290.9242328256</v>
      </c>
      <c r="W13" s="40">
        <f ca="1">IF(W$6&lt;$B13,0,IF(W$6=$B13,'Growth Engine'!W$10*'Macro &amp; Indexation'!W$19,V13*(1+'Macro &amp; Indexation'!W$16)))</f>
        <v>1614901.1065809743</v>
      </c>
      <c r="X13" s="40">
        <f ca="1">IF(X$6&lt;$B13,0,IF(X$6=$B13,'Growth Engine'!X$10*'Macro &amp; Indexation'!X$19,W13*(1+'Macro &amp; Indexation'!X$16)))</f>
        <v>1671422.6453113083</v>
      </c>
      <c r="Y13" s="40">
        <f ca="1">IF(Y$6&lt;$B13,0,IF(Y$6=$B13,'Growth Engine'!Y$10*'Macro &amp; Indexation'!Y$19,X13*(1+'Macro &amp; Indexation'!Y$16)))</f>
        <v>1729922.437897204</v>
      </c>
      <c r="Z13" s="40">
        <f ca="1">IF(Z$6&lt;$B13,0,IF(Z$6=$B13,'Growth Engine'!Z$10*'Macro &amp; Indexation'!Z$19,Y13*(1+'Macro &amp; Indexation'!Z$16)))</f>
        <v>1790469.7232236059</v>
      </c>
      <c r="AA13" s="40">
        <f ca="1">IF(AA$6&lt;$B13,0,IF(AA$6=$B13,'Growth Engine'!AA$10*'Macro &amp; Indexation'!AA$19,Z13*(1+'Macro &amp; Indexation'!AA$16)))</f>
        <v>1853136.163536432</v>
      </c>
      <c r="AB13" s="40">
        <f ca="1">IF(AB$6&lt;$B13,0,IF(AB$6=$B13,'Growth Engine'!AB$10*'Macro &amp; Indexation'!AB$19,AA13*(1+'Macro &amp; Indexation'!AB$16)))</f>
        <v>1917995.9292602069</v>
      </c>
      <c r="AC13" s="40">
        <f ca="1">IF(AC$6&lt;$B13,0,IF(AC$6=$B13,'Growth Engine'!AC$10*'Macro &amp; Indexation'!AC$19,AB13*(1+'Macro &amp; Indexation'!AC$16)))</f>
        <v>1985125.7867843139</v>
      </c>
      <c r="AD13" s="40">
        <f ca="1">IF(AD$6&lt;$B13,0,IF(AD$6=$B13,'Growth Engine'!AD$10*'Macro &amp; Indexation'!AD$19,AC13*(1+'Macro &amp; Indexation'!AD$16)))</f>
        <v>2054605.1893217647</v>
      </c>
      <c r="AE13" s="40">
        <f ca="1">IF(AE$6&lt;$B13,0,IF(AE$6=$B13,'Growth Engine'!AE$10*'Macro &amp; Indexation'!AE$19,AD13*(1+'Macro &amp; Indexation'!AE$16)))</f>
        <v>2126516.3709480264</v>
      </c>
      <c r="AF13" s="40">
        <f ca="1">IF(AF$6&lt;$B13,0,IF(AF$6=$B13,'Growth Engine'!AF$10*'Macro &amp; Indexation'!AF$19,AE13*(1+'Macro &amp; Indexation'!AF$16)))</f>
        <v>2200944.4439312071</v>
      </c>
      <c r="AG13" s="40">
        <f ca="1">IF(AG$6&lt;$B13,0,IF(AG$6=$B13,'Growth Engine'!AG$10*'Macro &amp; Indexation'!AG$19,AF13*(1+'Macro &amp; Indexation'!AG$16)))</f>
        <v>2277977.4994687992</v>
      </c>
      <c r="AH13" s="40">
        <f ca="1">IF(AH$6&lt;$B13,0,IF(AH$6=$B13,'Growth Engine'!AH$10*'Macro &amp; Indexation'!AH$19,AG13*(1+'Macro &amp; Indexation'!AH$16)))</f>
        <v>2357706.7119502071</v>
      </c>
      <c r="AI13" s="40">
        <f ca="1">IF(AI$6&lt;$B13,0,IF(AI$6=$B13,'Growth Engine'!AI$10*'Macro &amp; Indexation'!AI$19,AH13*(1+'Macro &amp; Indexation'!AI$16)))</f>
        <v>2440226.4468684644</v>
      </c>
      <c r="AJ13" s="40">
        <f ca="1">IF(AJ$6&lt;$B13,0,IF(AJ$6=$B13,'Growth Engine'!AJ$10*'Macro &amp; Indexation'!AJ$19,AI13*(1+'Macro &amp; Indexation'!AJ$16)))</f>
        <v>2525634.3725088602</v>
      </c>
      <c r="AK13" s="40">
        <f ca="1">IF(AK$6&lt;$B13,0,IF(AK$6=$B13,'Growth Engine'!AK$10*'Macro &amp; Indexation'!AK$19,AJ13*(1+'Macro &amp; Indexation'!AK$16)))</f>
        <v>2614031.5755466702</v>
      </c>
      <c r="AL13" s="40">
        <f ca="1">IF(AL$6&lt;$B13,0,IF(AL$6=$B13,'Growth Engine'!AL$10*'Macro &amp; Indexation'!AL$19,AK13*(1+'Macro &amp; Indexation'!AL$16)))</f>
        <v>2705522.6806908036</v>
      </c>
      <c r="AM13" s="40">
        <f ca="1">IF(AM$6&lt;$B13,0,IF(AM$6=$B13,'Growth Engine'!AM$10*'Macro &amp; Indexation'!AM$19,AL13*(1+'Macro &amp; Indexation'!AM$16)))</f>
        <v>2800215.9745149813</v>
      </c>
      <c r="AN13" s="40">
        <f ca="1">IF(AN$6&lt;$B13,0,IF(AN$6=$B13,'Growth Engine'!AN$10*'Macro &amp; Indexation'!AN$19,AM13*(1+'Macro &amp; Indexation'!AN$16)))</f>
        <v>2898223.5336230053</v>
      </c>
      <c r="AO13" s="40">
        <f ca="1">IF(AO$6&lt;$B13,0,IF(AO$6=$B13,'Growth Engine'!AO$10*'Macro &amp; Indexation'!AO$19,AN13*(1+'Macro &amp; Indexation'!AO$16)))</f>
        <v>2999661.3572998103</v>
      </c>
      <c r="AP13" s="40">
        <f ca="1">IF(AP$6&lt;$B13,0,IF(AP$6=$B13,'Growth Engine'!AP$10*'Macro &amp; Indexation'!AP$19,AO13*(1+'Macro &amp; Indexation'!AP$16)))</f>
        <v>3104649.5048053032</v>
      </c>
      <c r="AQ13" s="40">
        <f ca="1">IF(AQ$6&lt;$B13,0,IF(AQ$6=$B13,'Growth Engine'!AQ$10*'Macro &amp; Indexation'!AQ$19,AP13*(1+'Macro &amp; Indexation'!AQ$16)))</f>
        <v>3213312.2374734883</v>
      </c>
      <c r="AR13" s="40">
        <f ca="1">IF(AR$6&lt;$B13,0,IF(AR$6=$B13,'Growth Engine'!AR$10*'Macro &amp; Indexation'!AR$19,AQ13*(1+'Macro &amp; Indexation'!AR$16)))</f>
        <v>3325778.1657850603</v>
      </c>
      <c r="AS13" s="40">
        <f ca="1">IF(AS$6&lt;$B13,0,IF(AS$6=$B13,'Growth Engine'!AS$10*'Macro &amp; Indexation'!AS$19,AR13*(1+'Macro &amp; Indexation'!AS$16)))</f>
        <v>3442180.401587537</v>
      </c>
      <c r="AT13" s="40">
        <f ca="1">IF(AT$6&lt;$B13,0,IF(AT$6=$B13,'Growth Engine'!AT$10*'Macro &amp; Indexation'!AT$19,AS13*(1+'Macro &amp; Indexation'!AT$16)))</f>
        <v>3562656.7156431004</v>
      </c>
      <c r="AU13" s="40">
        <f ca="1">IF(AU$6&lt;$B13,0,IF(AU$6=$B13,'Growth Engine'!AU$10*'Macro &amp; Indexation'!AU$19,AT13*(1+'Macro &amp; Indexation'!AU$16)))</f>
        <v>3687349.7006906085</v>
      </c>
      <c r="AV13" s="40">
        <f ca="1">IF(AV$6&lt;$B13,0,IF(AV$6=$B13,'Growth Engine'!AV$10*'Macro &amp; Indexation'!AV$19,AU13*(1+'Macro &amp; Indexation'!AV$16)))</f>
        <v>3816406.9402147797</v>
      </c>
      <c r="AW13" s="40">
        <f ca="1">IF(AW$6&lt;$B13,0,IF(AW$6=$B13,'Growth Engine'!AW$10*'Macro &amp; Indexation'!AW$19,AV13*(1+'Macro &amp; Indexation'!AW$16)))</f>
        <v>3949981.1831222968</v>
      </c>
      <c r="AX13" s="40">
        <f ca="1">IF(AX$6&lt;$B13,0,IF(AX$6=$B13,'Growth Engine'!AX$10*'Macro &amp; Indexation'!AX$19,AW13*(1+'Macro &amp; Indexation'!AX$16)))</f>
        <v>4088230.5245315768</v>
      </c>
      <c r="AY13" s="40">
        <f ca="1">IF(AY$6&lt;$B13,0,IF(AY$6=$B13,'Growth Engine'!AY$10*'Macro &amp; Indexation'!AY$19,AX13*(1+'Macro &amp; Indexation'!AY$16)))</f>
        <v>4231318.5928901816</v>
      </c>
      <c r="AZ13" s="40">
        <f ca="1">IF(AZ$6&lt;$B13,0,IF(AZ$6=$B13,'Growth Engine'!AZ$10*'Macro &amp; Indexation'!AZ$19,AY13*(1+'Macro &amp; Indexation'!AZ$16)))</f>
        <v>4379414.7436413374</v>
      </c>
      <c r="BA13" s="40">
        <f ca="1">IF(BA$6&lt;$B13,0,IF(BA$6=$B13,'Growth Engine'!BA$10*'Macro &amp; Indexation'!BA$19,AZ13*(1+'Macro &amp; Indexation'!BA$16)))</f>
        <v>4532694.2596687842</v>
      </c>
    </row>
    <row r="14" spans="1:53" outlineLevel="1" x14ac:dyDescent="0.3">
      <c r="A14" t="s">
        <v>141</v>
      </c>
      <c r="B14">
        <v>5</v>
      </c>
      <c r="D14" s="40">
        <f>IF(D$6&lt;$B14,0,IF(D$6=$B14,'Growth Engine'!D$10*'Macro &amp; Indexation'!D$19,C14*(1+'Macro &amp; Indexation'!D$16)))</f>
        <v>0</v>
      </c>
      <c r="E14" s="40">
        <f>IF(E$6&lt;$B14,0,IF(E$6=$B14,'Growth Engine'!E$10*'Macro &amp; Indexation'!E$19,D14*(1+'Macro &amp; Indexation'!E$16)))</f>
        <v>0</v>
      </c>
      <c r="F14" s="40">
        <f>IF(F$6&lt;$B14,0,IF(F$6=$B14,'Growth Engine'!F$10*'Macro &amp; Indexation'!F$19,E14*(1+'Macro &amp; Indexation'!F$16)))</f>
        <v>0</v>
      </c>
      <c r="G14" s="40">
        <f>IF(G$6&lt;$B14,0,IF(G$6=$B14,'Growth Engine'!G$10*'Macro &amp; Indexation'!G$19,F14*(1+'Macro &amp; Indexation'!G$16)))</f>
        <v>0</v>
      </c>
      <c r="H14" s="40">
        <f ca="1">IF(H$6&lt;$B14,0,IF(H$6=$B14,'Growth Engine'!H$10*'Macro &amp; Indexation'!H$19,G14*(1+'Macro &amp; Indexation'!H$16)))</f>
        <v>963919.32052499987</v>
      </c>
      <c r="I14" s="40">
        <f ca="1">IF(I$6&lt;$B14,0,IF(I$6=$B14,'Growth Engine'!I$10*'Macro &amp; Indexation'!I$19,H14*(1+'Macro &amp; Indexation'!I$16)))</f>
        <v>997656.49674337474</v>
      </c>
      <c r="J14" s="40">
        <f ca="1">IF(J$6&lt;$B14,0,IF(J$6=$B14,'Growth Engine'!J$10*'Macro &amp; Indexation'!J$19,I14*(1+'Macro &amp; Indexation'!J$16)))</f>
        <v>1032574.4741293928</v>
      </c>
      <c r="K14" s="40">
        <f ca="1">IF(K$6&lt;$B14,0,IF(K$6=$B14,'Growth Engine'!K$10*'Macro &amp; Indexation'!K$19,J14*(1+'Macro &amp; Indexation'!K$16)))</f>
        <v>1068714.5807239215</v>
      </c>
      <c r="L14" s="40">
        <f ca="1">IF(L$6&lt;$B14,0,IF(L$6=$B14,'Growth Engine'!L$10*'Macro &amp; Indexation'!L$19,K14*(1+'Macro &amp; Indexation'!L$16)))</f>
        <v>1106119.5910492586</v>
      </c>
      <c r="M14" s="40">
        <f ca="1">IF(M$6&lt;$B14,0,IF(M$6=$B14,'Growth Engine'!M$10*'Macro &amp; Indexation'!M$19,L14*(1+'Macro &amp; Indexation'!M$16)))</f>
        <v>1144833.7767359826</v>
      </c>
      <c r="N14" s="40">
        <f ca="1">IF(N$6&lt;$B14,0,IF(N$6=$B14,'Growth Engine'!N$10*'Macro &amp; Indexation'!N$19,M14*(1+'Macro &amp; Indexation'!N$16)))</f>
        <v>1184902.9589217419</v>
      </c>
      <c r="O14" s="40">
        <f ca="1">IF(O$6&lt;$B14,0,IF(O$6=$B14,'Growth Engine'!O$10*'Macro &amp; Indexation'!O$19,N14*(1+'Macro &amp; Indexation'!O$16)))</f>
        <v>1226374.5624840029</v>
      </c>
      <c r="P14" s="40">
        <f ca="1">IF(P$6&lt;$B14,0,IF(P$6=$B14,'Growth Engine'!P$10*'Macro &amp; Indexation'!P$19,O14*(1+'Macro &amp; Indexation'!P$16)))</f>
        <v>1269297.6721709429</v>
      </c>
      <c r="Q14" s="40">
        <f ca="1">IF(Q$6&lt;$B14,0,IF(Q$6=$B14,'Growth Engine'!Q$10*'Macro &amp; Indexation'!Q$19,P14*(1+'Macro &amp; Indexation'!Q$16)))</f>
        <v>1313723.0906969258</v>
      </c>
      <c r="R14" s="40">
        <f ca="1">IF(R$6&lt;$B14,0,IF(R$6=$B14,'Growth Engine'!R$10*'Macro &amp; Indexation'!R$19,Q14*(1+'Macro &amp; Indexation'!R$16)))</f>
        <v>1359703.398871318</v>
      </c>
      <c r="S14" s="40">
        <f ca="1">IF(S$6&lt;$B14,0,IF(S$6=$B14,'Growth Engine'!S$10*'Macro &amp; Indexation'!S$19,R14*(1+'Macro &amp; Indexation'!S$16)))</f>
        <v>1407293.017831814</v>
      </c>
      <c r="T14" s="40">
        <f ca="1">IF(T$6&lt;$B14,0,IF(T$6=$B14,'Growth Engine'!T$10*'Macro &amp; Indexation'!T$19,S14*(1+'Macro &amp; Indexation'!T$16)))</f>
        <v>1456548.2734559274</v>
      </c>
      <c r="U14" s="40">
        <f ca="1">IF(U$6&lt;$B14,0,IF(U$6=$B14,'Growth Engine'!U$10*'Macro &amp; Indexation'!U$19,T14*(1+'Macro &amp; Indexation'!U$16)))</f>
        <v>1507527.4630268847</v>
      </c>
      <c r="V14" s="40">
        <f ca="1">IF(V$6&lt;$B14,0,IF(V$6=$B14,'Growth Engine'!V$10*'Macro &amp; Indexation'!V$19,U14*(1+'Macro &amp; Indexation'!V$16)))</f>
        <v>1560290.9242328256</v>
      </c>
      <c r="W14" s="40">
        <f ca="1">IF(W$6&lt;$B14,0,IF(W$6=$B14,'Growth Engine'!W$10*'Macro &amp; Indexation'!W$19,V14*(1+'Macro &amp; Indexation'!W$16)))</f>
        <v>1614901.1065809743</v>
      </c>
      <c r="X14" s="40">
        <f ca="1">IF(X$6&lt;$B14,0,IF(X$6=$B14,'Growth Engine'!X$10*'Macro &amp; Indexation'!X$19,W14*(1+'Macro &amp; Indexation'!X$16)))</f>
        <v>1671422.6453113083</v>
      </c>
      <c r="Y14" s="40">
        <f ca="1">IF(Y$6&lt;$B14,0,IF(Y$6=$B14,'Growth Engine'!Y$10*'Macro &amp; Indexation'!Y$19,X14*(1+'Macro &amp; Indexation'!Y$16)))</f>
        <v>1729922.437897204</v>
      </c>
      <c r="Z14" s="40">
        <f ca="1">IF(Z$6&lt;$B14,0,IF(Z$6=$B14,'Growth Engine'!Z$10*'Macro &amp; Indexation'!Z$19,Y14*(1+'Macro &amp; Indexation'!Z$16)))</f>
        <v>1790469.7232236059</v>
      </c>
      <c r="AA14" s="40">
        <f ca="1">IF(AA$6&lt;$B14,0,IF(AA$6=$B14,'Growth Engine'!AA$10*'Macro &amp; Indexation'!AA$19,Z14*(1+'Macro &amp; Indexation'!AA$16)))</f>
        <v>1853136.163536432</v>
      </c>
      <c r="AB14" s="40">
        <f ca="1">IF(AB$6&lt;$B14,0,IF(AB$6=$B14,'Growth Engine'!AB$10*'Macro &amp; Indexation'!AB$19,AA14*(1+'Macro &amp; Indexation'!AB$16)))</f>
        <v>1917995.9292602069</v>
      </c>
      <c r="AC14" s="40">
        <f ca="1">IF(AC$6&lt;$B14,0,IF(AC$6=$B14,'Growth Engine'!AC$10*'Macro &amp; Indexation'!AC$19,AB14*(1+'Macro &amp; Indexation'!AC$16)))</f>
        <v>1985125.7867843139</v>
      </c>
      <c r="AD14" s="40">
        <f ca="1">IF(AD$6&lt;$B14,0,IF(AD$6=$B14,'Growth Engine'!AD$10*'Macro &amp; Indexation'!AD$19,AC14*(1+'Macro &amp; Indexation'!AD$16)))</f>
        <v>2054605.1893217647</v>
      </c>
      <c r="AE14" s="40">
        <f ca="1">IF(AE$6&lt;$B14,0,IF(AE$6=$B14,'Growth Engine'!AE$10*'Macro &amp; Indexation'!AE$19,AD14*(1+'Macro &amp; Indexation'!AE$16)))</f>
        <v>2126516.3709480264</v>
      </c>
      <c r="AF14" s="40">
        <f ca="1">IF(AF$6&lt;$B14,0,IF(AF$6=$B14,'Growth Engine'!AF$10*'Macro &amp; Indexation'!AF$19,AE14*(1+'Macro &amp; Indexation'!AF$16)))</f>
        <v>2200944.4439312071</v>
      </c>
      <c r="AG14" s="40">
        <f ca="1">IF(AG$6&lt;$B14,0,IF(AG$6=$B14,'Growth Engine'!AG$10*'Macro &amp; Indexation'!AG$19,AF14*(1+'Macro &amp; Indexation'!AG$16)))</f>
        <v>2277977.4994687992</v>
      </c>
      <c r="AH14" s="40">
        <f ca="1">IF(AH$6&lt;$B14,0,IF(AH$6=$B14,'Growth Engine'!AH$10*'Macro &amp; Indexation'!AH$19,AG14*(1+'Macro &amp; Indexation'!AH$16)))</f>
        <v>2357706.7119502071</v>
      </c>
      <c r="AI14" s="40">
        <f ca="1">IF(AI$6&lt;$B14,0,IF(AI$6=$B14,'Growth Engine'!AI$10*'Macro &amp; Indexation'!AI$19,AH14*(1+'Macro &amp; Indexation'!AI$16)))</f>
        <v>2440226.4468684644</v>
      </c>
      <c r="AJ14" s="40">
        <f ca="1">IF(AJ$6&lt;$B14,0,IF(AJ$6=$B14,'Growth Engine'!AJ$10*'Macro &amp; Indexation'!AJ$19,AI14*(1+'Macro &amp; Indexation'!AJ$16)))</f>
        <v>2525634.3725088602</v>
      </c>
      <c r="AK14" s="40">
        <f ca="1">IF(AK$6&lt;$B14,0,IF(AK$6=$B14,'Growth Engine'!AK$10*'Macro &amp; Indexation'!AK$19,AJ14*(1+'Macro &amp; Indexation'!AK$16)))</f>
        <v>2614031.5755466702</v>
      </c>
      <c r="AL14" s="40">
        <f ca="1">IF(AL$6&lt;$B14,0,IF(AL$6=$B14,'Growth Engine'!AL$10*'Macro &amp; Indexation'!AL$19,AK14*(1+'Macro &amp; Indexation'!AL$16)))</f>
        <v>2705522.6806908036</v>
      </c>
      <c r="AM14" s="40">
        <f ca="1">IF(AM$6&lt;$B14,0,IF(AM$6=$B14,'Growth Engine'!AM$10*'Macro &amp; Indexation'!AM$19,AL14*(1+'Macro &amp; Indexation'!AM$16)))</f>
        <v>2800215.9745149813</v>
      </c>
      <c r="AN14" s="40">
        <f ca="1">IF(AN$6&lt;$B14,0,IF(AN$6=$B14,'Growth Engine'!AN$10*'Macro &amp; Indexation'!AN$19,AM14*(1+'Macro &amp; Indexation'!AN$16)))</f>
        <v>2898223.5336230053</v>
      </c>
      <c r="AO14" s="40">
        <f ca="1">IF(AO$6&lt;$B14,0,IF(AO$6=$B14,'Growth Engine'!AO$10*'Macro &amp; Indexation'!AO$19,AN14*(1+'Macro &amp; Indexation'!AO$16)))</f>
        <v>2999661.3572998103</v>
      </c>
      <c r="AP14" s="40">
        <f ca="1">IF(AP$6&lt;$B14,0,IF(AP$6=$B14,'Growth Engine'!AP$10*'Macro &amp; Indexation'!AP$19,AO14*(1+'Macro &amp; Indexation'!AP$16)))</f>
        <v>3104649.5048053032</v>
      </c>
      <c r="AQ14" s="40">
        <f ca="1">IF(AQ$6&lt;$B14,0,IF(AQ$6=$B14,'Growth Engine'!AQ$10*'Macro &amp; Indexation'!AQ$19,AP14*(1+'Macro &amp; Indexation'!AQ$16)))</f>
        <v>3213312.2374734883</v>
      </c>
      <c r="AR14" s="40">
        <f ca="1">IF(AR$6&lt;$B14,0,IF(AR$6=$B14,'Growth Engine'!AR$10*'Macro &amp; Indexation'!AR$19,AQ14*(1+'Macro &amp; Indexation'!AR$16)))</f>
        <v>3325778.1657850603</v>
      </c>
      <c r="AS14" s="40">
        <f ca="1">IF(AS$6&lt;$B14,0,IF(AS$6=$B14,'Growth Engine'!AS$10*'Macro &amp; Indexation'!AS$19,AR14*(1+'Macro &amp; Indexation'!AS$16)))</f>
        <v>3442180.401587537</v>
      </c>
      <c r="AT14" s="40">
        <f ca="1">IF(AT$6&lt;$B14,0,IF(AT$6=$B14,'Growth Engine'!AT$10*'Macro &amp; Indexation'!AT$19,AS14*(1+'Macro &amp; Indexation'!AT$16)))</f>
        <v>3562656.7156431004</v>
      </c>
      <c r="AU14" s="40">
        <f ca="1">IF(AU$6&lt;$B14,0,IF(AU$6=$B14,'Growth Engine'!AU$10*'Macro &amp; Indexation'!AU$19,AT14*(1+'Macro &amp; Indexation'!AU$16)))</f>
        <v>3687349.7006906085</v>
      </c>
      <c r="AV14" s="40">
        <f ca="1">IF(AV$6&lt;$B14,0,IF(AV$6=$B14,'Growth Engine'!AV$10*'Macro &amp; Indexation'!AV$19,AU14*(1+'Macro &amp; Indexation'!AV$16)))</f>
        <v>3816406.9402147797</v>
      </c>
      <c r="AW14" s="40">
        <f ca="1">IF(AW$6&lt;$B14,0,IF(AW$6=$B14,'Growth Engine'!AW$10*'Macro &amp; Indexation'!AW$19,AV14*(1+'Macro &amp; Indexation'!AW$16)))</f>
        <v>3949981.1831222968</v>
      </c>
      <c r="AX14" s="40">
        <f ca="1">IF(AX$6&lt;$B14,0,IF(AX$6=$B14,'Growth Engine'!AX$10*'Macro &amp; Indexation'!AX$19,AW14*(1+'Macro &amp; Indexation'!AX$16)))</f>
        <v>4088230.5245315768</v>
      </c>
      <c r="AY14" s="40">
        <f ca="1">IF(AY$6&lt;$B14,0,IF(AY$6=$B14,'Growth Engine'!AY$10*'Macro &amp; Indexation'!AY$19,AX14*(1+'Macro &amp; Indexation'!AY$16)))</f>
        <v>4231318.5928901816</v>
      </c>
      <c r="AZ14" s="40">
        <f ca="1">IF(AZ$6&lt;$B14,0,IF(AZ$6=$B14,'Growth Engine'!AZ$10*'Macro &amp; Indexation'!AZ$19,AY14*(1+'Macro &amp; Indexation'!AZ$16)))</f>
        <v>4379414.7436413374</v>
      </c>
      <c r="BA14" s="40">
        <f ca="1">IF(BA$6&lt;$B14,0,IF(BA$6=$B14,'Growth Engine'!BA$10*'Macro &amp; Indexation'!BA$19,AZ14*(1+'Macro &amp; Indexation'!BA$16)))</f>
        <v>4532694.2596687842</v>
      </c>
    </row>
    <row r="15" spans="1:53" outlineLevel="1" x14ac:dyDescent="0.3">
      <c r="A15" t="s">
        <v>142</v>
      </c>
      <c r="B15">
        <v>6</v>
      </c>
      <c r="D15" s="40">
        <f>IF(D$6&lt;$B15,0,IF(D$6=$B15,'Growth Engine'!D$10*'Macro &amp; Indexation'!D$19,C15*(1+'Macro &amp; Indexation'!D$16)))</f>
        <v>0</v>
      </c>
      <c r="E15" s="40">
        <f>IF(E$6&lt;$B15,0,IF(E$6=$B15,'Growth Engine'!E$10*'Macro &amp; Indexation'!E$19,D15*(1+'Macro &amp; Indexation'!E$16)))</f>
        <v>0</v>
      </c>
      <c r="F15" s="40">
        <f>IF(F$6&lt;$B15,0,IF(F$6=$B15,'Growth Engine'!F$10*'Macro &amp; Indexation'!F$19,E15*(1+'Macro &amp; Indexation'!F$16)))</f>
        <v>0</v>
      </c>
      <c r="G15" s="40">
        <f>IF(G$6&lt;$B15,0,IF(G$6=$B15,'Growth Engine'!G$10*'Macro &amp; Indexation'!G$19,F15*(1+'Macro &amp; Indexation'!G$16)))</f>
        <v>0</v>
      </c>
      <c r="H15" s="40">
        <f>IF(H$6&lt;$B15,0,IF(H$6=$B15,'Growth Engine'!H$10*'Macro &amp; Indexation'!H$19,G15*(1+'Macro &amp; Indexation'!H$16)))</f>
        <v>0</v>
      </c>
      <c r="I15" s="40">
        <f ca="1">IF(I$6&lt;$B15,0,IF(I$6=$B15,'Growth Engine'!I$10*'Macro &amp; Indexation'!I$19,H15*(1+'Macro &amp; Indexation'!I$16)))</f>
        <v>997656.4967433745</v>
      </c>
      <c r="J15" s="40">
        <f ca="1">IF(J$6&lt;$B15,0,IF(J$6=$B15,'Growth Engine'!J$10*'Macro &amp; Indexation'!J$19,I15*(1+'Macro &amp; Indexation'!J$16)))</f>
        <v>1032574.4741293925</v>
      </c>
      <c r="K15" s="40">
        <f ca="1">IF(K$6&lt;$B15,0,IF(K$6=$B15,'Growth Engine'!K$10*'Macro &amp; Indexation'!K$19,J15*(1+'Macro &amp; Indexation'!K$16)))</f>
        <v>1068714.5807239213</v>
      </c>
      <c r="L15" s="40">
        <f ca="1">IF(L$6&lt;$B15,0,IF(L$6=$B15,'Growth Engine'!L$10*'Macro &amp; Indexation'!L$19,K15*(1+'Macro &amp; Indexation'!L$16)))</f>
        <v>1106119.5910492584</v>
      </c>
      <c r="M15" s="40">
        <f ca="1">IF(M$6&lt;$B15,0,IF(M$6=$B15,'Growth Engine'!M$10*'Macro &amp; Indexation'!M$19,L15*(1+'Macro &amp; Indexation'!M$16)))</f>
        <v>1144833.7767359824</v>
      </c>
      <c r="N15" s="40">
        <f ca="1">IF(N$6&lt;$B15,0,IF(N$6=$B15,'Growth Engine'!N$10*'Macro &amp; Indexation'!N$19,M15*(1+'Macro &amp; Indexation'!N$16)))</f>
        <v>1184902.9589217417</v>
      </c>
      <c r="O15" s="40">
        <f ca="1">IF(O$6&lt;$B15,0,IF(O$6=$B15,'Growth Engine'!O$10*'Macro &amp; Indexation'!O$19,N15*(1+'Macro &amp; Indexation'!O$16)))</f>
        <v>1226374.5624840027</v>
      </c>
      <c r="P15" s="40">
        <f ca="1">IF(P$6&lt;$B15,0,IF(P$6=$B15,'Growth Engine'!P$10*'Macro &amp; Indexation'!P$19,O15*(1+'Macro &amp; Indexation'!P$16)))</f>
        <v>1269297.6721709426</v>
      </c>
      <c r="Q15" s="40">
        <f ca="1">IF(Q$6&lt;$B15,0,IF(Q$6=$B15,'Growth Engine'!Q$10*'Macro &amp; Indexation'!Q$19,P15*(1+'Macro &amp; Indexation'!Q$16)))</f>
        <v>1313723.0906969255</v>
      </c>
      <c r="R15" s="40">
        <f ca="1">IF(R$6&lt;$B15,0,IF(R$6=$B15,'Growth Engine'!R$10*'Macro &amp; Indexation'!R$19,Q15*(1+'Macro &amp; Indexation'!R$16)))</f>
        <v>1359703.3988713177</v>
      </c>
      <c r="S15" s="40">
        <f ca="1">IF(S$6&lt;$B15,0,IF(S$6=$B15,'Growth Engine'!S$10*'Macro &amp; Indexation'!S$19,R15*(1+'Macro &amp; Indexation'!S$16)))</f>
        <v>1407293.0178318138</v>
      </c>
      <c r="T15" s="40">
        <f ca="1">IF(T$6&lt;$B15,0,IF(T$6=$B15,'Growth Engine'!T$10*'Macro &amp; Indexation'!T$19,S15*(1+'Macro &amp; Indexation'!T$16)))</f>
        <v>1456548.2734559271</v>
      </c>
      <c r="U15" s="40">
        <f ca="1">IF(U$6&lt;$B15,0,IF(U$6=$B15,'Growth Engine'!U$10*'Macro &amp; Indexation'!U$19,T15*(1+'Macro &amp; Indexation'!U$16)))</f>
        <v>1507527.4630268845</v>
      </c>
      <c r="V15" s="40">
        <f ca="1">IF(V$6&lt;$B15,0,IF(V$6=$B15,'Growth Engine'!V$10*'Macro &amp; Indexation'!V$19,U15*(1+'Macro &amp; Indexation'!V$16)))</f>
        <v>1560290.9242328254</v>
      </c>
      <c r="W15" s="40">
        <f ca="1">IF(W$6&lt;$B15,0,IF(W$6=$B15,'Growth Engine'!W$10*'Macro &amp; Indexation'!W$19,V15*(1+'Macro &amp; Indexation'!W$16)))</f>
        <v>1614901.1065809741</v>
      </c>
      <c r="X15" s="40">
        <f ca="1">IF(X$6&lt;$B15,0,IF(X$6=$B15,'Growth Engine'!X$10*'Macro &amp; Indexation'!X$19,W15*(1+'Macro &amp; Indexation'!X$16)))</f>
        <v>1671422.6453113081</v>
      </c>
      <c r="Y15" s="40">
        <f ca="1">IF(Y$6&lt;$B15,0,IF(Y$6=$B15,'Growth Engine'!Y$10*'Macro &amp; Indexation'!Y$19,X15*(1+'Macro &amp; Indexation'!Y$16)))</f>
        <v>1729922.4378972037</v>
      </c>
      <c r="Z15" s="40">
        <f ca="1">IF(Z$6&lt;$B15,0,IF(Z$6=$B15,'Growth Engine'!Z$10*'Macro &amp; Indexation'!Z$19,Y15*(1+'Macro &amp; Indexation'!Z$16)))</f>
        <v>1790469.7232236057</v>
      </c>
      <c r="AA15" s="40">
        <f ca="1">IF(AA$6&lt;$B15,0,IF(AA$6=$B15,'Growth Engine'!AA$10*'Macro &amp; Indexation'!AA$19,Z15*(1+'Macro &amp; Indexation'!AA$16)))</f>
        <v>1853136.1635364317</v>
      </c>
      <c r="AB15" s="40">
        <f ca="1">IF(AB$6&lt;$B15,0,IF(AB$6=$B15,'Growth Engine'!AB$10*'Macro &amp; Indexation'!AB$19,AA15*(1+'Macro &amp; Indexation'!AB$16)))</f>
        <v>1917995.9292602066</v>
      </c>
      <c r="AC15" s="40">
        <f ca="1">IF(AC$6&lt;$B15,0,IF(AC$6=$B15,'Growth Engine'!AC$10*'Macro &amp; Indexation'!AC$19,AB15*(1+'Macro &amp; Indexation'!AC$16)))</f>
        <v>1985125.7867843136</v>
      </c>
      <c r="AD15" s="40">
        <f ca="1">IF(AD$6&lt;$B15,0,IF(AD$6=$B15,'Growth Engine'!AD$10*'Macro &amp; Indexation'!AD$19,AC15*(1+'Macro &amp; Indexation'!AD$16)))</f>
        <v>2054605.1893217645</v>
      </c>
      <c r="AE15" s="40">
        <f ca="1">IF(AE$6&lt;$B15,0,IF(AE$6=$B15,'Growth Engine'!AE$10*'Macro &amp; Indexation'!AE$19,AD15*(1+'Macro &amp; Indexation'!AE$16)))</f>
        <v>2126516.370948026</v>
      </c>
      <c r="AF15" s="40">
        <f ca="1">IF(AF$6&lt;$B15,0,IF(AF$6=$B15,'Growth Engine'!AF$10*'Macro &amp; Indexation'!AF$19,AE15*(1+'Macro &amp; Indexation'!AF$16)))</f>
        <v>2200944.4439312066</v>
      </c>
      <c r="AG15" s="40">
        <f ca="1">IF(AG$6&lt;$B15,0,IF(AG$6=$B15,'Growth Engine'!AG$10*'Macro &amp; Indexation'!AG$19,AF15*(1+'Macro &amp; Indexation'!AG$16)))</f>
        <v>2277977.4994687987</v>
      </c>
      <c r="AH15" s="40">
        <f ca="1">IF(AH$6&lt;$B15,0,IF(AH$6=$B15,'Growth Engine'!AH$10*'Macro &amp; Indexation'!AH$19,AG15*(1+'Macro &amp; Indexation'!AH$16)))</f>
        <v>2357706.7119502067</v>
      </c>
      <c r="AI15" s="40">
        <f ca="1">IF(AI$6&lt;$B15,0,IF(AI$6=$B15,'Growth Engine'!AI$10*'Macro &amp; Indexation'!AI$19,AH15*(1+'Macro &amp; Indexation'!AI$16)))</f>
        <v>2440226.4468684639</v>
      </c>
      <c r="AJ15" s="40">
        <f ca="1">IF(AJ$6&lt;$B15,0,IF(AJ$6=$B15,'Growth Engine'!AJ$10*'Macro &amp; Indexation'!AJ$19,AI15*(1+'Macro &amp; Indexation'!AJ$16)))</f>
        <v>2525634.3725088597</v>
      </c>
      <c r="AK15" s="40">
        <f ca="1">IF(AK$6&lt;$B15,0,IF(AK$6=$B15,'Growth Engine'!AK$10*'Macro &amp; Indexation'!AK$19,AJ15*(1+'Macro &amp; Indexation'!AK$16)))</f>
        <v>2614031.5755466698</v>
      </c>
      <c r="AL15" s="40">
        <f ca="1">IF(AL$6&lt;$B15,0,IF(AL$6=$B15,'Growth Engine'!AL$10*'Macro &amp; Indexation'!AL$19,AK15*(1+'Macro &amp; Indexation'!AL$16)))</f>
        <v>2705522.6806908031</v>
      </c>
      <c r="AM15" s="40">
        <f ca="1">IF(AM$6&lt;$B15,0,IF(AM$6=$B15,'Growth Engine'!AM$10*'Macro &amp; Indexation'!AM$19,AL15*(1+'Macro &amp; Indexation'!AM$16)))</f>
        <v>2800215.9745149808</v>
      </c>
      <c r="AN15" s="40">
        <f ca="1">IF(AN$6&lt;$B15,0,IF(AN$6=$B15,'Growth Engine'!AN$10*'Macro &amp; Indexation'!AN$19,AM15*(1+'Macro &amp; Indexation'!AN$16)))</f>
        <v>2898223.5336230048</v>
      </c>
      <c r="AO15" s="40">
        <f ca="1">IF(AO$6&lt;$B15,0,IF(AO$6=$B15,'Growth Engine'!AO$10*'Macro &amp; Indexation'!AO$19,AN15*(1+'Macro &amp; Indexation'!AO$16)))</f>
        <v>2999661.3572998098</v>
      </c>
      <c r="AP15" s="40">
        <f ca="1">IF(AP$6&lt;$B15,0,IF(AP$6=$B15,'Growth Engine'!AP$10*'Macro &amp; Indexation'!AP$19,AO15*(1+'Macro &amp; Indexation'!AP$16)))</f>
        <v>3104649.5048053027</v>
      </c>
      <c r="AQ15" s="40">
        <f ca="1">IF(AQ$6&lt;$B15,0,IF(AQ$6=$B15,'Growth Engine'!AQ$10*'Macro &amp; Indexation'!AQ$19,AP15*(1+'Macro &amp; Indexation'!AQ$16)))</f>
        <v>3213312.2374734879</v>
      </c>
      <c r="AR15" s="40">
        <f ca="1">IF(AR$6&lt;$B15,0,IF(AR$6=$B15,'Growth Engine'!AR$10*'Macro &amp; Indexation'!AR$19,AQ15*(1+'Macro &amp; Indexation'!AR$16)))</f>
        <v>3325778.1657850598</v>
      </c>
      <c r="AS15" s="40">
        <f ca="1">IF(AS$6&lt;$B15,0,IF(AS$6=$B15,'Growth Engine'!AS$10*'Macro &amp; Indexation'!AS$19,AR15*(1+'Macro &amp; Indexation'!AS$16)))</f>
        <v>3442180.4015875366</v>
      </c>
      <c r="AT15" s="40">
        <f ca="1">IF(AT$6&lt;$B15,0,IF(AT$6=$B15,'Growth Engine'!AT$10*'Macro &amp; Indexation'!AT$19,AS15*(1+'Macro &amp; Indexation'!AT$16)))</f>
        <v>3562656.7156431</v>
      </c>
      <c r="AU15" s="40">
        <f ca="1">IF(AU$6&lt;$B15,0,IF(AU$6=$B15,'Growth Engine'!AU$10*'Macro &amp; Indexation'!AU$19,AT15*(1+'Macro &amp; Indexation'!AU$16)))</f>
        <v>3687349.700690608</v>
      </c>
      <c r="AV15" s="40">
        <f ca="1">IF(AV$6&lt;$B15,0,IF(AV$6=$B15,'Growth Engine'!AV$10*'Macro &amp; Indexation'!AV$19,AU15*(1+'Macro &amp; Indexation'!AV$16)))</f>
        <v>3816406.9402147788</v>
      </c>
      <c r="AW15" s="40">
        <f ca="1">IF(AW$6&lt;$B15,0,IF(AW$6=$B15,'Growth Engine'!AW$10*'Macro &amp; Indexation'!AW$19,AV15*(1+'Macro &amp; Indexation'!AW$16)))</f>
        <v>3949981.1831222959</v>
      </c>
      <c r="AX15" s="40">
        <f ca="1">IF(AX$6&lt;$B15,0,IF(AX$6=$B15,'Growth Engine'!AX$10*'Macro &amp; Indexation'!AX$19,AW15*(1+'Macro &amp; Indexation'!AX$16)))</f>
        <v>4088230.5245315759</v>
      </c>
      <c r="AY15" s="40">
        <f ca="1">IF(AY$6&lt;$B15,0,IF(AY$6=$B15,'Growth Engine'!AY$10*'Macro &amp; Indexation'!AY$19,AX15*(1+'Macro &amp; Indexation'!AY$16)))</f>
        <v>4231318.5928901806</v>
      </c>
      <c r="AZ15" s="40">
        <f ca="1">IF(AZ$6&lt;$B15,0,IF(AZ$6=$B15,'Growth Engine'!AZ$10*'Macro &amp; Indexation'!AZ$19,AY15*(1+'Macro &amp; Indexation'!AZ$16)))</f>
        <v>4379414.7436413364</v>
      </c>
      <c r="BA15" s="40">
        <f ca="1">IF(BA$6&lt;$B15,0,IF(BA$6=$B15,'Growth Engine'!BA$10*'Macro &amp; Indexation'!BA$19,AZ15*(1+'Macro &amp; Indexation'!BA$16)))</f>
        <v>4532694.2596687833</v>
      </c>
    </row>
    <row r="16" spans="1:53" outlineLevel="1" x14ac:dyDescent="0.3">
      <c r="A16" t="s">
        <v>143</v>
      </c>
      <c r="B16">
        <v>7</v>
      </c>
      <c r="D16" s="40">
        <f>IF(D$6&lt;$B16,0,IF(D$6=$B16,'Growth Engine'!D$10*'Macro &amp; Indexation'!D$19,C16*(1+'Macro &amp; Indexation'!D$16)))</f>
        <v>0</v>
      </c>
      <c r="E16" s="40">
        <f>IF(E$6&lt;$B16,0,IF(E$6=$B16,'Growth Engine'!E$10*'Macro &amp; Indexation'!E$19,D16*(1+'Macro &amp; Indexation'!E$16)))</f>
        <v>0</v>
      </c>
      <c r="F16" s="40">
        <f>IF(F$6&lt;$B16,0,IF(F$6=$B16,'Growth Engine'!F$10*'Macro &amp; Indexation'!F$19,E16*(1+'Macro &amp; Indexation'!F$16)))</f>
        <v>0</v>
      </c>
      <c r="G16" s="40">
        <f>IF(G$6&lt;$B16,0,IF(G$6=$B16,'Growth Engine'!G$10*'Macro &amp; Indexation'!G$19,F16*(1+'Macro &amp; Indexation'!G$16)))</f>
        <v>0</v>
      </c>
      <c r="H16" s="40">
        <f>IF(H$6&lt;$B16,0,IF(H$6=$B16,'Growth Engine'!H$10*'Macro &amp; Indexation'!H$19,G16*(1+'Macro &amp; Indexation'!H$16)))</f>
        <v>0</v>
      </c>
      <c r="I16" s="40">
        <f>IF(I$6&lt;$B16,0,IF(I$6=$B16,'Growth Engine'!I$10*'Macro &amp; Indexation'!I$19,H16*(1+'Macro &amp; Indexation'!I$16)))</f>
        <v>0</v>
      </c>
      <c r="J16" s="40">
        <f ca="1">IF(J$6&lt;$B16,0,IF(J$6=$B16,'Growth Engine'!J$10*'Macro &amp; Indexation'!J$19,I16*(1+'Macro &amp; Indexation'!J$16)))</f>
        <v>1032574.4741293925</v>
      </c>
      <c r="K16" s="40">
        <f ca="1">IF(K$6&lt;$B16,0,IF(K$6=$B16,'Growth Engine'!K$10*'Macro &amp; Indexation'!K$19,J16*(1+'Macro &amp; Indexation'!K$16)))</f>
        <v>1068714.5807239213</v>
      </c>
      <c r="L16" s="40">
        <f ca="1">IF(L$6&lt;$B16,0,IF(L$6=$B16,'Growth Engine'!L$10*'Macro &amp; Indexation'!L$19,K16*(1+'Macro &amp; Indexation'!L$16)))</f>
        <v>1106119.5910492584</v>
      </c>
      <c r="M16" s="40">
        <f ca="1">IF(M$6&lt;$B16,0,IF(M$6=$B16,'Growth Engine'!M$10*'Macro &amp; Indexation'!M$19,L16*(1+'Macro &amp; Indexation'!M$16)))</f>
        <v>1144833.7767359824</v>
      </c>
      <c r="N16" s="40">
        <f ca="1">IF(N$6&lt;$B16,0,IF(N$6=$B16,'Growth Engine'!N$10*'Macro &amp; Indexation'!N$19,M16*(1+'Macro &amp; Indexation'!N$16)))</f>
        <v>1184902.9589217417</v>
      </c>
      <c r="O16" s="40">
        <f ca="1">IF(O$6&lt;$B16,0,IF(O$6=$B16,'Growth Engine'!O$10*'Macro &amp; Indexation'!O$19,N16*(1+'Macro &amp; Indexation'!O$16)))</f>
        <v>1226374.5624840027</v>
      </c>
      <c r="P16" s="40">
        <f ca="1">IF(P$6&lt;$B16,0,IF(P$6=$B16,'Growth Engine'!P$10*'Macro &amp; Indexation'!P$19,O16*(1+'Macro &amp; Indexation'!P$16)))</f>
        <v>1269297.6721709426</v>
      </c>
      <c r="Q16" s="40">
        <f ca="1">IF(Q$6&lt;$B16,0,IF(Q$6=$B16,'Growth Engine'!Q$10*'Macro &amp; Indexation'!Q$19,P16*(1+'Macro &amp; Indexation'!Q$16)))</f>
        <v>1313723.0906969255</v>
      </c>
      <c r="R16" s="40">
        <f ca="1">IF(R$6&lt;$B16,0,IF(R$6=$B16,'Growth Engine'!R$10*'Macro &amp; Indexation'!R$19,Q16*(1+'Macro &amp; Indexation'!R$16)))</f>
        <v>1359703.3988713177</v>
      </c>
      <c r="S16" s="40">
        <f ca="1">IF(S$6&lt;$B16,0,IF(S$6=$B16,'Growth Engine'!S$10*'Macro &amp; Indexation'!S$19,R16*(1+'Macro &amp; Indexation'!S$16)))</f>
        <v>1407293.0178318138</v>
      </c>
      <c r="T16" s="40">
        <f ca="1">IF(T$6&lt;$B16,0,IF(T$6=$B16,'Growth Engine'!T$10*'Macro &amp; Indexation'!T$19,S16*(1+'Macro &amp; Indexation'!T$16)))</f>
        <v>1456548.2734559271</v>
      </c>
      <c r="U16" s="40">
        <f ca="1">IF(U$6&lt;$B16,0,IF(U$6=$B16,'Growth Engine'!U$10*'Macro &amp; Indexation'!U$19,T16*(1+'Macro &amp; Indexation'!U$16)))</f>
        <v>1507527.4630268845</v>
      </c>
      <c r="V16" s="40">
        <f ca="1">IF(V$6&lt;$B16,0,IF(V$6=$B16,'Growth Engine'!V$10*'Macro &amp; Indexation'!V$19,U16*(1+'Macro &amp; Indexation'!V$16)))</f>
        <v>1560290.9242328254</v>
      </c>
      <c r="W16" s="40">
        <f ca="1">IF(W$6&lt;$B16,0,IF(W$6=$B16,'Growth Engine'!W$10*'Macro &amp; Indexation'!W$19,V16*(1+'Macro &amp; Indexation'!W$16)))</f>
        <v>1614901.1065809741</v>
      </c>
      <c r="X16" s="40">
        <f ca="1">IF(X$6&lt;$B16,0,IF(X$6=$B16,'Growth Engine'!X$10*'Macro &amp; Indexation'!X$19,W16*(1+'Macro &amp; Indexation'!X$16)))</f>
        <v>1671422.6453113081</v>
      </c>
      <c r="Y16" s="40">
        <f ca="1">IF(Y$6&lt;$B16,0,IF(Y$6=$B16,'Growth Engine'!Y$10*'Macro &amp; Indexation'!Y$19,X16*(1+'Macro &amp; Indexation'!Y$16)))</f>
        <v>1729922.4378972037</v>
      </c>
      <c r="Z16" s="40">
        <f ca="1">IF(Z$6&lt;$B16,0,IF(Z$6=$B16,'Growth Engine'!Z$10*'Macro &amp; Indexation'!Z$19,Y16*(1+'Macro &amp; Indexation'!Z$16)))</f>
        <v>1790469.7232236057</v>
      </c>
      <c r="AA16" s="40">
        <f ca="1">IF(AA$6&lt;$B16,0,IF(AA$6=$B16,'Growth Engine'!AA$10*'Macro &amp; Indexation'!AA$19,Z16*(1+'Macro &amp; Indexation'!AA$16)))</f>
        <v>1853136.1635364317</v>
      </c>
      <c r="AB16" s="40">
        <f ca="1">IF(AB$6&lt;$B16,0,IF(AB$6=$B16,'Growth Engine'!AB$10*'Macro &amp; Indexation'!AB$19,AA16*(1+'Macro &amp; Indexation'!AB$16)))</f>
        <v>1917995.9292602066</v>
      </c>
      <c r="AC16" s="40">
        <f ca="1">IF(AC$6&lt;$B16,0,IF(AC$6=$B16,'Growth Engine'!AC$10*'Macro &amp; Indexation'!AC$19,AB16*(1+'Macro &amp; Indexation'!AC$16)))</f>
        <v>1985125.7867843136</v>
      </c>
      <c r="AD16" s="40">
        <f ca="1">IF(AD$6&lt;$B16,0,IF(AD$6=$B16,'Growth Engine'!AD$10*'Macro &amp; Indexation'!AD$19,AC16*(1+'Macro &amp; Indexation'!AD$16)))</f>
        <v>2054605.1893217645</v>
      </c>
      <c r="AE16" s="40">
        <f ca="1">IF(AE$6&lt;$B16,0,IF(AE$6=$B16,'Growth Engine'!AE$10*'Macro &amp; Indexation'!AE$19,AD16*(1+'Macro &amp; Indexation'!AE$16)))</f>
        <v>2126516.370948026</v>
      </c>
      <c r="AF16" s="40">
        <f ca="1">IF(AF$6&lt;$B16,0,IF(AF$6=$B16,'Growth Engine'!AF$10*'Macro &amp; Indexation'!AF$19,AE16*(1+'Macro &amp; Indexation'!AF$16)))</f>
        <v>2200944.4439312066</v>
      </c>
      <c r="AG16" s="40">
        <f ca="1">IF(AG$6&lt;$B16,0,IF(AG$6=$B16,'Growth Engine'!AG$10*'Macro &amp; Indexation'!AG$19,AF16*(1+'Macro &amp; Indexation'!AG$16)))</f>
        <v>2277977.4994687987</v>
      </c>
      <c r="AH16" s="40">
        <f ca="1">IF(AH$6&lt;$B16,0,IF(AH$6=$B16,'Growth Engine'!AH$10*'Macro &amp; Indexation'!AH$19,AG16*(1+'Macro &amp; Indexation'!AH$16)))</f>
        <v>2357706.7119502067</v>
      </c>
      <c r="AI16" s="40">
        <f ca="1">IF(AI$6&lt;$B16,0,IF(AI$6=$B16,'Growth Engine'!AI$10*'Macro &amp; Indexation'!AI$19,AH16*(1+'Macro &amp; Indexation'!AI$16)))</f>
        <v>2440226.4468684639</v>
      </c>
      <c r="AJ16" s="40">
        <f ca="1">IF(AJ$6&lt;$B16,0,IF(AJ$6=$B16,'Growth Engine'!AJ$10*'Macro &amp; Indexation'!AJ$19,AI16*(1+'Macro &amp; Indexation'!AJ$16)))</f>
        <v>2525634.3725088597</v>
      </c>
      <c r="AK16" s="40">
        <f ca="1">IF(AK$6&lt;$B16,0,IF(AK$6=$B16,'Growth Engine'!AK$10*'Macro &amp; Indexation'!AK$19,AJ16*(1+'Macro &amp; Indexation'!AK$16)))</f>
        <v>2614031.5755466698</v>
      </c>
      <c r="AL16" s="40">
        <f ca="1">IF(AL$6&lt;$B16,0,IF(AL$6=$B16,'Growth Engine'!AL$10*'Macro &amp; Indexation'!AL$19,AK16*(1+'Macro &amp; Indexation'!AL$16)))</f>
        <v>2705522.6806908031</v>
      </c>
      <c r="AM16" s="40">
        <f ca="1">IF(AM$6&lt;$B16,0,IF(AM$6=$B16,'Growth Engine'!AM$10*'Macro &amp; Indexation'!AM$19,AL16*(1+'Macro &amp; Indexation'!AM$16)))</f>
        <v>2800215.9745149808</v>
      </c>
      <c r="AN16" s="40">
        <f ca="1">IF(AN$6&lt;$B16,0,IF(AN$6=$B16,'Growth Engine'!AN$10*'Macro &amp; Indexation'!AN$19,AM16*(1+'Macro &amp; Indexation'!AN$16)))</f>
        <v>2898223.5336230048</v>
      </c>
      <c r="AO16" s="40">
        <f ca="1">IF(AO$6&lt;$B16,0,IF(AO$6=$B16,'Growth Engine'!AO$10*'Macro &amp; Indexation'!AO$19,AN16*(1+'Macro &amp; Indexation'!AO$16)))</f>
        <v>2999661.3572998098</v>
      </c>
      <c r="AP16" s="40">
        <f ca="1">IF(AP$6&lt;$B16,0,IF(AP$6=$B16,'Growth Engine'!AP$10*'Macro &amp; Indexation'!AP$19,AO16*(1+'Macro &amp; Indexation'!AP$16)))</f>
        <v>3104649.5048053027</v>
      </c>
      <c r="AQ16" s="40">
        <f ca="1">IF(AQ$6&lt;$B16,0,IF(AQ$6=$B16,'Growth Engine'!AQ$10*'Macro &amp; Indexation'!AQ$19,AP16*(1+'Macro &amp; Indexation'!AQ$16)))</f>
        <v>3213312.2374734879</v>
      </c>
      <c r="AR16" s="40">
        <f ca="1">IF(AR$6&lt;$B16,0,IF(AR$6=$B16,'Growth Engine'!AR$10*'Macro &amp; Indexation'!AR$19,AQ16*(1+'Macro &amp; Indexation'!AR$16)))</f>
        <v>3325778.1657850598</v>
      </c>
      <c r="AS16" s="40">
        <f ca="1">IF(AS$6&lt;$B16,0,IF(AS$6=$B16,'Growth Engine'!AS$10*'Macro &amp; Indexation'!AS$19,AR16*(1+'Macro &amp; Indexation'!AS$16)))</f>
        <v>3442180.4015875366</v>
      </c>
      <c r="AT16" s="40">
        <f ca="1">IF(AT$6&lt;$B16,0,IF(AT$6=$B16,'Growth Engine'!AT$10*'Macro &amp; Indexation'!AT$19,AS16*(1+'Macro &amp; Indexation'!AT$16)))</f>
        <v>3562656.7156431</v>
      </c>
      <c r="AU16" s="40">
        <f ca="1">IF(AU$6&lt;$B16,0,IF(AU$6=$B16,'Growth Engine'!AU$10*'Macro &amp; Indexation'!AU$19,AT16*(1+'Macro &amp; Indexation'!AU$16)))</f>
        <v>3687349.700690608</v>
      </c>
      <c r="AV16" s="40">
        <f ca="1">IF(AV$6&lt;$B16,0,IF(AV$6=$B16,'Growth Engine'!AV$10*'Macro &amp; Indexation'!AV$19,AU16*(1+'Macro &amp; Indexation'!AV$16)))</f>
        <v>3816406.9402147788</v>
      </c>
      <c r="AW16" s="40">
        <f ca="1">IF(AW$6&lt;$B16,0,IF(AW$6=$B16,'Growth Engine'!AW$10*'Macro &amp; Indexation'!AW$19,AV16*(1+'Macro &amp; Indexation'!AW$16)))</f>
        <v>3949981.1831222959</v>
      </c>
      <c r="AX16" s="40">
        <f ca="1">IF(AX$6&lt;$B16,0,IF(AX$6=$B16,'Growth Engine'!AX$10*'Macro &amp; Indexation'!AX$19,AW16*(1+'Macro &amp; Indexation'!AX$16)))</f>
        <v>4088230.5245315759</v>
      </c>
      <c r="AY16" s="40">
        <f ca="1">IF(AY$6&lt;$B16,0,IF(AY$6=$B16,'Growth Engine'!AY$10*'Macro &amp; Indexation'!AY$19,AX16*(1+'Macro &amp; Indexation'!AY$16)))</f>
        <v>4231318.5928901806</v>
      </c>
      <c r="AZ16" s="40">
        <f ca="1">IF(AZ$6&lt;$B16,0,IF(AZ$6=$B16,'Growth Engine'!AZ$10*'Macro &amp; Indexation'!AZ$19,AY16*(1+'Macro &amp; Indexation'!AZ$16)))</f>
        <v>4379414.7436413364</v>
      </c>
      <c r="BA16" s="40">
        <f ca="1">IF(BA$6&lt;$B16,0,IF(BA$6=$B16,'Growth Engine'!BA$10*'Macro &amp; Indexation'!BA$19,AZ16*(1+'Macro &amp; Indexation'!BA$16)))</f>
        <v>4532694.2596687833</v>
      </c>
    </row>
    <row r="17" spans="1:53" outlineLevel="1" x14ac:dyDescent="0.3">
      <c r="A17" t="s">
        <v>144</v>
      </c>
      <c r="B17">
        <v>8</v>
      </c>
      <c r="D17" s="40">
        <f>IF(D$6&lt;$B17,0,IF(D$6=$B17,'Growth Engine'!D$10*'Macro &amp; Indexation'!D$19,C17*(1+'Macro &amp; Indexation'!D$16)))</f>
        <v>0</v>
      </c>
      <c r="E17" s="40">
        <f>IF(E$6&lt;$B17,0,IF(E$6=$B17,'Growth Engine'!E$10*'Macro &amp; Indexation'!E$19,D17*(1+'Macro &amp; Indexation'!E$16)))</f>
        <v>0</v>
      </c>
      <c r="F17" s="40">
        <f>IF(F$6&lt;$B17,0,IF(F$6=$B17,'Growth Engine'!F$10*'Macro &amp; Indexation'!F$19,E17*(1+'Macro &amp; Indexation'!F$16)))</f>
        <v>0</v>
      </c>
      <c r="G17" s="40">
        <f>IF(G$6&lt;$B17,0,IF(G$6=$B17,'Growth Engine'!G$10*'Macro &amp; Indexation'!G$19,F17*(1+'Macro &amp; Indexation'!G$16)))</f>
        <v>0</v>
      </c>
      <c r="H17" s="40">
        <f>IF(H$6&lt;$B17,0,IF(H$6=$B17,'Growth Engine'!H$10*'Macro &amp; Indexation'!H$19,G17*(1+'Macro &amp; Indexation'!H$16)))</f>
        <v>0</v>
      </c>
      <c r="I17" s="40">
        <f>IF(I$6&lt;$B17,0,IF(I$6=$B17,'Growth Engine'!I$10*'Macro &amp; Indexation'!I$19,H17*(1+'Macro &amp; Indexation'!I$16)))</f>
        <v>0</v>
      </c>
      <c r="J17" s="40">
        <f>IF(J$6&lt;$B17,0,IF(J$6=$B17,'Growth Engine'!J$10*'Macro &amp; Indexation'!J$19,I17*(1+'Macro &amp; Indexation'!J$16)))</f>
        <v>0</v>
      </c>
      <c r="K17" s="40">
        <f ca="1">IF(K$6&lt;$B17,0,IF(K$6=$B17,'Growth Engine'!K$10*'Macro &amp; Indexation'!K$19,J17*(1+'Macro &amp; Indexation'!K$16)))</f>
        <v>1068714.5807239213</v>
      </c>
      <c r="L17" s="40">
        <f ca="1">IF(L$6&lt;$B17,0,IF(L$6=$B17,'Growth Engine'!L$10*'Macro &amp; Indexation'!L$19,K17*(1+'Macro &amp; Indexation'!L$16)))</f>
        <v>1106119.5910492584</v>
      </c>
      <c r="M17" s="40">
        <f ca="1">IF(M$6&lt;$B17,0,IF(M$6=$B17,'Growth Engine'!M$10*'Macro &amp; Indexation'!M$19,L17*(1+'Macro &amp; Indexation'!M$16)))</f>
        <v>1144833.7767359824</v>
      </c>
      <c r="N17" s="40">
        <f ca="1">IF(N$6&lt;$B17,0,IF(N$6=$B17,'Growth Engine'!N$10*'Macro &amp; Indexation'!N$19,M17*(1+'Macro &amp; Indexation'!N$16)))</f>
        <v>1184902.9589217417</v>
      </c>
      <c r="O17" s="40">
        <f ca="1">IF(O$6&lt;$B17,0,IF(O$6=$B17,'Growth Engine'!O$10*'Macro &amp; Indexation'!O$19,N17*(1+'Macro &amp; Indexation'!O$16)))</f>
        <v>1226374.5624840027</v>
      </c>
      <c r="P17" s="40">
        <f ca="1">IF(P$6&lt;$B17,0,IF(P$6=$B17,'Growth Engine'!P$10*'Macro &amp; Indexation'!P$19,O17*(1+'Macro &amp; Indexation'!P$16)))</f>
        <v>1269297.6721709426</v>
      </c>
      <c r="Q17" s="40">
        <f ca="1">IF(Q$6&lt;$B17,0,IF(Q$6=$B17,'Growth Engine'!Q$10*'Macro &amp; Indexation'!Q$19,P17*(1+'Macro &amp; Indexation'!Q$16)))</f>
        <v>1313723.0906969255</v>
      </c>
      <c r="R17" s="40">
        <f ca="1">IF(R$6&lt;$B17,0,IF(R$6=$B17,'Growth Engine'!R$10*'Macro &amp; Indexation'!R$19,Q17*(1+'Macro &amp; Indexation'!R$16)))</f>
        <v>1359703.3988713177</v>
      </c>
      <c r="S17" s="40">
        <f ca="1">IF(S$6&lt;$B17,0,IF(S$6=$B17,'Growth Engine'!S$10*'Macro &amp; Indexation'!S$19,R17*(1+'Macro &amp; Indexation'!S$16)))</f>
        <v>1407293.0178318138</v>
      </c>
      <c r="T17" s="40">
        <f ca="1">IF(T$6&lt;$B17,0,IF(T$6=$B17,'Growth Engine'!T$10*'Macro &amp; Indexation'!T$19,S17*(1+'Macro &amp; Indexation'!T$16)))</f>
        <v>1456548.2734559271</v>
      </c>
      <c r="U17" s="40">
        <f ca="1">IF(U$6&lt;$B17,0,IF(U$6=$B17,'Growth Engine'!U$10*'Macro &amp; Indexation'!U$19,T17*(1+'Macro &amp; Indexation'!U$16)))</f>
        <v>1507527.4630268845</v>
      </c>
      <c r="V17" s="40">
        <f ca="1">IF(V$6&lt;$B17,0,IF(V$6=$B17,'Growth Engine'!V$10*'Macro &amp; Indexation'!V$19,U17*(1+'Macro &amp; Indexation'!V$16)))</f>
        <v>1560290.9242328254</v>
      </c>
      <c r="W17" s="40">
        <f ca="1">IF(W$6&lt;$B17,0,IF(W$6=$B17,'Growth Engine'!W$10*'Macro &amp; Indexation'!W$19,V17*(1+'Macro &amp; Indexation'!W$16)))</f>
        <v>1614901.1065809741</v>
      </c>
      <c r="X17" s="40">
        <f ca="1">IF(X$6&lt;$B17,0,IF(X$6=$B17,'Growth Engine'!X$10*'Macro &amp; Indexation'!X$19,W17*(1+'Macro &amp; Indexation'!X$16)))</f>
        <v>1671422.6453113081</v>
      </c>
      <c r="Y17" s="40">
        <f ca="1">IF(Y$6&lt;$B17,0,IF(Y$6=$B17,'Growth Engine'!Y$10*'Macro &amp; Indexation'!Y$19,X17*(1+'Macro &amp; Indexation'!Y$16)))</f>
        <v>1729922.4378972037</v>
      </c>
      <c r="Z17" s="40">
        <f ca="1">IF(Z$6&lt;$B17,0,IF(Z$6=$B17,'Growth Engine'!Z$10*'Macro &amp; Indexation'!Z$19,Y17*(1+'Macro &amp; Indexation'!Z$16)))</f>
        <v>1790469.7232236057</v>
      </c>
      <c r="AA17" s="40">
        <f ca="1">IF(AA$6&lt;$B17,0,IF(AA$6=$B17,'Growth Engine'!AA$10*'Macro &amp; Indexation'!AA$19,Z17*(1+'Macro &amp; Indexation'!AA$16)))</f>
        <v>1853136.1635364317</v>
      </c>
      <c r="AB17" s="40">
        <f ca="1">IF(AB$6&lt;$B17,0,IF(AB$6=$B17,'Growth Engine'!AB$10*'Macro &amp; Indexation'!AB$19,AA17*(1+'Macro &amp; Indexation'!AB$16)))</f>
        <v>1917995.9292602066</v>
      </c>
      <c r="AC17" s="40">
        <f ca="1">IF(AC$6&lt;$B17,0,IF(AC$6=$B17,'Growth Engine'!AC$10*'Macro &amp; Indexation'!AC$19,AB17*(1+'Macro &amp; Indexation'!AC$16)))</f>
        <v>1985125.7867843136</v>
      </c>
      <c r="AD17" s="40">
        <f ca="1">IF(AD$6&lt;$B17,0,IF(AD$6=$B17,'Growth Engine'!AD$10*'Macro &amp; Indexation'!AD$19,AC17*(1+'Macro &amp; Indexation'!AD$16)))</f>
        <v>2054605.1893217645</v>
      </c>
      <c r="AE17" s="40">
        <f ca="1">IF(AE$6&lt;$B17,0,IF(AE$6=$B17,'Growth Engine'!AE$10*'Macro &amp; Indexation'!AE$19,AD17*(1+'Macro &amp; Indexation'!AE$16)))</f>
        <v>2126516.370948026</v>
      </c>
      <c r="AF17" s="40">
        <f ca="1">IF(AF$6&lt;$B17,0,IF(AF$6=$B17,'Growth Engine'!AF$10*'Macro &amp; Indexation'!AF$19,AE17*(1+'Macro &amp; Indexation'!AF$16)))</f>
        <v>2200944.4439312066</v>
      </c>
      <c r="AG17" s="40">
        <f ca="1">IF(AG$6&lt;$B17,0,IF(AG$6=$B17,'Growth Engine'!AG$10*'Macro &amp; Indexation'!AG$19,AF17*(1+'Macro &amp; Indexation'!AG$16)))</f>
        <v>2277977.4994687987</v>
      </c>
      <c r="AH17" s="40">
        <f ca="1">IF(AH$6&lt;$B17,0,IF(AH$6=$B17,'Growth Engine'!AH$10*'Macro &amp; Indexation'!AH$19,AG17*(1+'Macro &amp; Indexation'!AH$16)))</f>
        <v>2357706.7119502067</v>
      </c>
      <c r="AI17" s="40">
        <f ca="1">IF(AI$6&lt;$B17,0,IF(AI$6=$B17,'Growth Engine'!AI$10*'Macro &amp; Indexation'!AI$19,AH17*(1+'Macro &amp; Indexation'!AI$16)))</f>
        <v>2440226.4468684639</v>
      </c>
      <c r="AJ17" s="40">
        <f ca="1">IF(AJ$6&lt;$B17,0,IF(AJ$6=$B17,'Growth Engine'!AJ$10*'Macro &amp; Indexation'!AJ$19,AI17*(1+'Macro &amp; Indexation'!AJ$16)))</f>
        <v>2525634.3725088597</v>
      </c>
      <c r="AK17" s="40">
        <f ca="1">IF(AK$6&lt;$B17,0,IF(AK$6=$B17,'Growth Engine'!AK$10*'Macro &amp; Indexation'!AK$19,AJ17*(1+'Macro &amp; Indexation'!AK$16)))</f>
        <v>2614031.5755466698</v>
      </c>
      <c r="AL17" s="40">
        <f ca="1">IF(AL$6&lt;$B17,0,IF(AL$6=$B17,'Growth Engine'!AL$10*'Macro &amp; Indexation'!AL$19,AK17*(1+'Macro &amp; Indexation'!AL$16)))</f>
        <v>2705522.6806908031</v>
      </c>
      <c r="AM17" s="40">
        <f ca="1">IF(AM$6&lt;$B17,0,IF(AM$6=$B17,'Growth Engine'!AM$10*'Macro &amp; Indexation'!AM$19,AL17*(1+'Macro &amp; Indexation'!AM$16)))</f>
        <v>2800215.9745149808</v>
      </c>
      <c r="AN17" s="40">
        <f ca="1">IF(AN$6&lt;$B17,0,IF(AN$6=$B17,'Growth Engine'!AN$10*'Macro &amp; Indexation'!AN$19,AM17*(1+'Macro &amp; Indexation'!AN$16)))</f>
        <v>2898223.5336230048</v>
      </c>
      <c r="AO17" s="40">
        <f ca="1">IF(AO$6&lt;$B17,0,IF(AO$6=$B17,'Growth Engine'!AO$10*'Macro &amp; Indexation'!AO$19,AN17*(1+'Macro &amp; Indexation'!AO$16)))</f>
        <v>2999661.3572998098</v>
      </c>
      <c r="AP17" s="40">
        <f ca="1">IF(AP$6&lt;$B17,0,IF(AP$6=$B17,'Growth Engine'!AP$10*'Macro &amp; Indexation'!AP$19,AO17*(1+'Macro &amp; Indexation'!AP$16)))</f>
        <v>3104649.5048053027</v>
      </c>
      <c r="AQ17" s="40">
        <f ca="1">IF(AQ$6&lt;$B17,0,IF(AQ$6=$B17,'Growth Engine'!AQ$10*'Macro &amp; Indexation'!AQ$19,AP17*(1+'Macro &amp; Indexation'!AQ$16)))</f>
        <v>3213312.2374734879</v>
      </c>
      <c r="AR17" s="40">
        <f ca="1">IF(AR$6&lt;$B17,0,IF(AR$6=$B17,'Growth Engine'!AR$10*'Macro &amp; Indexation'!AR$19,AQ17*(1+'Macro &amp; Indexation'!AR$16)))</f>
        <v>3325778.1657850598</v>
      </c>
      <c r="AS17" s="40">
        <f ca="1">IF(AS$6&lt;$B17,0,IF(AS$6=$B17,'Growth Engine'!AS$10*'Macro &amp; Indexation'!AS$19,AR17*(1+'Macro &amp; Indexation'!AS$16)))</f>
        <v>3442180.4015875366</v>
      </c>
      <c r="AT17" s="40">
        <f ca="1">IF(AT$6&lt;$B17,0,IF(AT$6=$B17,'Growth Engine'!AT$10*'Macro &amp; Indexation'!AT$19,AS17*(1+'Macro &amp; Indexation'!AT$16)))</f>
        <v>3562656.7156431</v>
      </c>
      <c r="AU17" s="40">
        <f ca="1">IF(AU$6&lt;$B17,0,IF(AU$6=$B17,'Growth Engine'!AU$10*'Macro &amp; Indexation'!AU$19,AT17*(1+'Macro &amp; Indexation'!AU$16)))</f>
        <v>3687349.700690608</v>
      </c>
      <c r="AV17" s="40">
        <f ca="1">IF(AV$6&lt;$B17,0,IF(AV$6=$B17,'Growth Engine'!AV$10*'Macro &amp; Indexation'!AV$19,AU17*(1+'Macro &amp; Indexation'!AV$16)))</f>
        <v>3816406.9402147788</v>
      </c>
      <c r="AW17" s="40">
        <f ca="1">IF(AW$6&lt;$B17,0,IF(AW$6=$B17,'Growth Engine'!AW$10*'Macro &amp; Indexation'!AW$19,AV17*(1+'Macro &amp; Indexation'!AW$16)))</f>
        <v>3949981.1831222959</v>
      </c>
      <c r="AX17" s="40">
        <f ca="1">IF(AX$6&lt;$B17,0,IF(AX$6=$B17,'Growth Engine'!AX$10*'Macro &amp; Indexation'!AX$19,AW17*(1+'Macro &amp; Indexation'!AX$16)))</f>
        <v>4088230.5245315759</v>
      </c>
      <c r="AY17" s="40">
        <f ca="1">IF(AY$6&lt;$B17,0,IF(AY$6=$B17,'Growth Engine'!AY$10*'Macro &amp; Indexation'!AY$19,AX17*(1+'Macro &amp; Indexation'!AY$16)))</f>
        <v>4231318.5928901806</v>
      </c>
      <c r="AZ17" s="40">
        <f ca="1">IF(AZ$6&lt;$B17,0,IF(AZ$6=$B17,'Growth Engine'!AZ$10*'Macro &amp; Indexation'!AZ$19,AY17*(1+'Macro &amp; Indexation'!AZ$16)))</f>
        <v>4379414.7436413364</v>
      </c>
      <c r="BA17" s="40">
        <f ca="1">IF(BA$6&lt;$B17,0,IF(BA$6=$B17,'Growth Engine'!BA$10*'Macro &amp; Indexation'!BA$19,AZ17*(1+'Macro &amp; Indexation'!BA$16)))</f>
        <v>4532694.2596687833</v>
      </c>
    </row>
    <row r="18" spans="1:53" outlineLevel="1" x14ac:dyDescent="0.3">
      <c r="A18" t="s">
        <v>145</v>
      </c>
      <c r="B18">
        <v>9</v>
      </c>
      <c r="D18" s="40">
        <f>IF(D$6&lt;$B18,0,IF(D$6=$B18,'Growth Engine'!D$10*'Macro &amp; Indexation'!D$19,C18*(1+'Macro &amp; Indexation'!D$16)))</f>
        <v>0</v>
      </c>
      <c r="E18" s="40">
        <f>IF(E$6&lt;$B18,0,IF(E$6=$B18,'Growth Engine'!E$10*'Macro &amp; Indexation'!E$19,D18*(1+'Macro &amp; Indexation'!E$16)))</f>
        <v>0</v>
      </c>
      <c r="F18" s="40">
        <f>IF(F$6&lt;$B18,0,IF(F$6=$B18,'Growth Engine'!F$10*'Macro &amp; Indexation'!F$19,E18*(1+'Macro &amp; Indexation'!F$16)))</f>
        <v>0</v>
      </c>
      <c r="G18" s="40">
        <f>IF(G$6&lt;$B18,0,IF(G$6=$B18,'Growth Engine'!G$10*'Macro &amp; Indexation'!G$19,F18*(1+'Macro &amp; Indexation'!G$16)))</f>
        <v>0</v>
      </c>
      <c r="H18" s="40">
        <f>IF(H$6&lt;$B18,0,IF(H$6=$B18,'Growth Engine'!H$10*'Macro &amp; Indexation'!H$19,G18*(1+'Macro &amp; Indexation'!H$16)))</f>
        <v>0</v>
      </c>
      <c r="I18" s="40">
        <f>IF(I$6&lt;$B18,0,IF(I$6=$B18,'Growth Engine'!I$10*'Macro &amp; Indexation'!I$19,H18*(1+'Macro &amp; Indexation'!I$16)))</f>
        <v>0</v>
      </c>
      <c r="J18" s="40">
        <f>IF(J$6&lt;$B18,0,IF(J$6=$B18,'Growth Engine'!J$10*'Macro &amp; Indexation'!J$19,I18*(1+'Macro &amp; Indexation'!J$16)))</f>
        <v>0</v>
      </c>
      <c r="K18" s="40">
        <f>IF(K$6&lt;$B18,0,IF(K$6=$B18,'Growth Engine'!K$10*'Macro &amp; Indexation'!K$19,J18*(1+'Macro &amp; Indexation'!K$16)))</f>
        <v>0</v>
      </c>
      <c r="L18" s="40">
        <f ca="1">IF(L$6&lt;$B18,0,IF(L$6=$B18,'Growth Engine'!L$10*'Macro &amp; Indexation'!L$19,K18*(1+'Macro &amp; Indexation'!L$16)))</f>
        <v>1106119.5910492584</v>
      </c>
      <c r="M18" s="40">
        <f ca="1">IF(M$6&lt;$B18,0,IF(M$6=$B18,'Growth Engine'!M$10*'Macro &amp; Indexation'!M$19,L18*(1+'Macro &amp; Indexation'!M$16)))</f>
        <v>1144833.7767359824</v>
      </c>
      <c r="N18" s="40">
        <f ca="1">IF(N$6&lt;$B18,0,IF(N$6=$B18,'Growth Engine'!N$10*'Macro &amp; Indexation'!N$19,M18*(1+'Macro &amp; Indexation'!N$16)))</f>
        <v>1184902.9589217417</v>
      </c>
      <c r="O18" s="40">
        <f ca="1">IF(O$6&lt;$B18,0,IF(O$6=$B18,'Growth Engine'!O$10*'Macro &amp; Indexation'!O$19,N18*(1+'Macro &amp; Indexation'!O$16)))</f>
        <v>1226374.5624840027</v>
      </c>
      <c r="P18" s="40">
        <f ca="1">IF(P$6&lt;$B18,0,IF(P$6=$B18,'Growth Engine'!P$10*'Macro &amp; Indexation'!P$19,O18*(1+'Macro &amp; Indexation'!P$16)))</f>
        <v>1269297.6721709426</v>
      </c>
      <c r="Q18" s="40">
        <f ca="1">IF(Q$6&lt;$B18,0,IF(Q$6=$B18,'Growth Engine'!Q$10*'Macro &amp; Indexation'!Q$19,P18*(1+'Macro &amp; Indexation'!Q$16)))</f>
        <v>1313723.0906969255</v>
      </c>
      <c r="R18" s="40">
        <f ca="1">IF(R$6&lt;$B18,0,IF(R$6=$B18,'Growth Engine'!R$10*'Macro &amp; Indexation'!R$19,Q18*(1+'Macro &amp; Indexation'!R$16)))</f>
        <v>1359703.3988713177</v>
      </c>
      <c r="S18" s="40">
        <f ca="1">IF(S$6&lt;$B18,0,IF(S$6=$B18,'Growth Engine'!S$10*'Macro &amp; Indexation'!S$19,R18*(1+'Macro &amp; Indexation'!S$16)))</f>
        <v>1407293.0178318138</v>
      </c>
      <c r="T18" s="40">
        <f ca="1">IF(T$6&lt;$B18,0,IF(T$6=$B18,'Growth Engine'!T$10*'Macro &amp; Indexation'!T$19,S18*(1+'Macro &amp; Indexation'!T$16)))</f>
        <v>1456548.2734559271</v>
      </c>
      <c r="U18" s="40">
        <f ca="1">IF(U$6&lt;$B18,0,IF(U$6=$B18,'Growth Engine'!U$10*'Macro &amp; Indexation'!U$19,T18*(1+'Macro &amp; Indexation'!U$16)))</f>
        <v>1507527.4630268845</v>
      </c>
      <c r="V18" s="40">
        <f ca="1">IF(V$6&lt;$B18,0,IF(V$6=$B18,'Growth Engine'!V$10*'Macro &amp; Indexation'!V$19,U18*(1+'Macro &amp; Indexation'!V$16)))</f>
        <v>1560290.9242328254</v>
      </c>
      <c r="W18" s="40">
        <f ca="1">IF(W$6&lt;$B18,0,IF(W$6=$B18,'Growth Engine'!W$10*'Macro &amp; Indexation'!W$19,V18*(1+'Macro &amp; Indexation'!W$16)))</f>
        <v>1614901.1065809741</v>
      </c>
      <c r="X18" s="40">
        <f ca="1">IF(X$6&lt;$B18,0,IF(X$6=$B18,'Growth Engine'!X$10*'Macro &amp; Indexation'!X$19,W18*(1+'Macro &amp; Indexation'!X$16)))</f>
        <v>1671422.6453113081</v>
      </c>
      <c r="Y18" s="40">
        <f ca="1">IF(Y$6&lt;$B18,0,IF(Y$6=$B18,'Growth Engine'!Y$10*'Macro &amp; Indexation'!Y$19,X18*(1+'Macro &amp; Indexation'!Y$16)))</f>
        <v>1729922.4378972037</v>
      </c>
      <c r="Z18" s="40">
        <f ca="1">IF(Z$6&lt;$B18,0,IF(Z$6=$B18,'Growth Engine'!Z$10*'Macro &amp; Indexation'!Z$19,Y18*(1+'Macro &amp; Indexation'!Z$16)))</f>
        <v>1790469.7232236057</v>
      </c>
      <c r="AA18" s="40">
        <f ca="1">IF(AA$6&lt;$B18,0,IF(AA$6=$B18,'Growth Engine'!AA$10*'Macro &amp; Indexation'!AA$19,Z18*(1+'Macro &amp; Indexation'!AA$16)))</f>
        <v>1853136.1635364317</v>
      </c>
      <c r="AB18" s="40">
        <f ca="1">IF(AB$6&lt;$B18,0,IF(AB$6=$B18,'Growth Engine'!AB$10*'Macro &amp; Indexation'!AB$19,AA18*(1+'Macro &amp; Indexation'!AB$16)))</f>
        <v>1917995.9292602066</v>
      </c>
      <c r="AC18" s="40">
        <f ca="1">IF(AC$6&lt;$B18,0,IF(AC$6=$B18,'Growth Engine'!AC$10*'Macro &amp; Indexation'!AC$19,AB18*(1+'Macro &amp; Indexation'!AC$16)))</f>
        <v>1985125.7867843136</v>
      </c>
      <c r="AD18" s="40">
        <f ca="1">IF(AD$6&lt;$B18,0,IF(AD$6=$B18,'Growth Engine'!AD$10*'Macro &amp; Indexation'!AD$19,AC18*(1+'Macro &amp; Indexation'!AD$16)))</f>
        <v>2054605.1893217645</v>
      </c>
      <c r="AE18" s="40">
        <f ca="1">IF(AE$6&lt;$B18,0,IF(AE$6=$B18,'Growth Engine'!AE$10*'Macro &amp; Indexation'!AE$19,AD18*(1+'Macro &amp; Indexation'!AE$16)))</f>
        <v>2126516.370948026</v>
      </c>
      <c r="AF18" s="40">
        <f ca="1">IF(AF$6&lt;$B18,0,IF(AF$6=$B18,'Growth Engine'!AF$10*'Macro &amp; Indexation'!AF$19,AE18*(1+'Macro &amp; Indexation'!AF$16)))</f>
        <v>2200944.4439312066</v>
      </c>
      <c r="AG18" s="40">
        <f ca="1">IF(AG$6&lt;$B18,0,IF(AG$6=$B18,'Growth Engine'!AG$10*'Macro &amp; Indexation'!AG$19,AF18*(1+'Macro &amp; Indexation'!AG$16)))</f>
        <v>2277977.4994687987</v>
      </c>
      <c r="AH18" s="40">
        <f ca="1">IF(AH$6&lt;$B18,0,IF(AH$6=$B18,'Growth Engine'!AH$10*'Macro &amp; Indexation'!AH$19,AG18*(1+'Macro &amp; Indexation'!AH$16)))</f>
        <v>2357706.7119502067</v>
      </c>
      <c r="AI18" s="40">
        <f ca="1">IF(AI$6&lt;$B18,0,IF(AI$6=$B18,'Growth Engine'!AI$10*'Macro &amp; Indexation'!AI$19,AH18*(1+'Macro &amp; Indexation'!AI$16)))</f>
        <v>2440226.4468684639</v>
      </c>
      <c r="AJ18" s="40">
        <f ca="1">IF(AJ$6&lt;$B18,0,IF(AJ$6=$B18,'Growth Engine'!AJ$10*'Macro &amp; Indexation'!AJ$19,AI18*(1+'Macro &amp; Indexation'!AJ$16)))</f>
        <v>2525634.3725088597</v>
      </c>
      <c r="AK18" s="40">
        <f ca="1">IF(AK$6&lt;$B18,0,IF(AK$6=$B18,'Growth Engine'!AK$10*'Macro &amp; Indexation'!AK$19,AJ18*(1+'Macro &amp; Indexation'!AK$16)))</f>
        <v>2614031.5755466698</v>
      </c>
      <c r="AL18" s="40">
        <f ca="1">IF(AL$6&lt;$B18,0,IF(AL$6=$B18,'Growth Engine'!AL$10*'Macro &amp; Indexation'!AL$19,AK18*(1+'Macro &amp; Indexation'!AL$16)))</f>
        <v>2705522.6806908031</v>
      </c>
      <c r="AM18" s="40">
        <f ca="1">IF(AM$6&lt;$B18,0,IF(AM$6=$B18,'Growth Engine'!AM$10*'Macro &amp; Indexation'!AM$19,AL18*(1+'Macro &amp; Indexation'!AM$16)))</f>
        <v>2800215.9745149808</v>
      </c>
      <c r="AN18" s="40">
        <f ca="1">IF(AN$6&lt;$B18,0,IF(AN$6=$B18,'Growth Engine'!AN$10*'Macro &amp; Indexation'!AN$19,AM18*(1+'Macro &amp; Indexation'!AN$16)))</f>
        <v>2898223.5336230048</v>
      </c>
      <c r="AO18" s="40">
        <f ca="1">IF(AO$6&lt;$B18,0,IF(AO$6=$B18,'Growth Engine'!AO$10*'Macro &amp; Indexation'!AO$19,AN18*(1+'Macro &amp; Indexation'!AO$16)))</f>
        <v>2999661.3572998098</v>
      </c>
      <c r="AP18" s="40">
        <f ca="1">IF(AP$6&lt;$B18,0,IF(AP$6=$B18,'Growth Engine'!AP$10*'Macro &amp; Indexation'!AP$19,AO18*(1+'Macro &amp; Indexation'!AP$16)))</f>
        <v>3104649.5048053027</v>
      </c>
      <c r="AQ18" s="40">
        <f ca="1">IF(AQ$6&lt;$B18,0,IF(AQ$6=$B18,'Growth Engine'!AQ$10*'Macro &amp; Indexation'!AQ$19,AP18*(1+'Macro &amp; Indexation'!AQ$16)))</f>
        <v>3213312.2374734879</v>
      </c>
      <c r="AR18" s="40">
        <f ca="1">IF(AR$6&lt;$B18,0,IF(AR$6=$B18,'Growth Engine'!AR$10*'Macro &amp; Indexation'!AR$19,AQ18*(1+'Macro &amp; Indexation'!AR$16)))</f>
        <v>3325778.1657850598</v>
      </c>
      <c r="AS18" s="40">
        <f ca="1">IF(AS$6&lt;$B18,0,IF(AS$6=$B18,'Growth Engine'!AS$10*'Macro &amp; Indexation'!AS$19,AR18*(1+'Macro &amp; Indexation'!AS$16)))</f>
        <v>3442180.4015875366</v>
      </c>
      <c r="AT18" s="40">
        <f ca="1">IF(AT$6&lt;$B18,0,IF(AT$6=$B18,'Growth Engine'!AT$10*'Macro &amp; Indexation'!AT$19,AS18*(1+'Macro &amp; Indexation'!AT$16)))</f>
        <v>3562656.7156431</v>
      </c>
      <c r="AU18" s="40">
        <f ca="1">IF(AU$6&lt;$B18,0,IF(AU$6=$B18,'Growth Engine'!AU$10*'Macro &amp; Indexation'!AU$19,AT18*(1+'Macro &amp; Indexation'!AU$16)))</f>
        <v>3687349.700690608</v>
      </c>
      <c r="AV18" s="40">
        <f ca="1">IF(AV$6&lt;$B18,0,IF(AV$6=$B18,'Growth Engine'!AV$10*'Macro &amp; Indexation'!AV$19,AU18*(1+'Macro &amp; Indexation'!AV$16)))</f>
        <v>3816406.9402147788</v>
      </c>
      <c r="AW18" s="40">
        <f ca="1">IF(AW$6&lt;$B18,0,IF(AW$6=$B18,'Growth Engine'!AW$10*'Macro &amp; Indexation'!AW$19,AV18*(1+'Macro &amp; Indexation'!AW$16)))</f>
        <v>3949981.1831222959</v>
      </c>
      <c r="AX18" s="40">
        <f ca="1">IF(AX$6&lt;$B18,0,IF(AX$6=$B18,'Growth Engine'!AX$10*'Macro &amp; Indexation'!AX$19,AW18*(1+'Macro &amp; Indexation'!AX$16)))</f>
        <v>4088230.5245315759</v>
      </c>
      <c r="AY18" s="40">
        <f ca="1">IF(AY$6&lt;$B18,0,IF(AY$6=$B18,'Growth Engine'!AY$10*'Macro &amp; Indexation'!AY$19,AX18*(1+'Macro &amp; Indexation'!AY$16)))</f>
        <v>4231318.5928901806</v>
      </c>
      <c r="AZ18" s="40">
        <f ca="1">IF(AZ$6&lt;$B18,0,IF(AZ$6=$B18,'Growth Engine'!AZ$10*'Macro &amp; Indexation'!AZ$19,AY18*(1+'Macro &amp; Indexation'!AZ$16)))</f>
        <v>4379414.7436413364</v>
      </c>
      <c r="BA18" s="40">
        <f ca="1">IF(BA$6&lt;$B18,0,IF(BA$6=$B18,'Growth Engine'!BA$10*'Macro &amp; Indexation'!BA$19,AZ18*(1+'Macro &amp; Indexation'!BA$16)))</f>
        <v>4532694.2596687833</v>
      </c>
    </row>
    <row r="19" spans="1:53" outlineLevel="1" x14ac:dyDescent="0.3">
      <c r="A19" t="s">
        <v>146</v>
      </c>
      <c r="B19">
        <v>10</v>
      </c>
      <c r="D19" s="40">
        <f>IF(D$6&lt;$B19,0,IF(D$6=$B19,'Growth Engine'!D$10*'Macro &amp; Indexation'!D$19,C19*(1+'Macro &amp; Indexation'!D$16)))</f>
        <v>0</v>
      </c>
      <c r="E19" s="40">
        <f>IF(E$6&lt;$B19,0,IF(E$6=$B19,'Growth Engine'!E$10*'Macro &amp; Indexation'!E$19,D19*(1+'Macro &amp; Indexation'!E$16)))</f>
        <v>0</v>
      </c>
      <c r="F19" s="40">
        <f>IF(F$6&lt;$B19,0,IF(F$6=$B19,'Growth Engine'!F$10*'Macro &amp; Indexation'!F$19,E19*(1+'Macro &amp; Indexation'!F$16)))</f>
        <v>0</v>
      </c>
      <c r="G19" s="40">
        <f>IF(G$6&lt;$B19,0,IF(G$6=$B19,'Growth Engine'!G$10*'Macro &amp; Indexation'!G$19,F19*(1+'Macro &amp; Indexation'!G$16)))</f>
        <v>0</v>
      </c>
      <c r="H19" s="40">
        <f>IF(H$6&lt;$B19,0,IF(H$6=$B19,'Growth Engine'!H$10*'Macro &amp; Indexation'!H$19,G19*(1+'Macro &amp; Indexation'!H$16)))</f>
        <v>0</v>
      </c>
      <c r="I19" s="40">
        <f>IF(I$6&lt;$B19,0,IF(I$6=$B19,'Growth Engine'!I$10*'Macro &amp; Indexation'!I$19,H19*(1+'Macro &amp; Indexation'!I$16)))</f>
        <v>0</v>
      </c>
      <c r="J19" s="40">
        <f>IF(J$6&lt;$B19,0,IF(J$6=$B19,'Growth Engine'!J$10*'Macro &amp; Indexation'!J$19,I19*(1+'Macro &amp; Indexation'!J$16)))</f>
        <v>0</v>
      </c>
      <c r="K19" s="40">
        <f>IF(K$6&lt;$B19,0,IF(K$6=$B19,'Growth Engine'!K$10*'Macro &amp; Indexation'!K$19,J19*(1+'Macro &amp; Indexation'!K$16)))</f>
        <v>0</v>
      </c>
      <c r="L19" s="40">
        <f>IF(L$6&lt;$B19,0,IF(L$6=$B19,'Growth Engine'!L$10*'Macro &amp; Indexation'!L$19,K19*(1+'Macro &amp; Indexation'!L$16)))</f>
        <v>0</v>
      </c>
      <c r="M19" s="40">
        <f ca="1">IF(M$6&lt;$B19,0,IF(M$6=$B19,'Growth Engine'!M$10*'Macro &amp; Indexation'!M$19,L19*(1+'Macro &amp; Indexation'!M$16)))</f>
        <v>1144833.7767359824</v>
      </c>
      <c r="N19" s="40">
        <f ca="1">IF(N$6&lt;$B19,0,IF(N$6=$B19,'Growth Engine'!N$10*'Macro &amp; Indexation'!N$19,M19*(1+'Macro &amp; Indexation'!N$16)))</f>
        <v>1184902.9589217417</v>
      </c>
      <c r="O19" s="40">
        <f ca="1">IF(O$6&lt;$B19,0,IF(O$6=$B19,'Growth Engine'!O$10*'Macro &amp; Indexation'!O$19,N19*(1+'Macro &amp; Indexation'!O$16)))</f>
        <v>1226374.5624840027</v>
      </c>
      <c r="P19" s="40">
        <f ca="1">IF(P$6&lt;$B19,0,IF(P$6=$B19,'Growth Engine'!P$10*'Macro &amp; Indexation'!P$19,O19*(1+'Macro &amp; Indexation'!P$16)))</f>
        <v>1269297.6721709426</v>
      </c>
      <c r="Q19" s="40">
        <f ca="1">IF(Q$6&lt;$B19,0,IF(Q$6=$B19,'Growth Engine'!Q$10*'Macro &amp; Indexation'!Q$19,P19*(1+'Macro &amp; Indexation'!Q$16)))</f>
        <v>1313723.0906969255</v>
      </c>
      <c r="R19" s="40">
        <f ca="1">IF(R$6&lt;$B19,0,IF(R$6=$B19,'Growth Engine'!R$10*'Macro &amp; Indexation'!R$19,Q19*(1+'Macro &amp; Indexation'!R$16)))</f>
        <v>1359703.3988713177</v>
      </c>
      <c r="S19" s="40">
        <f ca="1">IF(S$6&lt;$B19,0,IF(S$6=$B19,'Growth Engine'!S$10*'Macro &amp; Indexation'!S$19,R19*(1+'Macro &amp; Indexation'!S$16)))</f>
        <v>1407293.0178318138</v>
      </c>
      <c r="T19" s="40">
        <f ca="1">IF(T$6&lt;$B19,0,IF(T$6=$B19,'Growth Engine'!T$10*'Macro &amp; Indexation'!T$19,S19*(1+'Macro &amp; Indexation'!T$16)))</f>
        <v>1456548.2734559271</v>
      </c>
      <c r="U19" s="40">
        <f ca="1">IF(U$6&lt;$B19,0,IF(U$6=$B19,'Growth Engine'!U$10*'Macro &amp; Indexation'!U$19,T19*(1+'Macro &amp; Indexation'!U$16)))</f>
        <v>1507527.4630268845</v>
      </c>
      <c r="V19" s="40">
        <f ca="1">IF(V$6&lt;$B19,0,IF(V$6=$B19,'Growth Engine'!V$10*'Macro &amp; Indexation'!V$19,U19*(1+'Macro &amp; Indexation'!V$16)))</f>
        <v>1560290.9242328254</v>
      </c>
      <c r="W19" s="40">
        <f ca="1">IF(W$6&lt;$B19,0,IF(W$6=$B19,'Growth Engine'!W$10*'Macro &amp; Indexation'!W$19,V19*(1+'Macro &amp; Indexation'!W$16)))</f>
        <v>1614901.1065809741</v>
      </c>
      <c r="X19" s="40">
        <f ca="1">IF(X$6&lt;$B19,0,IF(X$6=$B19,'Growth Engine'!X$10*'Macro &amp; Indexation'!X$19,W19*(1+'Macro &amp; Indexation'!X$16)))</f>
        <v>1671422.6453113081</v>
      </c>
      <c r="Y19" s="40">
        <f ca="1">IF(Y$6&lt;$B19,0,IF(Y$6=$B19,'Growth Engine'!Y$10*'Macro &amp; Indexation'!Y$19,X19*(1+'Macro &amp; Indexation'!Y$16)))</f>
        <v>1729922.4378972037</v>
      </c>
      <c r="Z19" s="40">
        <f ca="1">IF(Z$6&lt;$B19,0,IF(Z$6=$B19,'Growth Engine'!Z$10*'Macro &amp; Indexation'!Z$19,Y19*(1+'Macro &amp; Indexation'!Z$16)))</f>
        <v>1790469.7232236057</v>
      </c>
      <c r="AA19" s="40">
        <f ca="1">IF(AA$6&lt;$B19,0,IF(AA$6=$B19,'Growth Engine'!AA$10*'Macro &amp; Indexation'!AA$19,Z19*(1+'Macro &amp; Indexation'!AA$16)))</f>
        <v>1853136.1635364317</v>
      </c>
      <c r="AB19" s="40">
        <f ca="1">IF(AB$6&lt;$B19,0,IF(AB$6=$B19,'Growth Engine'!AB$10*'Macro &amp; Indexation'!AB$19,AA19*(1+'Macro &amp; Indexation'!AB$16)))</f>
        <v>1917995.9292602066</v>
      </c>
      <c r="AC19" s="40">
        <f ca="1">IF(AC$6&lt;$B19,0,IF(AC$6=$B19,'Growth Engine'!AC$10*'Macro &amp; Indexation'!AC$19,AB19*(1+'Macro &amp; Indexation'!AC$16)))</f>
        <v>1985125.7867843136</v>
      </c>
      <c r="AD19" s="40">
        <f ca="1">IF(AD$6&lt;$B19,0,IF(AD$6=$B19,'Growth Engine'!AD$10*'Macro &amp; Indexation'!AD$19,AC19*(1+'Macro &amp; Indexation'!AD$16)))</f>
        <v>2054605.1893217645</v>
      </c>
      <c r="AE19" s="40">
        <f ca="1">IF(AE$6&lt;$B19,0,IF(AE$6=$B19,'Growth Engine'!AE$10*'Macro &amp; Indexation'!AE$19,AD19*(1+'Macro &amp; Indexation'!AE$16)))</f>
        <v>2126516.370948026</v>
      </c>
      <c r="AF19" s="40">
        <f ca="1">IF(AF$6&lt;$B19,0,IF(AF$6=$B19,'Growth Engine'!AF$10*'Macro &amp; Indexation'!AF$19,AE19*(1+'Macro &amp; Indexation'!AF$16)))</f>
        <v>2200944.4439312066</v>
      </c>
      <c r="AG19" s="40">
        <f ca="1">IF(AG$6&lt;$B19,0,IF(AG$6=$B19,'Growth Engine'!AG$10*'Macro &amp; Indexation'!AG$19,AF19*(1+'Macro &amp; Indexation'!AG$16)))</f>
        <v>2277977.4994687987</v>
      </c>
      <c r="AH19" s="40">
        <f ca="1">IF(AH$6&lt;$B19,0,IF(AH$6=$B19,'Growth Engine'!AH$10*'Macro &amp; Indexation'!AH$19,AG19*(1+'Macro &amp; Indexation'!AH$16)))</f>
        <v>2357706.7119502067</v>
      </c>
      <c r="AI19" s="40">
        <f ca="1">IF(AI$6&lt;$B19,0,IF(AI$6=$B19,'Growth Engine'!AI$10*'Macro &amp; Indexation'!AI$19,AH19*(1+'Macro &amp; Indexation'!AI$16)))</f>
        <v>2440226.4468684639</v>
      </c>
      <c r="AJ19" s="40">
        <f ca="1">IF(AJ$6&lt;$B19,0,IF(AJ$6=$B19,'Growth Engine'!AJ$10*'Macro &amp; Indexation'!AJ$19,AI19*(1+'Macro &amp; Indexation'!AJ$16)))</f>
        <v>2525634.3725088597</v>
      </c>
      <c r="AK19" s="40">
        <f ca="1">IF(AK$6&lt;$B19,0,IF(AK$6=$B19,'Growth Engine'!AK$10*'Macro &amp; Indexation'!AK$19,AJ19*(1+'Macro &amp; Indexation'!AK$16)))</f>
        <v>2614031.5755466698</v>
      </c>
      <c r="AL19" s="40">
        <f ca="1">IF(AL$6&lt;$B19,0,IF(AL$6=$B19,'Growth Engine'!AL$10*'Macro &amp; Indexation'!AL$19,AK19*(1+'Macro &amp; Indexation'!AL$16)))</f>
        <v>2705522.6806908031</v>
      </c>
      <c r="AM19" s="40">
        <f ca="1">IF(AM$6&lt;$B19,0,IF(AM$6=$B19,'Growth Engine'!AM$10*'Macro &amp; Indexation'!AM$19,AL19*(1+'Macro &amp; Indexation'!AM$16)))</f>
        <v>2800215.9745149808</v>
      </c>
      <c r="AN19" s="40">
        <f ca="1">IF(AN$6&lt;$B19,0,IF(AN$6=$B19,'Growth Engine'!AN$10*'Macro &amp; Indexation'!AN$19,AM19*(1+'Macro &amp; Indexation'!AN$16)))</f>
        <v>2898223.5336230048</v>
      </c>
      <c r="AO19" s="40">
        <f ca="1">IF(AO$6&lt;$B19,0,IF(AO$6=$B19,'Growth Engine'!AO$10*'Macro &amp; Indexation'!AO$19,AN19*(1+'Macro &amp; Indexation'!AO$16)))</f>
        <v>2999661.3572998098</v>
      </c>
      <c r="AP19" s="40">
        <f ca="1">IF(AP$6&lt;$B19,0,IF(AP$6=$B19,'Growth Engine'!AP$10*'Macro &amp; Indexation'!AP$19,AO19*(1+'Macro &amp; Indexation'!AP$16)))</f>
        <v>3104649.5048053027</v>
      </c>
      <c r="AQ19" s="40">
        <f ca="1">IF(AQ$6&lt;$B19,0,IF(AQ$6=$B19,'Growth Engine'!AQ$10*'Macro &amp; Indexation'!AQ$19,AP19*(1+'Macro &amp; Indexation'!AQ$16)))</f>
        <v>3213312.2374734879</v>
      </c>
      <c r="AR19" s="40">
        <f ca="1">IF(AR$6&lt;$B19,0,IF(AR$6=$B19,'Growth Engine'!AR$10*'Macro &amp; Indexation'!AR$19,AQ19*(1+'Macro &amp; Indexation'!AR$16)))</f>
        <v>3325778.1657850598</v>
      </c>
      <c r="AS19" s="40">
        <f ca="1">IF(AS$6&lt;$B19,0,IF(AS$6=$B19,'Growth Engine'!AS$10*'Macro &amp; Indexation'!AS$19,AR19*(1+'Macro &amp; Indexation'!AS$16)))</f>
        <v>3442180.4015875366</v>
      </c>
      <c r="AT19" s="40">
        <f ca="1">IF(AT$6&lt;$B19,0,IF(AT$6=$B19,'Growth Engine'!AT$10*'Macro &amp; Indexation'!AT$19,AS19*(1+'Macro &amp; Indexation'!AT$16)))</f>
        <v>3562656.7156431</v>
      </c>
      <c r="AU19" s="40">
        <f ca="1">IF(AU$6&lt;$B19,0,IF(AU$6=$B19,'Growth Engine'!AU$10*'Macro &amp; Indexation'!AU$19,AT19*(1+'Macro &amp; Indexation'!AU$16)))</f>
        <v>3687349.700690608</v>
      </c>
      <c r="AV19" s="40">
        <f ca="1">IF(AV$6&lt;$B19,0,IF(AV$6=$B19,'Growth Engine'!AV$10*'Macro &amp; Indexation'!AV$19,AU19*(1+'Macro &amp; Indexation'!AV$16)))</f>
        <v>3816406.9402147788</v>
      </c>
      <c r="AW19" s="40">
        <f ca="1">IF(AW$6&lt;$B19,0,IF(AW$6=$B19,'Growth Engine'!AW$10*'Macro &amp; Indexation'!AW$19,AV19*(1+'Macro &amp; Indexation'!AW$16)))</f>
        <v>3949981.1831222959</v>
      </c>
      <c r="AX19" s="40">
        <f ca="1">IF(AX$6&lt;$B19,0,IF(AX$6=$B19,'Growth Engine'!AX$10*'Macro &amp; Indexation'!AX$19,AW19*(1+'Macro &amp; Indexation'!AX$16)))</f>
        <v>4088230.5245315759</v>
      </c>
      <c r="AY19" s="40">
        <f ca="1">IF(AY$6&lt;$B19,0,IF(AY$6=$B19,'Growth Engine'!AY$10*'Macro &amp; Indexation'!AY$19,AX19*(1+'Macro &amp; Indexation'!AY$16)))</f>
        <v>4231318.5928901806</v>
      </c>
      <c r="AZ19" s="40">
        <f ca="1">IF(AZ$6&lt;$B19,0,IF(AZ$6=$B19,'Growth Engine'!AZ$10*'Macro &amp; Indexation'!AZ$19,AY19*(1+'Macro &amp; Indexation'!AZ$16)))</f>
        <v>4379414.7436413364</v>
      </c>
      <c r="BA19" s="40">
        <f ca="1">IF(BA$6&lt;$B19,0,IF(BA$6=$B19,'Growth Engine'!BA$10*'Macro &amp; Indexation'!BA$19,AZ19*(1+'Macro &amp; Indexation'!BA$16)))</f>
        <v>4532694.2596687833</v>
      </c>
    </row>
    <row r="20" spans="1:53" outlineLevel="1" x14ac:dyDescent="0.3">
      <c r="A20" t="s">
        <v>147</v>
      </c>
      <c r="B20">
        <v>11</v>
      </c>
      <c r="D20" s="40">
        <f>IF(D$6&lt;$B20,0,IF(D$6=$B20,'Growth Engine'!D$10*'Macro &amp; Indexation'!D$19,C20*(1+'Macro &amp; Indexation'!D$16)))</f>
        <v>0</v>
      </c>
      <c r="E20" s="40">
        <f>IF(E$6&lt;$B20,0,IF(E$6=$B20,'Growth Engine'!E$10*'Macro &amp; Indexation'!E$19,D20*(1+'Macro &amp; Indexation'!E$16)))</f>
        <v>0</v>
      </c>
      <c r="F20" s="40">
        <f>IF(F$6&lt;$B20,0,IF(F$6=$B20,'Growth Engine'!F$10*'Macro &amp; Indexation'!F$19,E20*(1+'Macro &amp; Indexation'!F$16)))</f>
        <v>0</v>
      </c>
      <c r="G20" s="40">
        <f>IF(G$6&lt;$B20,0,IF(G$6=$B20,'Growth Engine'!G$10*'Macro &amp; Indexation'!G$19,F20*(1+'Macro &amp; Indexation'!G$16)))</f>
        <v>0</v>
      </c>
      <c r="H20" s="40">
        <f>IF(H$6&lt;$B20,0,IF(H$6=$B20,'Growth Engine'!H$10*'Macro &amp; Indexation'!H$19,G20*(1+'Macro &amp; Indexation'!H$16)))</f>
        <v>0</v>
      </c>
      <c r="I20" s="40">
        <f>IF(I$6&lt;$B20,0,IF(I$6=$B20,'Growth Engine'!I$10*'Macro &amp; Indexation'!I$19,H20*(1+'Macro &amp; Indexation'!I$16)))</f>
        <v>0</v>
      </c>
      <c r="J20" s="40">
        <f>IF(J$6&lt;$B20,0,IF(J$6=$B20,'Growth Engine'!J$10*'Macro &amp; Indexation'!J$19,I20*(1+'Macro &amp; Indexation'!J$16)))</f>
        <v>0</v>
      </c>
      <c r="K20" s="40">
        <f>IF(K$6&lt;$B20,0,IF(K$6=$B20,'Growth Engine'!K$10*'Macro &amp; Indexation'!K$19,J20*(1+'Macro &amp; Indexation'!K$16)))</f>
        <v>0</v>
      </c>
      <c r="L20" s="40">
        <f>IF(L$6&lt;$B20,0,IF(L$6=$B20,'Growth Engine'!L$10*'Macro &amp; Indexation'!L$19,K20*(1+'Macro &amp; Indexation'!L$16)))</f>
        <v>0</v>
      </c>
      <c r="M20" s="40">
        <f>IF(M$6&lt;$B20,0,IF(M$6=$B20,'Growth Engine'!M$10*'Macro &amp; Indexation'!M$19,L20*(1+'Macro &amp; Indexation'!M$16)))</f>
        <v>0</v>
      </c>
      <c r="N20" s="40">
        <f ca="1">IF(N$6&lt;$B20,0,IF(N$6=$B20,'Growth Engine'!N$10*'Macro &amp; Indexation'!N$19,M20*(1+'Macro &amp; Indexation'!N$16)))</f>
        <v>394967.65297391388</v>
      </c>
      <c r="O20" s="40">
        <f ca="1">IF(O$6&lt;$B20,0,IF(O$6=$B20,'Growth Engine'!O$10*'Macro &amp; Indexation'!O$19,N20*(1+'Macro &amp; Indexation'!O$16)))</f>
        <v>408791.52082800085</v>
      </c>
      <c r="P20" s="40">
        <f ca="1">IF(P$6&lt;$B20,0,IF(P$6=$B20,'Growth Engine'!P$10*'Macro &amp; Indexation'!P$19,O20*(1+'Macro &amp; Indexation'!P$16)))</f>
        <v>423099.22405698086</v>
      </c>
      <c r="Q20" s="40">
        <f ca="1">IF(Q$6&lt;$B20,0,IF(Q$6=$B20,'Growth Engine'!Q$10*'Macro &amp; Indexation'!Q$19,P20*(1+'Macro &amp; Indexation'!Q$16)))</f>
        <v>437907.69689897518</v>
      </c>
      <c r="R20" s="40">
        <f ca="1">IF(R$6&lt;$B20,0,IF(R$6=$B20,'Growth Engine'!R$10*'Macro &amp; Indexation'!R$19,Q20*(1+'Macro &amp; Indexation'!R$16)))</f>
        <v>453234.46629043925</v>
      </c>
      <c r="S20" s="40">
        <f ca="1">IF(S$6&lt;$B20,0,IF(S$6=$B20,'Growth Engine'!S$10*'Macro &amp; Indexation'!S$19,R20*(1+'Macro &amp; Indexation'!S$16)))</f>
        <v>469097.67261060461</v>
      </c>
      <c r="T20" s="40">
        <f ca="1">IF(T$6&lt;$B20,0,IF(T$6=$B20,'Growth Engine'!T$10*'Macro &amp; Indexation'!T$19,S20*(1+'Macro &amp; Indexation'!T$16)))</f>
        <v>485516.09115197574</v>
      </c>
      <c r="U20" s="40">
        <f ca="1">IF(U$6&lt;$B20,0,IF(U$6=$B20,'Growth Engine'!U$10*'Macro &amp; Indexation'!U$19,T20*(1+'Macro &amp; Indexation'!U$16)))</f>
        <v>502509.15434229485</v>
      </c>
      <c r="V20" s="40">
        <f ca="1">IF(V$6&lt;$B20,0,IF(V$6=$B20,'Growth Engine'!V$10*'Macro &amp; Indexation'!V$19,U20*(1+'Macro &amp; Indexation'!V$16)))</f>
        <v>520096.9747442751</v>
      </c>
      <c r="W20" s="40">
        <f ca="1">IF(W$6&lt;$B20,0,IF(W$6=$B20,'Growth Engine'!W$10*'Macro &amp; Indexation'!W$19,V20*(1+'Macro &amp; Indexation'!W$16)))</f>
        <v>538300.36886032473</v>
      </c>
      <c r="X20" s="40">
        <f ca="1">IF(X$6&lt;$B20,0,IF(X$6=$B20,'Growth Engine'!X$10*'Macro &amp; Indexation'!X$19,W20*(1+'Macro &amp; Indexation'!X$16)))</f>
        <v>557140.88177043607</v>
      </c>
      <c r="Y20" s="40">
        <f ca="1">IF(Y$6&lt;$B20,0,IF(Y$6=$B20,'Growth Engine'!Y$10*'Macro &amp; Indexation'!Y$19,X20*(1+'Macro &amp; Indexation'!Y$16)))</f>
        <v>576640.81263240124</v>
      </c>
      <c r="Z20" s="40">
        <f ca="1">IF(Z$6&lt;$B20,0,IF(Z$6=$B20,'Growth Engine'!Z$10*'Macro &amp; Indexation'!Z$19,Y20*(1+'Macro &amp; Indexation'!Z$16)))</f>
        <v>596823.24107453518</v>
      </c>
      <c r="AA20" s="40">
        <f ca="1">IF(AA$6&lt;$B20,0,IF(AA$6=$B20,'Growth Engine'!AA$10*'Macro &amp; Indexation'!AA$19,Z20*(1+'Macro &amp; Indexation'!AA$16)))</f>
        <v>617712.05451214383</v>
      </c>
      <c r="AB20" s="40">
        <f ca="1">IF(AB$6&lt;$B20,0,IF(AB$6=$B20,'Growth Engine'!AB$10*'Macro &amp; Indexation'!AB$19,AA20*(1+'Macro &amp; Indexation'!AB$16)))</f>
        <v>639331.97642006876</v>
      </c>
      <c r="AC20" s="40">
        <f ca="1">IF(AC$6&lt;$B20,0,IF(AC$6=$B20,'Growth Engine'!AC$10*'Macro &amp; Indexation'!AC$19,AB20*(1+'Macro &amp; Indexation'!AC$16)))</f>
        <v>661708.59559477109</v>
      </c>
      <c r="AD20" s="40">
        <f ca="1">IF(AD$6&lt;$B20,0,IF(AD$6=$B20,'Growth Engine'!AD$10*'Macro &amp; Indexation'!AD$19,AC20*(1+'Macro &amp; Indexation'!AD$16)))</f>
        <v>684868.39644058805</v>
      </c>
      <c r="AE20" s="40">
        <f ca="1">IF(AE$6&lt;$B20,0,IF(AE$6=$B20,'Growth Engine'!AE$10*'Macro &amp; Indexation'!AE$19,AD20*(1+'Macro &amp; Indexation'!AE$16)))</f>
        <v>708838.79031600861</v>
      </c>
      <c r="AF20" s="40">
        <f ca="1">IF(AF$6&lt;$B20,0,IF(AF$6=$B20,'Growth Engine'!AF$10*'Macro &amp; Indexation'!AF$19,AE20*(1+'Macro &amp; Indexation'!AF$16)))</f>
        <v>733648.1479770689</v>
      </c>
      <c r="AG20" s="40">
        <f ca="1">IF(AG$6&lt;$B20,0,IF(AG$6=$B20,'Growth Engine'!AG$10*'Macro &amp; Indexation'!AG$19,AF20*(1+'Macro &amp; Indexation'!AG$16)))</f>
        <v>759325.83315626625</v>
      </c>
      <c r="AH20" s="40">
        <f ca="1">IF(AH$6&lt;$B20,0,IF(AH$6=$B20,'Growth Engine'!AH$10*'Macro &amp; Indexation'!AH$19,AG20*(1+'Macro &amp; Indexation'!AH$16)))</f>
        <v>785902.23731673555</v>
      </c>
      <c r="AI20" s="40">
        <f ca="1">IF(AI$6&lt;$B20,0,IF(AI$6=$B20,'Growth Engine'!AI$10*'Macro &amp; Indexation'!AI$19,AH20*(1+'Macro &amp; Indexation'!AI$16)))</f>
        <v>813408.81562282122</v>
      </c>
      <c r="AJ20" s="40">
        <f ca="1">IF(AJ$6&lt;$B20,0,IF(AJ$6=$B20,'Growth Engine'!AJ$10*'Macro &amp; Indexation'!AJ$19,AI20*(1+'Macro &amp; Indexation'!AJ$16)))</f>
        <v>841878.12416961987</v>
      </c>
      <c r="AK20" s="40">
        <f ca="1">IF(AK$6&lt;$B20,0,IF(AK$6=$B20,'Growth Engine'!AK$10*'Macro &amp; Indexation'!AK$19,AJ20*(1+'Macro &amp; Indexation'!AK$16)))</f>
        <v>871343.85851555655</v>
      </c>
      <c r="AL20" s="40">
        <f ca="1">IF(AL$6&lt;$B20,0,IF(AL$6=$B20,'Growth Engine'!AL$10*'Macro &amp; Indexation'!AL$19,AK20*(1+'Macro &amp; Indexation'!AL$16)))</f>
        <v>901840.89356360096</v>
      </c>
      <c r="AM20" s="40">
        <f ca="1">IF(AM$6&lt;$B20,0,IF(AM$6=$B20,'Growth Engine'!AM$10*'Macro &amp; Indexation'!AM$19,AL20*(1+'Macro &amp; Indexation'!AM$16)))</f>
        <v>933405.32483832689</v>
      </c>
      <c r="AN20" s="40">
        <f ca="1">IF(AN$6&lt;$B20,0,IF(AN$6=$B20,'Growth Engine'!AN$10*'Macro &amp; Indexation'!AN$19,AM20*(1+'Macro &amp; Indexation'!AN$16)))</f>
        <v>966074.51120766823</v>
      </c>
      <c r="AO20" s="40">
        <f ca="1">IF(AO$6&lt;$B20,0,IF(AO$6=$B20,'Growth Engine'!AO$10*'Macro &amp; Indexation'!AO$19,AN20*(1+'Macro &amp; Indexation'!AO$16)))</f>
        <v>999887.11909993656</v>
      </c>
      <c r="AP20" s="40">
        <f ca="1">IF(AP$6&lt;$B20,0,IF(AP$6=$B20,'Growth Engine'!AP$10*'Macro &amp; Indexation'!AP$19,AO20*(1+'Macro &amp; Indexation'!AP$16)))</f>
        <v>1034883.1682684342</v>
      </c>
      <c r="AQ20" s="40">
        <f ca="1">IF(AQ$6&lt;$B20,0,IF(AQ$6=$B20,'Growth Engine'!AQ$10*'Macro &amp; Indexation'!AQ$19,AP20*(1+'Macro &amp; Indexation'!AQ$16)))</f>
        <v>1071104.0791578293</v>
      </c>
      <c r="AR20" s="40">
        <f ca="1">IF(AR$6&lt;$B20,0,IF(AR$6=$B20,'Growth Engine'!AR$10*'Macro &amp; Indexation'!AR$19,AQ20*(1+'Macro &amp; Indexation'!AR$16)))</f>
        <v>1108592.7219283532</v>
      </c>
      <c r="AS20" s="40">
        <f ca="1">IF(AS$6&lt;$B20,0,IF(AS$6=$B20,'Growth Engine'!AS$10*'Macro &amp; Indexation'!AS$19,AR20*(1+'Macro &amp; Indexation'!AS$16)))</f>
        <v>1147393.4671958454</v>
      </c>
      <c r="AT20" s="40">
        <f ca="1">IF(AT$6&lt;$B20,0,IF(AT$6=$B20,'Growth Engine'!AT$10*'Macro &amp; Indexation'!AT$19,AS20*(1+'Macro &amp; Indexation'!AT$16)))</f>
        <v>1187552.2385477</v>
      </c>
      <c r="AU20" s="40">
        <f ca="1">IF(AU$6&lt;$B20,0,IF(AU$6=$B20,'Growth Engine'!AU$10*'Macro &amp; Indexation'!AU$19,AT20*(1+'Macro &amp; Indexation'!AU$16)))</f>
        <v>1229116.5668968693</v>
      </c>
      <c r="AV20" s="40">
        <f ca="1">IF(AV$6&lt;$B20,0,IF(AV$6=$B20,'Growth Engine'!AV$10*'Macro &amp; Indexation'!AV$19,AU20*(1+'Macro &amp; Indexation'!AV$16)))</f>
        <v>1272135.6467382596</v>
      </c>
      <c r="AW20" s="40">
        <f ca="1">IF(AW$6&lt;$B20,0,IF(AW$6=$B20,'Growth Engine'!AW$10*'Macro &amp; Indexation'!AW$19,AV20*(1+'Macro &amp; Indexation'!AW$16)))</f>
        <v>1316660.3943740986</v>
      </c>
      <c r="AX20" s="40">
        <f ca="1">IF(AX$6&lt;$B20,0,IF(AX$6=$B20,'Growth Engine'!AX$10*'Macro &amp; Indexation'!AX$19,AW20*(1+'Macro &amp; Indexation'!AX$16)))</f>
        <v>1362743.508177192</v>
      </c>
      <c r="AY20" s="40">
        <f ca="1">IF(AY$6&lt;$B20,0,IF(AY$6=$B20,'Growth Engine'!AY$10*'Macro &amp; Indexation'!AY$19,AX20*(1+'Macro &amp; Indexation'!AY$16)))</f>
        <v>1410439.5309633936</v>
      </c>
      <c r="AZ20" s="40">
        <f ca="1">IF(AZ$6&lt;$B20,0,IF(AZ$6=$B20,'Growth Engine'!AZ$10*'Macro &amp; Indexation'!AZ$19,AY20*(1+'Macro &amp; Indexation'!AZ$16)))</f>
        <v>1459804.9145471123</v>
      </c>
      <c r="BA20" s="40">
        <f ca="1">IF(BA$6&lt;$B20,0,IF(BA$6=$B20,'Growth Engine'!BA$10*'Macro &amp; Indexation'!BA$19,AZ20*(1+'Macro &amp; Indexation'!BA$16)))</f>
        <v>1510898.0865562612</v>
      </c>
    </row>
    <row r="21" spans="1:53" outlineLevel="1" x14ac:dyDescent="0.3">
      <c r="A21" t="s">
        <v>148</v>
      </c>
      <c r="B21">
        <v>12</v>
      </c>
      <c r="D21" s="40">
        <f>IF(D$6&lt;$B21,0,IF(D$6=$B21,'Growth Engine'!D$10*'Macro &amp; Indexation'!D$19,C21*(1+'Macro &amp; Indexation'!D$16)))</f>
        <v>0</v>
      </c>
      <c r="E21" s="40">
        <f>IF(E$6&lt;$B21,0,IF(E$6=$B21,'Growth Engine'!E$10*'Macro &amp; Indexation'!E$19,D21*(1+'Macro &amp; Indexation'!E$16)))</f>
        <v>0</v>
      </c>
      <c r="F21" s="40">
        <f>IF(F$6&lt;$B21,0,IF(F$6=$B21,'Growth Engine'!F$10*'Macro &amp; Indexation'!F$19,E21*(1+'Macro &amp; Indexation'!F$16)))</f>
        <v>0</v>
      </c>
      <c r="G21" s="40">
        <f>IF(G$6&lt;$B21,0,IF(G$6=$B21,'Growth Engine'!G$10*'Macro &amp; Indexation'!G$19,F21*(1+'Macro &amp; Indexation'!G$16)))</f>
        <v>0</v>
      </c>
      <c r="H21" s="40">
        <f>IF(H$6&lt;$B21,0,IF(H$6=$B21,'Growth Engine'!H$10*'Macro &amp; Indexation'!H$19,G21*(1+'Macro &amp; Indexation'!H$16)))</f>
        <v>0</v>
      </c>
      <c r="I21" s="40">
        <f>IF(I$6&lt;$B21,0,IF(I$6=$B21,'Growth Engine'!I$10*'Macro &amp; Indexation'!I$19,H21*(1+'Macro &amp; Indexation'!I$16)))</f>
        <v>0</v>
      </c>
      <c r="J21" s="40">
        <f>IF(J$6&lt;$B21,0,IF(J$6=$B21,'Growth Engine'!J$10*'Macro &amp; Indexation'!J$19,I21*(1+'Macro &amp; Indexation'!J$16)))</f>
        <v>0</v>
      </c>
      <c r="K21" s="40">
        <f>IF(K$6&lt;$B21,0,IF(K$6=$B21,'Growth Engine'!K$10*'Macro &amp; Indexation'!K$19,J21*(1+'Macro &amp; Indexation'!K$16)))</f>
        <v>0</v>
      </c>
      <c r="L21" s="40">
        <f>IF(L$6&lt;$B21,0,IF(L$6=$B21,'Growth Engine'!L$10*'Macro &amp; Indexation'!L$19,K21*(1+'Macro &amp; Indexation'!L$16)))</f>
        <v>0</v>
      </c>
      <c r="M21" s="40">
        <f>IF(M$6&lt;$B21,0,IF(M$6=$B21,'Growth Engine'!M$10*'Macro &amp; Indexation'!M$19,L21*(1+'Macro &amp; Indexation'!M$16)))</f>
        <v>0</v>
      </c>
      <c r="N21" s="40">
        <f>IF(N$6&lt;$B21,0,IF(N$6=$B21,'Growth Engine'!N$10*'Macro &amp; Indexation'!N$19,M21*(1+'Macro &amp; Indexation'!N$16)))</f>
        <v>0</v>
      </c>
      <c r="O21" s="40">
        <f ca="1">IF(O$6&lt;$B21,0,IF(O$6=$B21,'Growth Engine'!O$10*'Macro &amp; Indexation'!O$19,N21*(1+'Macro &amp; Indexation'!O$16)))</f>
        <v>0</v>
      </c>
      <c r="P21" s="40">
        <f ca="1">IF(P$6&lt;$B21,0,IF(P$6=$B21,'Growth Engine'!P$10*'Macro &amp; Indexation'!P$19,O21*(1+'Macro &amp; Indexation'!P$16)))</f>
        <v>0</v>
      </c>
      <c r="Q21" s="40">
        <f ca="1">IF(Q$6&lt;$B21,0,IF(Q$6=$B21,'Growth Engine'!Q$10*'Macro &amp; Indexation'!Q$19,P21*(1+'Macro &amp; Indexation'!Q$16)))</f>
        <v>0</v>
      </c>
      <c r="R21" s="40">
        <f ca="1">IF(R$6&lt;$B21,0,IF(R$6=$B21,'Growth Engine'!R$10*'Macro &amp; Indexation'!R$19,Q21*(1+'Macro &amp; Indexation'!R$16)))</f>
        <v>0</v>
      </c>
      <c r="S21" s="40">
        <f ca="1">IF(S$6&lt;$B21,0,IF(S$6=$B21,'Growth Engine'!S$10*'Macro &amp; Indexation'!S$19,R21*(1+'Macro &amp; Indexation'!S$16)))</f>
        <v>0</v>
      </c>
      <c r="T21" s="40">
        <f ca="1">IF(T$6&lt;$B21,0,IF(T$6=$B21,'Growth Engine'!T$10*'Macro &amp; Indexation'!T$19,S21*(1+'Macro &amp; Indexation'!T$16)))</f>
        <v>0</v>
      </c>
      <c r="U21" s="40">
        <f ca="1">IF(U$6&lt;$B21,0,IF(U$6=$B21,'Growth Engine'!U$10*'Macro &amp; Indexation'!U$19,T21*(1+'Macro &amp; Indexation'!U$16)))</f>
        <v>0</v>
      </c>
      <c r="V21" s="40">
        <f ca="1">IF(V$6&lt;$B21,0,IF(V$6=$B21,'Growth Engine'!V$10*'Macro &amp; Indexation'!V$19,U21*(1+'Macro &amp; Indexation'!V$16)))</f>
        <v>0</v>
      </c>
      <c r="W21" s="40">
        <f ca="1">IF(W$6&lt;$B21,0,IF(W$6=$B21,'Growth Engine'!W$10*'Macro &amp; Indexation'!W$19,V21*(1+'Macro &amp; Indexation'!W$16)))</f>
        <v>0</v>
      </c>
      <c r="X21" s="40">
        <f ca="1">IF(X$6&lt;$B21,0,IF(X$6=$B21,'Growth Engine'!X$10*'Macro &amp; Indexation'!X$19,W21*(1+'Macro &amp; Indexation'!X$16)))</f>
        <v>0</v>
      </c>
      <c r="Y21" s="40">
        <f ca="1">IF(Y$6&lt;$B21,0,IF(Y$6=$B21,'Growth Engine'!Y$10*'Macro &amp; Indexation'!Y$19,X21*(1+'Macro &amp; Indexation'!Y$16)))</f>
        <v>0</v>
      </c>
      <c r="Z21" s="40">
        <f ca="1">IF(Z$6&lt;$B21,0,IF(Z$6=$B21,'Growth Engine'!Z$10*'Macro &amp; Indexation'!Z$19,Y21*(1+'Macro &amp; Indexation'!Z$16)))</f>
        <v>0</v>
      </c>
      <c r="AA21" s="40">
        <f ca="1">IF(AA$6&lt;$B21,0,IF(AA$6=$B21,'Growth Engine'!AA$10*'Macro &amp; Indexation'!AA$19,Z21*(1+'Macro &amp; Indexation'!AA$16)))</f>
        <v>0</v>
      </c>
      <c r="AB21" s="40">
        <f ca="1">IF(AB$6&lt;$B21,0,IF(AB$6=$B21,'Growth Engine'!AB$10*'Macro &amp; Indexation'!AB$19,AA21*(1+'Macro &amp; Indexation'!AB$16)))</f>
        <v>0</v>
      </c>
      <c r="AC21" s="40">
        <f ca="1">IF(AC$6&lt;$B21,0,IF(AC$6=$B21,'Growth Engine'!AC$10*'Macro &amp; Indexation'!AC$19,AB21*(1+'Macro &amp; Indexation'!AC$16)))</f>
        <v>0</v>
      </c>
      <c r="AD21" s="40">
        <f ca="1">IF(AD$6&lt;$B21,0,IF(AD$6=$B21,'Growth Engine'!AD$10*'Macro &amp; Indexation'!AD$19,AC21*(1+'Macro &amp; Indexation'!AD$16)))</f>
        <v>0</v>
      </c>
      <c r="AE21" s="40">
        <f ca="1">IF(AE$6&lt;$B21,0,IF(AE$6=$B21,'Growth Engine'!AE$10*'Macro &amp; Indexation'!AE$19,AD21*(1+'Macro &amp; Indexation'!AE$16)))</f>
        <v>0</v>
      </c>
      <c r="AF21" s="40">
        <f ca="1">IF(AF$6&lt;$B21,0,IF(AF$6=$B21,'Growth Engine'!AF$10*'Macro &amp; Indexation'!AF$19,AE21*(1+'Macro &amp; Indexation'!AF$16)))</f>
        <v>0</v>
      </c>
      <c r="AG21" s="40">
        <f ca="1">IF(AG$6&lt;$B21,0,IF(AG$6=$B21,'Growth Engine'!AG$10*'Macro &amp; Indexation'!AG$19,AF21*(1+'Macro &amp; Indexation'!AG$16)))</f>
        <v>0</v>
      </c>
      <c r="AH21" s="40">
        <f ca="1">IF(AH$6&lt;$B21,0,IF(AH$6=$B21,'Growth Engine'!AH$10*'Macro &amp; Indexation'!AH$19,AG21*(1+'Macro &amp; Indexation'!AH$16)))</f>
        <v>0</v>
      </c>
      <c r="AI21" s="40">
        <f ca="1">IF(AI$6&lt;$B21,0,IF(AI$6=$B21,'Growth Engine'!AI$10*'Macro &amp; Indexation'!AI$19,AH21*(1+'Macro &amp; Indexation'!AI$16)))</f>
        <v>0</v>
      </c>
      <c r="AJ21" s="40">
        <f ca="1">IF(AJ$6&lt;$B21,0,IF(AJ$6=$B21,'Growth Engine'!AJ$10*'Macro &amp; Indexation'!AJ$19,AI21*(1+'Macro &amp; Indexation'!AJ$16)))</f>
        <v>0</v>
      </c>
      <c r="AK21" s="40">
        <f ca="1">IF(AK$6&lt;$B21,0,IF(AK$6=$B21,'Growth Engine'!AK$10*'Macro &amp; Indexation'!AK$19,AJ21*(1+'Macro &amp; Indexation'!AK$16)))</f>
        <v>0</v>
      </c>
      <c r="AL21" s="40">
        <f ca="1">IF(AL$6&lt;$B21,0,IF(AL$6=$B21,'Growth Engine'!AL$10*'Macro &amp; Indexation'!AL$19,AK21*(1+'Macro &amp; Indexation'!AL$16)))</f>
        <v>0</v>
      </c>
      <c r="AM21" s="40">
        <f ca="1">IF(AM$6&lt;$B21,0,IF(AM$6=$B21,'Growth Engine'!AM$10*'Macro &amp; Indexation'!AM$19,AL21*(1+'Macro &amp; Indexation'!AM$16)))</f>
        <v>0</v>
      </c>
      <c r="AN21" s="40">
        <f ca="1">IF(AN$6&lt;$B21,0,IF(AN$6=$B21,'Growth Engine'!AN$10*'Macro &amp; Indexation'!AN$19,AM21*(1+'Macro &amp; Indexation'!AN$16)))</f>
        <v>0</v>
      </c>
      <c r="AO21" s="40">
        <f ca="1">IF(AO$6&lt;$B21,0,IF(AO$6=$B21,'Growth Engine'!AO$10*'Macro &amp; Indexation'!AO$19,AN21*(1+'Macro &amp; Indexation'!AO$16)))</f>
        <v>0</v>
      </c>
      <c r="AP21" s="40">
        <f ca="1">IF(AP$6&lt;$B21,0,IF(AP$6=$B21,'Growth Engine'!AP$10*'Macro &amp; Indexation'!AP$19,AO21*(1+'Macro &amp; Indexation'!AP$16)))</f>
        <v>0</v>
      </c>
      <c r="AQ21" s="40">
        <f ca="1">IF(AQ$6&lt;$B21,0,IF(AQ$6=$B21,'Growth Engine'!AQ$10*'Macro &amp; Indexation'!AQ$19,AP21*(1+'Macro &amp; Indexation'!AQ$16)))</f>
        <v>0</v>
      </c>
      <c r="AR21" s="40">
        <f ca="1">IF(AR$6&lt;$B21,0,IF(AR$6=$B21,'Growth Engine'!AR$10*'Macro &amp; Indexation'!AR$19,AQ21*(1+'Macro &amp; Indexation'!AR$16)))</f>
        <v>0</v>
      </c>
      <c r="AS21" s="40">
        <f ca="1">IF(AS$6&lt;$B21,0,IF(AS$6=$B21,'Growth Engine'!AS$10*'Macro &amp; Indexation'!AS$19,AR21*(1+'Macro &amp; Indexation'!AS$16)))</f>
        <v>0</v>
      </c>
      <c r="AT21" s="40">
        <f ca="1">IF(AT$6&lt;$B21,0,IF(AT$6=$B21,'Growth Engine'!AT$10*'Macro &amp; Indexation'!AT$19,AS21*(1+'Macro &amp; Indexation'!AT$16)))</f>
        <v>0</v>
      </c>
      <c r="AU21" s="40">
        <f ca="1">IF(AU$6&lt;$B21,0,IF(AU$6=$B21,'Growth Engine'!AU$10*'Macro &amp; Indexation'!AU$19,AT21*(1+'Macro &amp; Indexation'!AU$16)))</f>
        <v>0</v>
      </c>
      <c r="AV21" s="40">
        <f ca="1">IF(AV$6&lt;$B21,0,IF(AV$6=$B21,'Growth Engine'!AV$10*'Macro &amp; Indexation'!AV$19,AU21*(1+'Macro &amp; Indexation'!AV$16)))</f>
        <v>0</v>
      </c>
      <c r="AW21" s="40">
        <f ca="1">IF(AW$6&lt;$B21,0,IF(AW$6=$B21,'Growth Engine'!AW$10*'Macro &amp; Indexation'!AW$19,AV21*(1+'Macro &amp; Indexation'!AW$16)))</f>
        <v>0</v>
      </c>
      <c r="AX21" s="40">
        <f ca="1">IF(AX$6&lt;$B21,0,IF(AX$6=$B21,'Growth Engine'!AX$10*'Macro &amp; Indexation'!AX$19,AW21*(1+'Macro &amp; Indexation'!AX$16)))</f>
        <v>0</v>
      </c>
      <c r="AY21" s="40">
        <f ca="1">IF(AY$6&lt;$B21,0,IF(AY$6=$B21,'Growth Engine'!AY$10*'Macro &amp; Indexation'!AY$19,AX21*(1+'Macro &amp; Indexation'!AY$16)))</f>
        <v>0</v>
      </c>
      <c r="AZ21" s="40">
        <f ca="1">IF(AZ$6&lt;$B21,0,IF(AZ$6=$B21,'Growth Engine'!AZ$10*'Macro &amp; Indexation'!AZ$19,AY21*(1+'Macro &amp; Indexation'!AZ$16)))</f>
        <v>0</v>
      </c>
      <c r="BA21" s="40">
        <f ca="1">IF(BA$6&lt;$B21,0,IF(BA$6=$B21,'Growth Engine'!BA$10*'Macro &amp; Indexation'!BA$19,AZ21*(1+'Macro &amp; Indexation'!BA$16)))</f>
        <v>0</v>
      </c>
    </row>
    <row r="22" spans="1:53" outlineLevel="1" x14ac:dyDescent="0.3">
      <c r="A22" t="s">
        <v>149</v>
      </c>
      <c r="B22">
        <v>13</v>
      </c>
      <c r="D22" s="40">
        <f>IF(D$6&lt;$B22,0,IF(D$6=$B22,'Growth Engine'!D$10*'Macro &amp; Indexation'!D$19,C22*(1+'Macro &amp; Indexation'!D$16)))</f>
        <v>0</v>
      </c>
      <c r="E22" s="40">
        <f>IF(E$6&lt;$B22,0,IF(E$6=$B22,'Growth Engine'!E$10*'Macro &amp; Indexation'!E$19,D22*(1+'Macro &amp; Indexation'!E$16)))</f>
        <v>0</v>
      </c>
      <c r="F22" s="40">
        <f>IF(F$6&lt;$B22,0,IF(F$6=$B22,'Growth Engine'!F$10*'Macro &amp; Indexation'!F$19,E22*(1+'Macro &amp; Indexation'!F$16)))</f>
        <v>0</v>
      </c>
      <c r="G22" s="40">
        <f>IF(G$6&lt;$B22,0,IF(G$6=$B22,'Growth Engine'!G$10*'Macro &amp; Indexation'!G$19,F22*(1+'Macro &amp; Indexation'!G$16)))</f>
        <v>0</v>
      </c>
      <c r="H22" s="40">
        <f>IF(H$6&lt;$B22,0,IF(H$6=$B22,'Growth Engine'!H$10*'Macro &amp; Indexation'!H$19,G22*(1+'Macro &amp; Indexation'!H$16)))</f>
        <v>0</v>
      </c>
      <c r="I22" s="40">
        <f>IF(I$6&lt;$B22,0,IF(I$6=$B22,'Growth Engine'!I$10*'Macro &amp; Indexation'!I$19,H22*(1+'Macro &amp; Indexation'!I$16)))</f>
        <v>0</v>
      </c>
      <c r="J22" s="40">
        <f>IF(J$6&lt;$B22,0,IF(J$6=$B22,'Growth Engine'!J$10*'Macro &amp; Indexation'!J$19,I22*(1+'Macro &amp; Indexation'!J$16)))</f>
        <v>0</v>
      </c>
      <c r="K22" s="40">
        <f>IF(K$6&lt;$B22,0,IF(K$6=$B22,'Growth Engine'!K$10*'Macro &amp; Indexation'!K$19,J22*(1+'Macro &amp; Indexation'!K$16)))</f>
        <v>0</v>
      </c>
      <c r="L22" s="40">
        <f>IF(L$6&lt;$B22,0,IF(L$6=$B22,'Growth Engine'!L$10*'Macro &amp; Indexation'!L$19,K22*(1+'Macro &amp; Indexation'!L$16)))</f>
        <v>0</v>
      </c>
      <c r="M22" s="40">
        <f>IF(M$6&lt;$B22,0,IF(M$6=$B22,'Growth Engine'!M$10*'Macro &amp; Indexation'!M$19,L22*(1+'Macro &amp; Indexation'!M$16)))</f>
        <v>0</v>
      </c>
      <c r="N22" s="40">
        <f>IF(N$6&lt;$B22,0,IF(N$6=$B22,'Growth Engine'!N$10*'Macro &amp; Indexation'!N$19,M22*(1+'Macro &amp; Indexation'!N$16)))</f>
        <v>0</v>
      </c>
      <c r="O22" s="40">
        <f>IF(O$6&lt;$B22,0,IF(O$6=$B22,'Growth Engine'!O$10*'Macro &amp; Indexation'!O$19,N22*(1+'Macro &amp; Indexation'!O$16)))</f>
        <v>0</v>
      </c>
      <c r="P22" s="40">
        <f ca="1">IF(P$6&lt;$B22,0,IF(P$6=$B22,'Growth Engine'!P$10*'Macro &amp; Indexation'!P$19,O22*(1+'Macro &amp; Indexation'!P$16)))</f>
        <v>0</v>
      </c>
      <c r="Q22" s="40">
        <f ca="1">IF(Q$6&lt;$B22,0,IF(Q$6=$B22,'Growth Engine'!Q$10*'Macro &amp; Indexation'!Q$19,P22*(1+'Macro &amp; Indexation'!Q$16)))</f>
        <v>0</v>
      </c>
      <c r="R22" s="40">
        <f ca="1">IF(R$6&lt;$B22,0,IF(R$6=$B22,'Growth Engine'!R$10*'Macro &amp; Indexation'!R$19,Q22*(1+'Macro &amp; Indexation'!R$16)))</f>
        <v>0</v>
      </c>
      <c r="S22" s="40">
        <f ca="1">IF(S$6&lt;$B22,0,IF(S$6=$B22,'Growth Engine'!S$10*'Macro &amp; Indexation'!S$19,R22*(1+'Macro &amp; Indexation'!S$16)))</f>
        <v>0</v>
      </c>
      <c r="T22" s="40">
        <f ca="1">IF(T$6&lt;$B22,0,IF(T$6=$B22,'Growth Engine'!T$10*'Macro &amp; Indexation'!T$19,S22*(1+'Macro &amp; Indexation'!T$16)))</f>
        <v>0</v>
      </c>
      <c r="U22" s="40">
        <f ca="1">IF(U$6&lt;$B22,0,IF(U$6=$B22,'Growth Engine'!U$10*'Macro &amp; Indexation'!U$19,T22*(1+'Macro &amp; Indexation'!U$16)))</f>
        <v>0</v>
      </c>
      <c r="V22" s="40">
        <f ca="1">IF(V$6&lt;$B22,0,IF(V$6=$B22,'Growth Engine'!V$10*'Macro &amp; Indexation'!V$19,U22*(1+'Macro &amp; Indexation'!V$16)))</f>
        <v>0</v>
      </c>
      <c r="W22" s="40">
        <f ca="1">IF(W$6&lt;$B22,0,IF(W$6=$B22,'Growth Engine'!W$10*'Macro &amp; Indexation'!W$19,V22*(1+'Macro &amp; Indexation'!W$16)))</f>
        <v>0</v>
      </c>
      <c r="X22" s="40">
        <f ca="1">IF(X$6&lt;$B22,0,IF(X$6=$B22,'Growth Engine'!X$10*'Macro &amp; Indexation'!X$19,W22*(1+'Macro &amp; Indexation'!X$16)))</f>
        <v>0</v>
      </c>
      <c r="Y22" s="40">
        <f ca="1">IF(Y$6&lt;$B22,0,IF(Y$6=$B22,'Growth Engine'!Y$10*'Macro &amp; Indexation'!Y$19,X22*(1+'Macro &amp; Indexation'!Y$16)))</f>
        <v>0</v>
      </c>
      <c r="Z22" s="40">
        <f ca="1">IF(Z$6&lt;$B22,0,IF(Z$6=$B22,'Growth Engine'!Z$10*'Macro &amp; Indexation'!Z$19,Y22*(1+'Macro &amp; Indexation'!Z$16)))</f>
        <v>0</v>
      </c>
      <c r="AA22" s="40">
        <f ca="1">IF(AA$6&lt;$B22,0,IF(AA$6=$B22,'Growth Engine'!AA$10*'Macro &amp; Indexation'!AA$19,Z22*(1+'Macro &amp; Indexation'!AA$16)))</f>
        <v>0</v>
      </c>
      <c r="AB22" s="40">
        <f ca="1">IF(AB$6&lt;$B22,0,IF(AB$6=$B22,'Growth Engine'!AB$10*'Macro &amp; Indexation'!AB$19,AA22*(1+'Macro &amp; Indexation'!AB$16)))</f>
        <v>0</v>
      </c>
      <c r="AC22" s="40">
        <f ca="1">IF(AC$6&lt;$B22,0,IF(AC$6=$B22,'Growth Engine'!AC$10*'Macro &amp; Indexation'!AC$19,AB22*(1+'Macro &amp; Indexation'!AC$16)))</f>
        <v>0</v>
      </c>
      <c r="AD22" s="40">
        <f ca="1">IF(AD$6&lt;$B22,0,IF(AD$6=$B22,'Growth Engine'!AD$10*'Macro &amp; Indexation'!AD$19,AC22*(1+'Macro &amp; Indexation'!AD$16)))</f>
        <v>0</v>
      </c>
      <c r="AE22" s="40">
        <f ca="1">IF(AE$6&lt;$B22,0,IF(AE$6=$B22,'Growth Engine'!AE$10*'Macro &amp; Indexation'!AE$19,AD22*(1+'Macro &amp; Indexation'!AE$16)))</f>
        <v>0</v>
      </c>
      <c r="AF22" s="40">
        <f ca="1">IF(AF$6&lt;$B22,0,IF(AF$6=$B22,'Growth Engine'!AF$10*'Macro &amp; Indexation'!AF$19,AE22*(1+'Macro &amp; Indexation'!AF$16)))</f>
        <v>0</v>
      </c>
      <c r="AG22" s="40">
        <f ca="1">IF(AG$6&lt;$B22,0,IF(AG$6=$B22,'Growth Engine'!AG$10*'Macro &amp; Indexation'!AG$19,AF22*(1+'Macro &amp; Indexation'!AG$16)))</f>
        <v>0</v>
      </c>
      <c r="AH22" s="40">
        <f ca="1">IF(AH$6&lt;$B22,0,IF(AH$6=$B22,'Growth Engine'!AH$10*'Macro &amp; Indexation'!AH$19,AG22*(1+'Macro &amp; Indexation'!AH$16)))</f>
        <v>0</v>
      </c>
      <c r="AI22" s="40">
        <f ca="1">IF(AI$6&lt;$B22,0,IF(AI$6=$B22,'Growth Engine'!AI$10*'Macro &amp; Indexation'!AI$19,AH22*(1+'Macro &amp; Indexation'!AI$16)))</f>
        <v>0</v>
      </c>
      <c r="AJ22" s="40">
        <f ca="1">IF(AJ$6&lt;$B22,0,IF(AJ$6=$B22,'Growth Engine'!AJ$10*'Macro &amp; Indexation'!AJ$19,AI22*(1+'Macro &amp; Indexation'!AJ$16)))</f>
        <v>0</v>
      </c>
      <c r="AK22" s="40">
        <f ca="1">IF(AK$6&lt;$B22,0,IF(AK$6=$B22,'Growth Engine'!AK$10*'Macro &amp; Indexation'!AK$19,AJ22*(1+'Macro &amp; Indexation'!AK$16)))</f>
        <v>0</v>
      </c>
      <c r="AL22" s="40">
        <f ca="1">IF(AL$6&lt;$B22,0,IF(AL$6=$B22,'Growth Engine'!AL$10*'Macro &amp; Indexation'!AL$19,AK22*(1+'Macro &amp; Indexation'!AL$16)))</f>
        <v>0</v>
      </c>
      <c r="AM22" s="40">
        <f ca="1">IF(AM$6&lt;$B22,0,IF(AM$6=$B22,'Growth Engine'!AM$10*'Macro &amp; Indexation'!AM$19,AL22*(1+'Macro &amp; Indexation'!AM$16)))</f>
        <v>0</v>
      </c>
      <c r="AN22" s="40">
        <f ca="1">IF(AN$6&lt;$B22,0,IF(AN$6=$B22,'Growth Engine'!AN$10*'Macro &amp; Indexation'!AN$19,AM22*(1+'Macro &amp; Indexation'!AN$16)))</f>
        <v>0</v>
      </c>
      <c r="AO22" s="40">
        <f ca="1">IF(AO$6&lt;$B22,0,IF(AO$6=$B22,'Growth Engine'!AO$10*'Macro &amp; Indexation'!AO$19,AN22*(1+'Macro &amp; Indexation'!AO$16)))</f>
        <v>0</v>
      </c>
      <c r="AP22" s="40">
        <f ca="1">IF(AP$6&lt;$B22,0,IF(AP$6=$B22,'Growth Engine'!AP$10*'Macro &amp; Indexation'!AP$19,AO22*(1+'Macro &amp; Indexation'!AP$16)))</f>
        <v>0</v>
      </c>
      <c r="AQ22" s="40">
        <f ca="1">IF(AQ$6&lt;$B22,0,IF(AQ$6=$B22,'Growth Engine'!AQ$10*'Macro &amp; Indexation'!AQ$19,AP22*(1+'Macro &amp; Indexation'!AQ$16)))</f>
        <v>0</v>
      </c>
      <c r="AR22" s="40">
        <f ca="1">IF(AR$6&lt;$B22,0,IF(AR$6=$B22,'Growth Engine'!AR$10*'Macro &amp; Indexation'!AR$19,AQ22*(1+'Macro &amp; Indexation'!AR$16)))</f>
        <v>0</v>
      </c>
      <c r="AS22" s="40">
        <f ca="1">IF(AS$6&lt;$B22,0,IF(AS$6=$B22,'Growth Engine'!AS$10*'Macro &amp; Indexation'!AS$19,AR22*(1+'Macro &amp; Indexation'!AS$16)))</f>
        <v>0</v>
      </c>
      <c r="AT22" s="40">
        <f ca="1">IF(AT$6&lt;$B22,0,IF(AT$6=$B22,'Growth Engine'!AT$10*'Macro &amp; Indexation'!AT$19,AS22*(1+'Macro &amp; Indexation'!AT$16)))</f>
        <v>0</v>
      </c>
      <c r="AU22" s="40">
        <f ca="1">IF(AU$6&lt;$B22,0,IF(AU$6=$B22,'Growth Engine'!AU$10*'Macro &amp; Indexation'!AU$19,AT22*(1+'Macro &amp; Indexation'!AU$16)))</f>
        <v>0</v>
      </c>
      <c r="AV22" s="40">
        <f ca="1">IF(AV$6&lt;$B22,0,IF(AV$6=$B22,'Growth Engine'!AV$10*'Macro &amp; Indexation'!AV$19,AU22*(1+'Macro &amp; Indexation'!AV$16)))</f>
        <v>0</v>
      </c>
      <c r="AW22" s="40">
        <f ca="1">IF(AW$6&lt;$B22,0,IF(AW$6=$B22,'Growth Engine'!AW$10*'Macro &amp; Indexation'!AW$19,AV22*(1+'Macro &amp; Indexation'!AW$16)))</f>
        <v>0</v>
      </c>
      <c r="AX22" s="40">
        <f ca="1">IF(AX$6&lt;$B22,0,IF(AX$6=$B22,'Growth Engine'!AX$10*'Macro &amp; Indexation'!AX$19,AW22*(1+'Macro &amp; Indexation'!AX$16)))</f>
        <v>0</v>
      </c>
      <c r="AY22" s="40">
        <f ca="1">IF(AY$6&lt;$B22,0,IF(AY$6=$B22,'Growth Engine'!AY$10*'Macro &amp; Indexation'!AY$19,AX22*(1+'Macro &amp; Indexation'!AY$16)))</f>
        <v>0</v>
      </c>
      <c r="AZ22" s="40">
        <f ca="1">IF(AZ$6&lt;$B22,0,IF(AZ$6=$B22,'Growth Engine'!AZ$10*'Macro &amp; Indexation'!AZ$19,AY22*(1+'Macro &amp; Indexation'!AZ$16)))</f>
        <v>0</v>
      </c>
      <c r="BA22" s="40">
        <f ca="1">IF(BA$6&lt;$B22,0,IF(BA$6=$B22,'Growth Engine'!BA$10*'Macro &amp; Indexation'!BA$19,AZ22*(1+'Macro &amp; Indexation'!BA$16)))</f>
        <v>0</v>
      </c>
    </row>
    <row r="23" spans="1:53" outlineLevel="1" x14ac:dyDescent="0.3">
      <c r="A23" t="s">
        <v>150</v>
      </c>
      <c r="B23">
        <v>14</v>
      </c>
      <c r="D23" s="40">
        <f>IF(D$6&lt;$B23,0,IF(D$6=$B23,'Growth Engine'!D$10*'Macro &amp; Indexation'!D$19,C23*(1+'Macro &amp; Indexation'!D$16)))</f>
        <v>0</v>
      </c>
      <c r="E23" s="40">
        <f>IF(E$6&lt;$B23,0,IF(E$6=$B23,'Growth Engine'!E$10*'Macro &amp; Indexation'!E$19,D23*(1+'Macro &amp; Indexation'!E$16)))</f>
        <v>0</v>
      </c>
      <c r="F23" s="40">
        <f>IF(F$6&lt;$B23,0,IF(F$6=$B23,'Growth Engine'!F$10*'Macro &amp; Indexation'!F$19,E23*(1+'Macro &amp; Indexation'!F$16)))</f>
        <v>0</v>
      </c>
      <c r="G23" s="40">
        <f>IF(G$6&lt;$B23,0,IF(G$6=$B23,'Growth Engine'!G$10*'Macro &amp; Indexation'!G$19,F23*(1+'Macro &amp; Indexation'!G$16)))</f>
        <v>0</v>
      </c>
      <c r="H23" s="40">
        <f>IF(H$6&lt;$B23,0,IF(H$6=$B23,'Growth Engine'!H$10*'Macro &amp; Indexation'!H$19,G23*(1+'Macro &amp; Indexation'!H$16)))</f>
        <v>0</v>
      </c>
      <c r="I23" s="40">
        <f>IF(I$6&lt;$B23,0,IF(I$6=$B23,'Growth Engine'!I$10*'Macro &amp; Indexation'!I$19,H23*(1+'Macro &amp; Indexation'!I$16)))</f>
        <v>0</v>
      </c>
      <c r="J23" s="40">
        <f>IF(J$6&lt;$B23,0,IF(J$6=$B23,'Growth Engine'!J$10*'Macro &amp; Indexation'!J$19,I23*(1+'Macro &amp; Indexation'!J$16)))</f>
        <v>0</v>
      </c>
      <c r="K23" s="40">
        <f>IF(K$6&lt;$B23,0,IF(K$6=$B23,'Growth Engine'!K$10*'Macro &amp; Indexation'!K$19,J23*(1+'Macro &amp; Indexation'!K$16)))</f>
        <v>0</v>
      </c>
      <c r="L23" s="40">
        <f>IF(L$6&lt;$B23,0,IF(L$6=$B23,'Growth Engine'!L$10*'Macro &amp; Indexation'!L$19,K23*(1+'Macro &amp; Indexation'!L$16)))</f>
        <v>0</v>
      </c>
      <c r="M23" s="40">
        <f>IF(M$6&lt;$B23,0,IF(M$6=$B23,'Growth Engine'!M$10*'Macro &amp; Indexation'!M$19,L23*(1+'Macro &amp; Indexation'!M$16)))</f>
        <v>0</v>
      </c>
      <c r="N23" s="40">
        <f>IF(N$6&lt;$B23,0,IF(N$6=$B23,'Growth Engine'!N$10*'Macro &amp; Indexation'!N$19,M23*(1+'Macro &amp; Indexation'!N$16)))</f>
        <v>0</v>
      </c>
      <c r="O23" s="40">
        <f>IF(O$6&lt;$B23,0,IF(O$6=$B23,'Growth Engine'!O$10*'Macro &amp; Indexation'!O$19,N23*(1+'Macro &amp; Indexation'!O$16)))</f>
        <v>0</v>
      </c>
      <c r="P23" s="40">
        <f>IF(P$6&lt;$B23,0,IF(P$6=$B23,'Growth Engine'!P$10*'Macro &amp; Indexation'!P$19,O23*(1+'Macro &amp; Indexation'!P$16)))</f>
        <v>0</v>
      </c>
      <c r="Q23" s="40">
        <f ca="1">IF(Q$6&lt;$B23,0,IF(Q$6=$B23,'Growth Engine'!Q$10*'Macro &amp; Indexation'!Q$19,P23*(1+'Macro &amp; Indexation'!Q$16)))</f>
        <v>0</v>
      </c>
      <c r="R23" s="40">
        <f ca="1">IF(R$6&lt;$B23,0,IF(R$6=$B23,'Growth Engine'!R$10*'Macro &amp; Indexation'!R$19,Q23*(1+'Macro &amp; Indexation'!R$16)))</f>
        <v>0</v>
      </c>
      <c r="S23" s="40">
        <f ca="1">IF(S$6&lt;$B23,0,IF(S$6=$B23,'Growth Engine'!S$10*'Macro &amp; Indexation'!S$19,R23*(1+'Macro &amp; Indexation'!S$16)))</f>
        <v>0</v>
      </c>
      <c r="T23" s="40">
        <f ca="1">IF(T$6&lt;$B23,0,IF(T$6=$B23,'Growth Engine'!T$10*'Macro &amp; Indexation'!T$19,S23*(1+'Macro &amp; Indexation'!T$16)))</f>
        <v>0</v>
      </c>
      <c r="U23" s="40">
        <f ca="1">IF(U$6&lt;$B23,0,IF(U$6=$B23,'Growth Engine'!U$10*'Macro &amp; Indexation'!U$19,T23*(1+'Macro &amp; Indexation'!U$16)))</f>
        <v>0</v>
      </c>
      <c r="V23" s="40">
        <f ca="1">IF(V$6&lt;$B23,0,IF(V$6=$B23,'Growth Engine'!V$10*'Macro &amp; Indexation'!V$19,U23*(1+'Macro &amp; Indexation'!V$16)))</f>
        <v>0</v>
      </c>
      <c r="W23" s="40">
        <f ca="1">IF(W$6&lt;$B23,0,IF(W$6=$B23,'Growth Engine'!W$10*'Macro &amp; Indexation'!W$19,V23*(1+'Macro &amp; Indexation'!W$16)))</f>
        <v>0</v>
      </c>
      <c r="X23" s="40">
        <f ca="1">IF(X$6&lt;$B23,0,IF(X$6=$B23,'Growth Engine'!X$10*'Macro &amp; Indexation'!X$19,W23*(1+'Macro &amp; Indexation'!X$16)))</f>
        <v>0</v>
      </c>
      <c r="Y23" s="40">
        <f ca="1">IF(Y$6&lt;$B23,0,IF(Y$6=$B23,'Growth Engine'!Y$10*'Macro &amp; Indexation'!Y$19,X23*(1+'Macro &amp; Indexation'!Y$16)))</f>
        <v>0</v>
      </c>
      <c r="Z23" s="40">
        <f ca="1">IF(Z$6&lt;$B23,0,IF(Z$6=$B23,'Growth Engine'!Z$10*'Macro &amp; Indexation'!Z$19,Y23*(1+'Macro &amp; Indexation'!Z$16)))</f>
        <v>0</v>
      </c>
      <c r="AA23" s="40">
        <f ca="1">IF(AA$6&lt;$B23,0,IF(AA$6=$B23,'Growth Engine'!AA$10*'Macro &amp; Indexation'!AA$19,Z23*(1+'Macro &amp; Indexation'!AA$16)))</f>
        <v>0</v>
      </c>
      <c r="AB23" s="40">
        <f ca="1">IF(AB$6&lt;$B23,0,IF(AB$6=$B23,'Growth Engine'!AB$10*'Macro &amp; Indexation'!AB$19,AA23*(1+'Macro &amp; Indexation'!AB$16)))</f>
        <v>0</v>
      </c>
      <c r="AC23" s="40">
        <f ca="1">IF(AC$6&lt;$B23,0,IF(AC$6=$B23,'Growth Engine'!AC$10*'Macro &amp; Indexation'!AC$19,AB23*(1+'Macro &amp; Indexation'!AC$16)))</f>
        <v>0</v>
      </c>
      <c r="AD23" s="40">
        <f ca="1">IF(AD$6&lt;$B23,0,IF(AD$6=$B23,'Growth Engine'!AD$10*'Macro &amp; Indexation'!AD$19,AC23*(1+'Macro &amp; Indexation'!AD$16)))</f>
        <v>0</v>
      </c>
      <c r="AE23" s="40">
        <f ca="1">IF(AE$6&lt;$B23,0,IF(AE$6=$B23,'Growth Engine'!AE$10*'Macro &amp; Indexation'!AE$19,AD23*(1+'Macro &amp; Indexation'!AE$16)))</f>
        <v>0</v>
      </c>
      <c r="AF23" s="40">
        <f ca="1">IF(AF$6&lt;$B23,0,IF(AF$6=$B23,'Growth Engine'!AF$10*'Macro &amp; Indexation'!AF$19,AE23*(1+'Macro &amp; Indexation'!AF$16)))</f>
        <v>0</v>
      </c>
      <c r="AG23" s="40">
        <f ca="1">IF(AG$6&lt;$B23,0,IF(AG$6=$B23,'Growth Engine'!AG$10*'Macro &amp; Indexation'!AG$19,AF23*(1+'Macro &amp; Indexation'!AG$16)))</f>
        <v>0</v>
      </c>
      <c r="AH23" s="40">
        <f ca="1">IF(AH$6&lt;$B23,0,IF(AH$6=$B23,'Growth Engine'!AH$10*'Macro &amp; Indexation'!AH$19,AG23*(1+'Macro &amp; Indexation'!AH$16)))</f>
        <v>0</v>
      </c>
      <c r="AI23" s="40">
        <f ca="1">IF(AI$6&lt;$B23,0,IF(AI$6=$B23,'Growth Engine'!AI$10*'Macro &amp; Indexation'!AI$19,AH23*(1+'Macro &amp; Indexation'!AI$16)))</f>
        <v>0</v>
      </c>
      <c r="AJ23" s="40">
        <f ca="1">IF(AJ$6&lt;$B23,0,IF(AJ$6=$B23,'Growth Engine'!AJ$10*'Macro &amp; Indexation'!AJ$19,AI23*(1+'Macro &amp; Indexation'!AJ$16)))</f>
        <v>0</v>
      </c>
      <c r="AK23" s="40">
        <f ca="1">IF(AK$6&lt;$B23,0,IF(AK$6=$B23,'Growth Engine'!AK$10*'Macro &amp; Indexation'!AK$19,AJ23*(1+'Macro &amp; Indexation'!AK$16)))</f>
        <v>0</v>
      </c>
      <c r="AL23" s="40">
        <f ca="1">IF(AL$6&lt;$B23,0,IF(AL$6=$B23,'Growth Engine'!AL$10*'Macro &amp; Indexation'!AL$19,AK23*(1+'Macro &amp; Indexation'!AL$16)))</f>
        <v>0</v>
      </c>
      <c r="AM23" s="40">
        <f ca="1">IF(AM$6&lt;$B23,0,IF(AM$6=$B23,'Growth Engine'!AM$10*'Macro &amp; Indexation'!AM$19,AL23*(1+'Macro &amp; Indexation'!AM$16)))</f>
        <v>0</v>
      </c>
      <c r="AN23" s="40">
        <f ca="1">IF(AN$6&lt;$B23,0,IF(AN$6=$B23,'Growth Engine'!AN$10*'Macro &amp; Indexation'!AN$19,AM23*(1+'Macro &amp; Indexation'!AN$16)))</f>
        <v>0</v>
      </c>
      <c r="AO23" s="40">
        <f ca="1">IF(AO$6&lt;$B23,0,IF(AO$6=$B23,'Growth Engine'!AO$10*'Macro &amp; Indexation'!AO$19,AN23*(1+'Macro &amp; Indexation'!AO$16)))</f>
        <v>0</v>
      </c>
      <c r="AP23" s="40">
        <f ca="1">IF(AP$6&lt;$B23,0,IF(AP$6=$B23,'Growth Engine'!AP$10*'Macro &amp; Indexation'!AP$19,AO23*(1+'Macro &amp; Indexation'!AP$16)))</f>
        <v>0</v>
      </c>
      <c r="AQ23" s="40">
        <f ca="1">IF(AQ$6&lt;$B23,0,IF(AQ$6=$B23,'Growth Engine'!AQ$10*'Macro &amp; Indexation'!AQ$19,AP23*(1+'Macro &amp; Indexation'!AQ$16)))</f>
        <v>0</v>
      </c>
      <c r="AR23" s="40">
        <f ca="1">IF(AR$6&lt;$B23,0,IF(AR$6=$B23,'Growth Engine'!AR$10*'Macro &amp; Indexation'!AR$19,AQ23*(1+'Macro &amp; Indexation'!AR$16)))</f>
        <v>0</v>
      </c>
      <c r="AS23" s="40">
        <f ca="1">IF(AS$6&lt;$B23,0,IF(AS$6=$B23,'Growth Engine'!AS$10*'Macro &amp; Indexation'!AS$19,AR23*(1+'Macro &amp; Indexation'!AS$16)))</f>
        <v>0</v>
      </c>
      <c r="AT23" s="40">
        <f ca="1">IF(AT$6&lt;$B23,0,IF(AT$6=$B23,'Growth Engine'!AT$10*'Macro &amp; Indexation'!AT$19,AS23*(1+'Macro &amp; Indexation'!AT$16)))</f>
        <v>0</v>
      </c>
      <c r="AU23" s="40">
        <f ca="1">IF(AU$6&lt;$B23,0,IF(AU$6=$B23,'Growth Engine'!AU$10*'Macro &amp; Indexation'!AU$19,AT23*(1+'Macro &amp; Indexation'!AU$16)))</f>
        <v>0</v>
      </c>
      <c r="AV23" s="40">
        <f ca="1">IF(AV$6&lt;$B23,0,IF(AV$6=$B23,'Growth Engine'!AV$10*'Macro &amp; Indexation'!AV$19,AU23*(1+'Macro &amp; Indexation'!AV$16)))</f>
        <v>0</v>
      </c>
      <c r="AW23" s="40">
        <f ca="1">IF(AW$6&lt;$B23,0,IF(AW$6=$B23,'Growth Engine'!AW$10*'Macro &amp; Indexation'!AW$19,AV23*(1+'Macro &amp; Indexation'!AW$16)))</f>
        <v>0</v>
      </c>
      <c r="AX23" s="40">
        <f ca="1">IF(AX$6&lt;$B23,0,IF(AX$6=$B23,'Growth Engine'!AX$10*'Macro &amp; Indexation'!AX$19,AW23*(1+'Macro &amp; Indexation'!AX$16)))</f>
        <v>0</v>
      </c>
      <c r="AY23" s="40">
        <f ca="1">IF(AY$6&lt;$B23,0,IF(AY$6=$B23,'Growth Engine'!AY$10*'Macro &amp; Indexation'!AY$19,AX23*(1+'Macro &amp; Indexation'!AY$16)))</f>
        <v>0</v>
      </c>
      <c r="AZ23" s="40">
        <f ca="1">IF(AZ$6&lt;$B23,0,IF(AZ$6=$B23,'Growth Engine'!AZ$10*'Macro &amp; Indexation'!AZ$19,AY23*(1+'Macro &amp; Indexation'!AZ$16)))</f>
        <v>0</v>
      </c>
      <c r="BA23" s="40">
        <f ca="1">IF(BA$6&lt;$B23,0,IF(BA$6=$B23,'Growth Engine'!BA$10*'Macro &amp; Indexation'!BA$19,AZ23*(1+'Macro &amp; Indexation'!BA$16)))</f>
        <v>0</v>
      </c>
    </row>
    <row r="24" spans="1:53" outlineLevel="1" x14ac:dyDescent="0.3">
      <c r="A24" t="s">
        <v>151</v>
      </c>
      <c r="B24">
        <v>15</v>
      </c>
      <c r="D24" s="40">
        <f>IF(D$6&lt;$B24,0,IF(D$6=$B24,'Growth Engine'!D$10*'Macro &amp; Indexation'!D$19,C24*(1+'Macro &amp; Indexation'!D$16)))</f>
        <v>0</v>
      </c>
      <c r="E24" s="40">
        <f>IF(E$6&lt;$B24,0,IF(E$6=$B24,'Growth Engine'!E$10*'Macro &amp; Indexation'!E$19,D24*(1+'Macro &amp; Indexation'!E$16)))</f>
        <v>0</v>
      </c>
      <c r="F24" s="40">
        <f>IF(F$6&lt;$B24,0,IF(F$6=$B24,'Growth Engine'!F$10*'Macro &amp; Indexation'!F$19,E24*(1+'Macro &amp; Indexation'!F$16)))</f>
        <v>0</v>
      </c>
      <c r="G24" s="40">
        <f>IF(G$6&lt;$B24,0,IF(G$6=$B24,'Growth Engine'!G$10*'Macro &amp; Indexation'!G$19,F24*(1+'Macro &amp; Indexation'!G$16)))</f>
        <v>0</v>
      </c>
      <c r="H24" s="40">
        <f>IF(H$6&lt;$B24,0,IF(H$6=$B24,'Growth Engine'!H$10*'Macro &amp; Indexation'!H$19,G24*(1+'Macro &amp; Indexation'!H$16)))</f>
        <v>0</v>
      </c>
      <c r="I24" s="40">
        <f>IF(I$6&lt;$B24,0,IF(I$6=$B24,'Growth Engine'!I$10*'Macro &amp; Indexation'!I$19,H24*(1+'Macro &amp; Indexation'!I$16)))</f>
        <v>0</v>
      </c>
      <c r="J24" s="40">
        <f>IF(J$6&lt;$B24,0,IF(J$6=$B24,'Growth Engine'!J$10*'Macro &amp; Indexation'!J$19,I24*(1+'Macro &amp; Indexation'!J$16)))</f>
        <v>0</v>
      </c>
      <c r="K24" s="40">
        <f>IF(K$6&lt;$B24,0,IF(K$6=$B24,'Growth Engine'!K$10*'Macro &amp; Indexation'!K$19,J24*(1+'Macro &amp; Indexation'!K$16)))</f>
        <v>0</v>
      </c>
      <c r="L24" s="40">
        <f>IF(L$6&lt;$B24,0,IF(L$6=$B24,'Growth Engine'!L$10*'Macro &amp; Indexation'!L$19,K24*(1+'Macro &amp; Indexation'!L$16)))</f>
        <v>0</v>
      </c>
      <c r="M24" s="40">
        <f>IF(M$6&lt;$B24,0,IF(M$6=$B24,'Growth Engine'!M$10*'Macro &amp; Indexation'!M$19,L24*(1+'Macro &amp; Indexation'!M$16)))</f>
        <v>0</v>
      </c>
      <c r="N24" s="40">
        <f>IF(N$6&lt;$B24,0,IF(N$6=$B24,'Growth Engine'!N$10*'Macro &amp; Indexation'!N$19,M24*(1+'Macro &amp; Indexation'!N$16)))</f>
        <v>0</v>
      </c>
      <c r="O24" s="40">
        <f>IF(O$6&lt;$B24,0,IF(O$6=$B24,'Growth Engine'!O$10*'Macro &amp; Indexation'!O$19,N24*(1+'Macro &amp; Indexation'!O$16)))</f>
        <v>0</v>
      </c>
      <c r="P24" s="40">
        <f>IF(P$6&lt;$B24,0,IF(P$6=$B24,'Growth Engine'!P$10*'Macro &amp; Indexation'!P$19,O24*(1+'Macro &amp; Indexation'!P$16)))</f>
        <v>0</v>
      </c>
      <c r="Q24" s="40">
        <f>IF(Q$6&lt;$B24,0,IF(Q$6=$B24,'Growth Engine'!Q$10*'Macro &amp; Indexation'!Q$19,P24*(1+'Macro &amp; Indexation'!Q$16)))</f>
        <v>0</v>
      </c>
      <c r="R24" s="40">
        <f ca="1">IF(R$6&lt;$B24,0,IF(R$6=$B24,'Growth Engine'!R$10*'Macro &amp; Indexation'!R$19,Q24*(1+'Macro &amp; Indexation'!R$16)))</f>
        <v>0</v>
      </c>
      <c r="S24" s="40">
        <f ca="1">IF(S$6&lt;$B24,0,IF(S$6=$B24,'Growth Engine'!S$10*'Macro &amp; Indexation'!S$19,R24*(1+'Macro &amp; Indexation'!S$16)))</f>
        <v>0</v>
      </c>
      <c r="T24" s="40">
        <f ca="1">IF(T$6&lt;$B24,0,IF(T$6=$B24,'Growth Engine'!T$10*'Macro &amp; Indexation'!T$19,S24*(1+'Macro &amp; Indexation'!T$16)))</f>
        <v>0</v>
      </c>
      <c r="U24" s="40">
        <f ca="1">IF(U$6&lt;$B24,0,IF(U$6=$B24,'Growth Engine'!U$10*'Macro &amp; Indexation'!U$19,T24*(1+'Macro &amp; Indexation'!U$16)))</f>
        <v>0</v>
      </c>
      <c r="V24" s="40">
        <f ca="1">IF(V$6&lt;$B24,0,IF(V$6=$B24,'Growth Engine'!V$10*'Macro &amp; Indexation'!V$19,U24*(1+'Macro &amp; Indexation'!V$16)))</f>
        <v>0</v>
      </c>
      <c r="W24" s="40">
        <f ca="1">IF(W$6&lt;$B24,0,IF(W$6=$B24,'Growth Engine'!W$10*'Macro &amp; Indexation'!W$19,V24*(1+'Macro &amp; Indexation'!W$16)))</f>
        <v>0</v>
      </c>
      <c r="X24" s="40">
        <f ca="1">IF(X$6&lt;$B24,0,IF(X$6=$B24,'Growth Engine'!X$10*'Macro &amp; Indexation'!X$19,W24*(1+'Macro &amp; Indexation'!X$16)))</f>
        <v>0</v>
      </c>
      <c r="Y24" s="40">
        <f ca="1">IF(Y$6&lt;$B24,0,IF(Y$6=$B24,'Growth Engine'!Y$10*'Macro &amp; Indexation'!Y$19,X24*(1+'Macro &amp; Indexation'!Y$16)))</f>
        <v>0</v>
      </c>
      <c r="Z24" s="40">
        <f ca="1">IF(Z$6&lt;$B24,0,IF(Z$6=$B24,'Growth Engine'!Z$10*'Macro &amp; Indexation'!Z$19,Y24*(1+'Macro &amp; Indexation'!Z$16)))</f>
        <v>0</v>
      </c>
      <c r="AA24" s="40">
        <f ca="1">IF(AA$6&lt;$B24,0,IF(AA$6=$B24,'Growth Engine'!AA$10*'Macro &amp; Indexation'!AA$19,Z24*(1+'Macro &amp; Indexation'!AA$16)))</f>
        <v>0</v>
      </c>
      <c r="AB24" s="40">
        <f ca="1">IF(AB$6&lt;$B24,0,IF(AB$6=$B24,'Growth Engine'!AB$10*'Macro &amp; Indexation'!AB$19,AA24*(1+'Macro &amp; Indexation'!AB$16)))</f>
        <v>0</v>
      </c>
      <c r="AC24" s="40">
        <f ca="1">IF(AC$6&lt;$B24,0,IF(AC$6=$B24,'Growth Engine'!AC$10*'Macro &amp; Indexation'!AC$19,AB24*(1+'Macro &amp; Indexation'!AC$16)))</f>
        <v>0</v>
      </c>
      <c r="AD24" s="40">
        <f ca="1">IF(AD$6&lt;$B24,0,IF(AD$6=$B24,'Growth Engine'!AD$10*'Macro &amp; Indexation'!AD$19,AC24*(1+'Macro &amp; Indexation'!AD$16)))</f>
        <v>0</v>
      </c>
      <c r="AE24" s="40">
        <f ca="1">IF(AE$6&lt;$B24,0,IF(AE$6=$B24,'Growth Engine'!AE$10*'Macro &amp; Indexation'!AE$19,AD24*(1+'Macro &amp; Indexation'!AE$16)))</f>
        <v>0</v>
      </c>
      <c r="AF24" s="40">
        <f ca="1">IF(AF$6&lt;$B24,0,IF(AF$6=$B24,'Growth Engine'!AF$10*'Macro &amp; Indexation'!AF$19,AE24*(1+'Macro &amp; Indexation'!AF$16)))</f>
        <v>0</v>
      </c>
      <c r="AG24" s="40">
        <f ca="1">IF(AG$6&lt;$B24,0,IF(AG$6=$B24,'Growth Engine'!AG$10*'Macro &amp; Indexation'!AG$19,AF24*(1+'Macro &amp; Indexation'!AG$16)))</f>
        <v>0</v>
      </c>
      <c r="AH24" s="40">
        <f ca="1">IF(AH$6&lt;$B24,0,IF(AH$6=$B24,'Growth Engine'!AH$10*'Macro &amp; Indexation'!AH$19,AG24*(1+'Macro &amp; Indexation'!AH$16)))</f>
        <v>0</v>
      </c>
      <c r="AI24" s="40">
        <f ca="1">IF(AI$6&lt;$B24,0,IF(AI$6=$B24,'Growth Engine'!AI$10*'Macro &amp; Indexation'!AI$19,AH24*(1+'Macro &amp; Indexation'!AI$16)))</f>
        <v>0</v>
      </c>
      <c r="AJ24" s="40">
        <f ca="1">IF(AJ$6&lt;$B24,0,IF(AJ$6=$B24,'Growth Engine'!AJ$10*'Macro &amp; Indexation'!AJ$19,AI24*(1+'Macro &amp; Indexation'!AJ$16)))</f>
        <v>0</v>
      </c>
      <c r="AK24" s="40">
        <f ca="1">IF(AK$6&lt;$B24,0,IF(AK$6=$B24,'Growth Engine'!AK$10*'Macro &amp; Indexation'!AK$19,AJ24*(1+'Macro &amp; Indexation'!AK$16)))</f>
        <v>0</v>
      </c>
      <c r="AL24" s="40">
        <f ca="1">IF(AL$6&lt;$B24,0,IF(AL$6=$B24,'Growth Engine'!AL$10*'Macro &amp; Indexation'!AL$19,AK24*(1+'Macro &amp; Indexation'!AL$16)))</f>
        <v>0</v>
      </c>
      <c r="AM24" s="40">
        <f ca="1">IF(AM$6&lt;$B24,0,IF(AM$6=$B24,'Growth Engine'!AM$10*'Macro &amp; Indexation'!AM$19,AL24*(1+'Macro &amp; Indexation'!AM$16)))</f>
        <v>0</v>
      </c>
      <c r="AN24" s="40">
        <f ca="1">IF(AN$6&lt;$B24,0,IF(AN$6=$B24,'Growth Engine'!AN$10*'Macro &amp; Indexation'!AN$19,AM24*(1+'Macro &amp; Indexation'!AN$16)))</f>
        <v>0</v>
      </c>
      <c r="AO24" s="40">
        <f ca="1">IF(AO$6&lt;$B24,0,IF(AO$6=$B24,'Growth Engine'!AO$10*'Macro &amp; Indexation'!AO$19,AN24*(1+'Macro &amp; Indexation'!AO$16)))</f>
        <v>0</v>
      </c>
      <c r="AP24" s="40">
        <f ca="1">IF(AP$6&lt;$B24,0,IF(AP$6=$B24,'Growth Engine'!AP$10*'Macro &amp; Indexation'!AP$19,AO24*(1+'Macro &amp; Indexation'!AP$16)))</f>
        <v>0</v>
      </c>
      <c r="AQ24" s="40">
        <f ca="1">IF(AQ$6&lt;$B24,0,IF(AQ$6=$B24,'Growth Engine'!AQ$10*'Macro &amp; Indexation'!AQ$19,AP24*(1+'Macro &amp; Indexation'!AQ$16)))</f>
        <v>0</v>
      </c>
      <c r="AR24" s="40">
        <f ca="1">IF(AR$6&lt;$B24,0,IF(AR$6=$B24,'Growth Engine'!AR$10*'Macro &amp; Indexation'!AR$19,AQ24*(1+'Macro &amp; Indexation'!AR$16)))</f>
        <v>0</v>
      </c>
      <c r="AS24" s="40">
        <f ca="1">IF(AS$6&lt;$B24,0,IF(AS$6=$B24,'Growth Engine'!AS$10*'Macro &amp; Indexation'!AS$19,AR24*(1+'Macro &amp; Indexation'!AS$16)))</f>
        <v>0</v>
      </c>
      <c r="AT24" s="40">
        <f ca="1">IF(AT$6&lt;$B24,0,IF(AT$6=$B24,'Growth Engine'!AT$10*'Macro &amp; Indexation'!AT$19,AS24*(1+'Macro &amp; Indexation'!AT$16)))</f>
        <v>0</v>
      </c>
      <c r="AU24" s="40">
        <f ca="1">IF(AU$6&lt;$B24,0,IF(AU$6=$B24,'Growth Engine'!AU$10*'Macro &amp; Indexation'!AU$19,AT24*(1+'Macro &amp; Indexation'!AU$16)))</f>
        <v>0</v>
      </c>
      <c r="AV24" s="40">
        <f ca="1">IF(AV$6&lt;$B24,0,IF(AV$6=$B24,'Growth Engine'!AV$10*'Macro &amp; Indexation'!AV$19,AU24*(1+'Macro &amp; Indexation'!AV$16)))</f>
        <v>0</v>
      </c>
      <c r="AW24" s="40">
        <f ca="1">IF(AW$6&lt;$B24,0,IF(AW$6=$B24,'Growth Engine'!AW$10*'Macro &amp; Indexation'!AW$19,AV24*(1+'Macro &amp; Indexation'!AW$16)))</f>
        <v>0</v>
      </c>
      <c r="AX24" s="40">
        <f ca="1">IF(AX$6&lt;$B24,0,IF(AX$6=$B24,'Growth Engine'!AX$10*'Macro &amp; Indexation'!AX$19,AW24*(1+'Macro &amp; Indexation'!AX$16)))</f>
        <v>0</v>
      </c>
      <c r="AY24" s="40">
        <f ca="1">IF(AY$6&lt;$B24,0,IF(AY$6=$B24,'Growth Engine'!AY$10*'Macro &amp; Indexation'!AY$19,AX24*(1+'Macro &amp; Indexation'!AY$16)))</f>
        <v>0</v>
      </c>
      <c r="AZ24" s="40">
        <f ca="1">IF(AZ$6&lt;$B24,0,IF(AZ$6=$B24,'Growth Engine'!AZ$10*'Macro &amp; Indexation'!AZ$19,AY24*(1+'Macro &amp; Indexation'!AZ$16)))</f>
        <v>0</v>
      </c>
      <c r="BA24" s="40">
        <f ca="1">IF(BA$6&lt;$B24,0,IF(BA$6=$B24,'Growth Engine'!BA$10*'Macro &amp; Indexation'!BA$19,AZ24*(1+'Macro &amp; Indexation'!BA$16)))</f>
        <v>0</v>
      </c>
    </row>
    <row r="25" spans="1:53" outlineLevel="1" x14ac:dyDescent="0.3">
      <c r="A25" t="s">
        <v>152</v>
      </c>
      <c r="B25">
        <v>16</v>
      </c>
      <c r="D25" s="40">
        <f>IF(D$6&lt;$B25,0,IF(D$6=$B25,'Growth Engine'!D$10*'Macro &amp; Indexation'!D$19,C25*(1+'Macro &amp; Indexation'!D$16)))</f>
        <v>0</v>
      </c>
      <c r="E25" s="40">
        <f>IF(E$6&lt;$B25,0,IF(E$6=$B25,'Growth Engine'!E$10*'Macro &amp; Indexation'!E$19,D25*(1+'Macro &amp; Indexation'!E$16)))</f>
        <v>0</v>
      </c>
      <c r="F25" s="40">
        <f>IF(F$6&lt;$B25,0,IF(F$6=$B25,'Growth Engine'!F$10*'Macro &amp; Indexation'!F$19,E25*(1+'Macro &amp; Indexation'!F$16)))</f>
        <v>0</v>
      </c>
      <c r="G25" s="40">
        <f>IF(G$6&lt;$B25,0,IF(G$6=$B25,'Growth Engine'!G$10*'Macro &amp; Indexation'!G$19,F25*(1+'Macro &amp; Indexation'!G$16)))</f>
        <v>0</v>
      </c>
      <c r="H25" s="40">
        <f>IF(H$6&lt;$B25,0,IF(H$6=$B25,'Growth Engine'!H$10*'Macro &amp; Indexation'!H$19,G25*(1+'Macro &amp; Indexation'!H$16)))</f>
        <v>0</v>
      </c>
      <c r="I25" s="40">
        <f>IF(I$6&lt;$B25,0,IF(I$6=$B25,'Growth Engine'!I$10*'Macro &amp; Indexation'!I$19,H25*(1+'Macro &amp; Indexation'!I$16)))</f>
        <v>0</v>
      </c>
      <c r="J25" s="40">
        <f>IF(J$6&lt;$B25,0,IF(J$6=$B25,'Growth Engine'!J$10*'Macro &amp; Indexation'!J$19,I25*(1+'Macro &amp; Indexation'!J$16)))</f>
        <v>0</v>
      </c>
      <c r="K25" s="40">
        <f>IF(K$6&lt;$B25,0,IF(K$6=$B25,'Growth Engine'!K$10*'Macro &amp; Indexation'!K$19,J25*(1+'Macro &amp; Indexation'!K$16)))</f>
        <v>0</v>
      </c>
      <c r="L25" s="40">
        <f>IF(L$6&lt;$B25,0,IF(L$6=$B25,'Growth Engine'!L$10*'Macro &amp; Indexation'!L$19,K25*(1+'Macro &amp; Indexation'!L$16)))</f>
        <v>0</v>
      </c>
      <c r="M25" s="40">
        <f>IF(M$6&lt;$B25,0,IF(M$6=$B25,'Growth Engine'!M$10*'Macro &amp; Indexation'!M$19,L25*(1+'Macro &amp; Indexation'!M$16)))</f>
        <v>0</v>
      </c>
      <c r="N25" s="40">
        <f>IF(N$6&lt;$B25,0,IF(N$6=$B25,'Growth Engine'!N$10*'Macro &amp; Indexation'!N$19,M25*(1+'Macro &amp; Indexation'!N$16)))</f>
        <v>0</v>
      </c>
      <c r="O25" s="40">
        <f>IF(O$6&lt;$B25,0,IF(O$6=$B25,'Growth Engine'!O$10*'Macro &amp; Indexation'!O$19,N25*(1+'Macro &amp; Indexation'!O$16)))</f>
        <v>0</v>
      </c>
      <c r="P25" s="40">
        <f>IF(P$6&lt;$B25,0,IF(P$6=$B25,'Growth Engine'!P$10*'Macro &amp; Indexation'!P$19,O25*(1+'Macro &amp; Indexation'!P$16)))</f>
        <v>0</v>
      </c>
      <c r="Q25" s="40">
        <f>IF(Q$6&lt;$B25,0,IF(Q$6=$B25,'Growth Engine'!Q$10*'Macro &amp; Indexation'!Q$19,P25*(1+'Macro &amp; Indexation'!Q$16)))</f>
        <v>0</v>
      </c>
      <c r="R25" s="40">
        <f>IF(R$6&lt;$B25,0,IF(R$6=$B25,'Growth Engine'!R$10*'Macro &amp; Indexation'!R$19,Q25*(1+'Macro &amp; Indexation'!R$16)))</f>
        <v>0</v>
      </c>
      <c r="S25" s="40">
        <f ca="1">IF(S$6&lt;$B25,0,IF(S$6=$B25,'Growth Engine'!S$10*'Macro &amp; Indexation'!S$19,R25*(1+'Macro &amp; Indexation'!S$16)))</f>
        <v>0</v>
      </c>
      <c r="T25" s="40">
        <f ca="1">IF(T$6&lt;$B25,0,IF(T$6=$B25,'Growth Engine'!T$10*'Macro &amp; Indexation'!T$19,S25*(1+'Macro &amp; Indexation'!T$16)))</f>
        <v>0</v>
      </c>
      <c r="U25" s="40">
        <f ca="1">IF(U$6&lt;$B25,0,IF(U$6=$B25,'Growth Engine'!U$10*'Macro &amp; Indexation'!U$19,T25*(1+'Macro &amp; Indexation'!U$16)))</f>
        <v>0</v>
      </c>
      <c r="V25" s="40">
        <f ca="1">IF(V$6&lt;$B25,0,IF(V$6=$B25,'Growth Engine'!V$10*'Macro &amp; Indexation'!V$19,U25*(1+'Macro &amp; Indexation'!V$16)))</f>
        <v>0</v>
      </c>
      <c r="W25" s="40">
        <f ca="1">IF(W$6&lt;$B25,0,IF(W$6=$B25,'Growth Engine'!W$10*'Macro &amp; Indexation'!W$19,V25*(1+'Macro &amp; Indexation'!W$16)))</f>
        <v>0</v>
      </c>
      <c r="X25" s="40">
        <f ca="1">IF(X$6&lt;$B25,0,IF(X$6=$B25,'Growth Engine'!X$10*'Macro &amp; Indexation'!X$19,W25*(1+'Macro &amp; Indexation'!X$16)))</f>
        <v>0</v>
      </c>
      <c r="Y25" s="40">
        <f ca="1">IF(Y$6&lt;$B25,0,IF(Y$6=$B25,'Growth Engine'!Y$10*'Macro &amp; Indexation'!Y$19,X25*(1+'Macro &amp; Indexation'!Y$16)))</f>
        <v>0</v>
      </c>
      <c r="Z25" s="40">
        <f ca="1">IF(Z$6&lt;$B25,0,IF(Z$6=$B25,'Growth Engine'!Z$10*'Macro &amp; Indexation'!Z$19,Y25*(1+'Macro &amp; Indexation'!Z$16)))</f>
        <v>0</v>
      </c>
      <c r="AA25" s="40">
        <f ca="1">IF(AA$6&lt;$B25,0,IF(AA$6=$B25,'Growth Engine'!AA$10*'Macro &amp; Indexation'!AA$19,Z25*(1+'Macro &amp; Indexation'!AA$16)))</f>
        <v>0</v>
      </c>
      <c r="AB25" s="40">
        <f ca="1">IF(AB$6&lt;$B25,0,IF(AB$6=$B25,'Growth Engine'!AB$10*'Macro &amp; Indexation'!AB$19,AA25*(1+'Macro &amp; Indexation'!AB$16)))</f>
        <v>0</v>
      </c>
      <c r="AC25" s="40">
        <f ca="1">IF(AC$6&lt;$B25,0,IF(AC$6=$B25,'Growth Engine'!AC$10*'Macro &amp; Indexation'!AC$19,AB25*(1+'Macro &amp; Indexation'!AC$16)))</f>
        <v>0</v>
      </c>
      <c r="AD25" s="40">
        <f ca="1">IF(AD$6&lt;$B25,0,IF(AD$6=$B25,'Growth Engine'!AD$10*'Macro &amp; Indexation'!AD$19,AC25*(1+'Macro &amp; Indexation'!AD$16)))</f>
        <v>0</v>
      </c>
      <c r="AE25" s="40">
        <f ca="1">IF(AE$6&lt;$B25,0,IF(AE$6=$B25,'Growth Engine'!AE$10*'Macro &amp; Indexation'!AE$19,AD25*(1+'Macro &amp; Indexation'!AE$16)))</f>
        <v>0</v>
      </c>
      <c r="AF25" s="40">
        <f ca="1">IF(AF$6&lt;$B25,0,IF(AF$6=$B25,'Growth Engine'!AF$10*'Macro &amp; Indexation'!AF$19,AE25*(1+'Macro &amp; Indexation'!AF$16)))</f>
        <v>0</v>
      </c>
      <c r="AG25" s="40">
        <f ca="1">IF(AG$6&lt;$B25,0,IF(AG$6=$B25,'Growth Engine'!AG$10*'Macro &amp; Indexation'!AG$19,AF25*(1+'Macro &amp; Indexation'!AG$16)))</f>
        <v>0</v>
      </c>
      <c r="AH25" s="40">
        <f ca="1">IF(AH$6&lt;$B25,0,IF(AH$6=$B25,'Growth Engine'!AH$10*'Macro &amp; Indexation'!AH$19,AG25*(1+'Macro &amp; Indexation'!AH$16)))</f>
        <v>0</v>
      </c>
      <c r="AI25" s="40">
        <f ca="1">IF(AI$6&lt;$B25,0,IF(AI$6=$B25,'Growth Engine'!AI$10*'Macro &amp; Indexation'!AI$19,AH25*(1+'Macro &amp; Indexation'!AI$16)))</f>
        <v>0</v>
      </c>
      <c r="AJ25" s="40">
        <f ca="1">IF(AJ$6&lt;$B25,0,IF(AJ$6=$B25,'Growth Engine'!AJ$10*'Macro &amp; Indexation'!AJ$19,AI25*(1+'Macro &amp; Indexation'!AJ$16)))</f>
        <v>0</v>
      </c>
      <c r="AK25" s="40">
        <f ca="1">IF(AK$6&lt;$B25,0,IF(AK$6=$B25,'Growth Engine'!AK$10*'Macro &amp; Indexation'!AK$19,AJ25*(1+'Macro &amp; Indexation'!AK$16)))</f>
        <v>0</v>
      </c>
      <c r="AL25" s="40">
        <f ca="1">IF(AL$6&lt;$B25,0,IF(AL$6=$B25,'Growth Engine'!AL$10*'Macro &amp; Indexation'!AL$19,AK25*(1+'Macro &amp; Indexation'!AL$16)))</f>
        <v>0</v>
      </c>
      <c r="AM25" s="40">
        <f ca="1">IF(AM$6&lt;$B25,0,IF(AM$6=$B25,'Growth Engine'!AM$10*'Macro &amp; Indexation'!AM$19,AL25*(1+'Macro &amp; Indexation'!AM$16)))</f>
        <v>0</v>
      </c>
      <c r="AN25" s="40">
        <f ca="1">IF(AN$6&lt;$B25,0,IF(AN$6=$B25,'Growth Engine'!AN$10*'Macro &amp; Indexation'!AN$19,AM25*(1+'Macro &amp; Indexation'!AN$16)))</f>
        <v>0</v>
      </c>
      <c r="AO25" s="40">
        <f ca="1">IF(AO$6&lt;$B25,0,IF(AO$6=$B25,'Growth Engine'!AO$10*'Macro &amp; Indexation'!AO$19,AN25*(1+'Macro &amp; Indexation'!AO$16)))</f>
        <v>0</v>
      </c>
      <c r="AP25" s="40">
        <f ca="1">IF(AP$6&lt;$B25,0,IF(AP$6=$B25,'Growth Engine'!AP$10*'Macro &amp; Indexation'!AP$19,AO25*(1+'Macro &amp; Indexation'!AP$16)))</f>
        <v>0</v>
      </c>
      <c r="AQ25" s="40">
        <f ca="1">IF(AQ$6&lt;$B25,0,IF(AQ$6=$B25,'Growth Engine'!AQ$10*'Macro &amp; Indexation'!AQ$19,AP25*(1+'Macro &amp; Indexation'!AQ$16)))</f>
        <v>0</v>
      </c>
      <c r="AR25" s="40">
        <f ca="1">IF(AR$6&lt;$B25,0,IF(AR$6=$B25,'Growth Engine'!AR$10*'Macro &amp; Indexation'!AR$19,AQ25*(1+'Macro &amp; Indexation'!AR$16)))</f>
        <v>0</v>
      </c>
      <c r="AS25" s="40">
        <f ca="1">IF(AS$6&lt;$B25,0,IF(AS$6=$B25,'Growth Engine'!AS$10*'Macro &amp; Indexation'!AS$19,AR25*(1+'Macro &amp; Indexation'!AS$16)))</f>
        <v>0</v>
      </c>
      <c r="AT25" s="40">
        <f ca="1">IF(AT$6&lt;$B25,0,IF(AT$6=$B25,'Growth Engine'!AT$10*'Macro &amp; Indexation'!AT$19,AS25*(1+'Macro &amp; Indexation'!AT$16)))</f>
        <v>0</v>
      </c>
      <c r="AU25" s="40">
        <f ca="1">IF(AU$6&lt;$B25,0,IF(AU$6=$B25,'Growth Engine'!AU$10*'Macro &amp; Indexation'!AU$19,AT25*(1+'Macro &amp; Indexation'!AU$16)))</f>
        <v>0</v>
      </c>
      <c r="AV25" s="40">
        <f ca="1">IF(AV$6&lt;$B25,0,IF(AV$6=$B25,'Growth Engine'!AV$10*'Macro &amp; Indexation'!AV$19,AU25*(1+'Macro &amp; Indexation'!AV$16)))</f>
        <v>0</v>
      </c>
      <c r="AW25" s="40">
        <f ca="1">IF(AW$6&lt;$B25,0,IF(AW$6=$B25,'Growth Engine'!AW$10*'Macro &amp; Indexation'!AW$19,AV25*(1+'Macro &amp; Indexation'!AW$16)))</f>
        <v>0</v>
      </c>
      <c r="AX25" s="40">
        <f ca="1">IF(AX$6&lt;$B25,0,IF(AX$6=$B25,'Growth Engine'!AX$10*'Macro &amp; Indexation'!AX$19,AW25*(1+'Macro &amp; Indexation'!AX$16)))</f>
        <v>0</v>
      </c>
      <c r="AY25" s="40">
        <f ca="1">IF(AY$6&lt;$B25,0,IF(AY$6=$B25,'Growth Engine'!AY$10*'Macro &amp; Indexation'!AY$19,AX25*(1+'Macro &amp; Indexation'!AY$16)))</f>
        <v>0</v>
      </c>
      <c r="AZ25" s="40">
        <f ca="1">IF(AZ$6&lt;$B25,0,IF(AZ$6=$B25,'Growth Engine'!AZ$10*'Macro &amp; Indexation'!AZ$19,AY25*(1+'Macro &amp; Indexation'!AZ$16)))</f>
        <v>0</v>
      </c>
      <c r="BA25" s="40">
        <f ca="1">IF(BA$6&lt;$B25,0,IF(BA$6=$B25,'Growth Engine'!BA$10*'Macro &amp; Indexation'!BA$19,AZ25*(1+'Macro &amp; Indexation'!BA$16)))</f>
        <v>0</v>
      </c>
    </row>
    <row r="26" spans="1:53" outlineLevel="1" x14ac:dyDescent="0.3">
      <c r="A26" t="s">
        <v>153</v>
      </c>
      <c r="B26">
        <v>17</v>
      </c>
      <c r="D26" s="40">
        <f>IF(D$6&lt;$B26,0,IF(D$6=$B26,'Growth Engine'!D$10*'Macro &amp; Indexation'!D$19,C26*(1+'Macro &amp; Indexation'!D$16)))</f>
        <v>0</v>
      </c>
      <c r="E26" s="40">
        <f>IF(E$6&lt;$B26,0,IF(E$6=$B26,'Growth Engine'!E$10*'Macro &amp; Indexation'!E$19,D26*(1+'Macro &amp; Indexation'!E$16)))</f>
        <v>0</v>
      </c>
      <c r="F26" s="40">
        <f>IF(F$6&lt;$B26,0,IF(F$6=$B26,'Growth Engine'!F$10*'Macro &amp; Indexation'!F$19,E26*(1+'Macro &amp; Indexation'!F$16)))</f>
        <v>0</v>
      </c>
      <c r="G26" s="40">
        <f>IF(G$6&lt;$B26,0,IF(G$6=$B26,'Growth Engine'!G$10*'Macro &amp; Indexation'!G$19,F26*(1+'Macro &amp; Indexation'!G$16)))</f>
        <v>0</v>
      </c>
      <c r="H26" s="40">
        <f>IF(H$6&lt;$B26,0,IF(H$6=$B26,'Growth Engine'!H$10*'Macro &amp; Indexation'!H$19,G26*(1+'Macro &amp; Indexation'!H$16)))</f>
        <v>0</v>
      </c>
      <c r="I26" s="40">
        <f>IF(I$6&lt;$B26,0,IF(I$6=$B26,'Growth Engine'!I$10*'Macro &amp; Indexation'!I$19,H26*(1+'Macro &amp; Indexation'!I$16)))</f>
        <v>0</v>
      </c>
      <c r="J26" s="40">
        <f>IF(J$6&lt;$B26,0,IF(J$6=$B26,'Growth Engine'!J$10*'Macro &amp; Indexation'!J$19,I26*(1+'Macro &amp; Indexation'!J$16)))</f>
        <v>0</v>
      </c>
      <c r="K26" s="40">
        <f>IF(K$6&lt;$B26,0,IF(K$6=$B26,'Growth Engine'!K$10*'Macro &amp; Indexation'!K$19,J26*(1+'Macro &amp; Indexation'!K$16)))</f>
        <v>0</v>
      </c>
      <c r="L26" s="40">
        <f>IF(L$6&lt;$B26,0,IF(L$6=$B26,'Growth Engine'!L$10*'Macro &amp; Indexation'!L$19,K26*(1+'Macro &amp; Indexation'!L$16)))</f>
        <v>0</v>
      </c>
      <c r="M26" s="40">
        <f>IF(M$6&lt;$B26,0,IF(M$6=$B26,'Growth Engine'!M$10*'Macro &amp; Indexation'!M$19,L26*(1+'Macro &amp; Indexation'!M$16)))</f>
        <v>0</v>
      </c>
      <c r="N26" s="40">
        <f>IF(N$6&lt;$B26,0,IF(N$6=$B26,'Growth Engine'!N$10*'Macro &amp; Indexation'!N$19,M26*(1+'Macro &amp; Indexation'!N$16)))</f>
        <v>0</v>
      </c>
      <c r="O26" s="40">
        <f>IF(O$6&lt;$B26,0,IF(O$6=$B26,'Growth Engine'!O$10*'Macro &amp; Indexation'!O$19,N26*(1+'Macro &amp; Indexation'!O$16)))</f>
        <v>0</v>
      </c>
      <c r="P26" s="40">
        <f>IF(P$6&lt;$B26,0,IF(P$6=$B26,'Growth Engine'!P$10*'Macro &amp; Indexation'!P$19,O26*(1+'Macro &amp; Indexation'!P$16)))</f>
        <v>0</v>
      </c>
      <c r="Q26" s="40">
        <f>IF(Q$6&lt;$B26,0,IF(Q$6=$B26,'Growth Engine'!Q$10*'Macro &amp; Indexation'!Q$19,P26*(1+'Macro &amp; Indexation'!Q$16)))</f>
        <v>0</v>
      </c>
      <c r="R26" s="40">
        <f>IF(R$6&lt;$B26,0,IF(R$6=$B26,'Growth Engine'!R$10*'Macro &amp; Indexation'!R$19,Q26*(1+'Macro &amp; Indexation'!R$16)))</f>
        <v>0</v>
      </c>
      <c r="S26" s="40">
        <f>IF(S$6&lt;$B26,0,IF(S$6=$B26,'Growth Engine'!S$10*'Macro &amp; Indexation'!S$19,R26*(1+'Macro &amp; Indexation'!S$16)))</f>
        <v>0</v>
      </c>
      <c r="T26" s="40">
        <f ca="1">IF(T$6&lt;$B26,0,IF(T$6=$B26,'Growth Engine'!T$10*'Macro &amp; Indexation'!T$19,S26*(1+'Macro &amp; Indexation'!T$16)))</f>
        <v>0</v>
      </c>
      <c r="U26" s="40">
        <f ca="1">IF(U$6&lt;$B26,0,IF(U$6=$B26,'Growth Engine'!U$10*'Macro &amp; Indexation'!U$19,T26*(1+'Macro &amp; Indexation'!U$16)))</f>
        <v>0</v>
      </c>
      <c r="V26" s="40">
        <f ca="1">IF(V$6&lt;$B26,0,IF(V$6=$B26,'Growth Engine'!V$10*'Macro &amp; Indexation'!V$19,U26*(1+'Macro &amp; Indexation'!V$16)))</f>
        <v>0</v>
      </c>
      <c r="W26" s="40">
        <f ca="1">IF(W$6&lt;$B26,0,IF(W$6=$B26,'Growth Engine'!W$10*'Macro &amp; Indexation'!W$19,V26*(1+'Macro &amp; Indexation'!W$16)))</f>
        <v>0</v>
      </c>
      <c r="X26" s="40">
        <f ca="1">IF(X$6&lt;$B26,0,IF(X$6=$B26,'Growth Engine'!X$10*'Macro &amp; Indexation'!X$19,W26*(1+'Macro &amp; Indexation'!X$16)))</f>
        <v>0</v>
      </c>
      <c r="Y26" s="40">
        <f ca="1">IF(Y$6&lt;$B26,0,IF(Y$6=$B26,'Growth Engine'!Y$10*'Macro &amp; Indexation'!Y$19,X26*(1+'Macro &amp; Indexation'!Y$16)))</f>
        <v>0</v>
      </c>
      <c r="Z26" s="40">
        <f ca="1">IF(Z$6&lt;$B26,0,IF(Z$6=$B26,'Growth Engine'!Z$10*'Macro &amp; Indexation'!Z$19,Y26*(1+'Macro &amp; Indexation'!Z$16)))</f>
        <v>0</v>
      </c>
      <c r="AA26" s="40">
        <f ca="1">IF(AA$6&lt;$B26,0,IF(AA$6=$B26,'Growth Engine'!AA$10*'Macro &amp; Indexation'!AA$19,Z26*(1+'Macro &amp; Indexation'!AA$16)))</f>
        <v>0</v>
      </c>
      <c r="AB26" s="40">
        <f ca="1">IF(AB$6&lt;$B26,0,IF(AB$6=$B26,'Growth Engine'!AB$10*'Macro &amp; Indexation'!AB$19,AA26*(1+'Macro &amp; Indexation'!AB$16)))</f>
        <v>0</v>
      </c>
      <c r="AC26" s="40">
        <f ca="1">IF(AC$6&lt;$B26,0,IF(AC$6=$B26,'Growth Engine'!AC$10*'Macro &amp; Indexation'!AC$19,AB26*(1+'Macro &amp; Indexation'!AC$16)))</f>
        <v>0</v>
      </c>
      <c r="AD26" s="40">
        <f ca="1">IF(AD$6&lt;$B26,0,IF(AD$6=$B26,'Growth Engine'!AD$10*'Macro &amp; Indexation'!AD$19,AC26*(1+'Macro &amp; Indexation'!AD$16)))</f>
        <v>0</v>
      </c>
      <c r="AE26" s="40">
        <f ca="1">IF(AE$6&lt;$B26,0,IF(AE$6=$B26,'Growth Engine'!AE$10*'Macro &amp; Indexation'!AE$19,AD26*(1+'Macro &amp; Indexation'!AE$16)))</f>
        <v>0</v>
      </c>
      <c r="AF26" s="40">
        <f ca="1">IF(AF$6&lt;$B26,0,IF(AF$6=$B26,'Growth Engine'!AF$10*'Macro &amp; Indexation'!AF$19,AE26*(1+'Macro &amp; Indexation'!AF$16)))</f>
        <v>0</v>
      </c>
      <c r="AG26" s="40">
        <f ca="1">IF(AG$6&lt;$B26,0,IF(AG$6=$B26,'Growth Engine'!AG$10*'Macro &amp; Indexation'!AG$19,AF26*(1+'Macro &amp; Indexation'!AG$16)))</f>
        <v>0</v>
      </c>
      <c r="AH26" s="40">
        <f ca="1">IF(AH$6&lt;$B26,0,IF(AH$6=$B26,'Growth Engine'!AH$10*'Macro &amp; Indexation'!AH$19,AG26*(1+'Macro &amp; Indexation'!AH$16)))</f>
        <v>0</v>
      </c>
      <c r="AI26" s="40">
        <f ca="1">IF(AI$6&lt;$B26,0,IF(AI$6=$B26,'Growth Engine'!AI$10*'Macro &amp; Indexation'!AI$19,AH26*(1+'Macro &amp; Indexation'!AI$16)))</f>
        <v>0</v>
      </c>
      <c r="AJ26" s="40">
        <f ca="1">IF(AJ$6&lt;$B26,0,IF(AJ$6=$B26,'Growth Engine'!AJ$10*'Macro &amp; Indexation'!AJ$19,AI26*(1+'Macro &amp; Indexation'!AJ$16)))</f>
        <v>0</v>
      </c>
      <c r="AK26" s="40">
        <f ca="1">IF(AK$6&lt;$B26,0,IF(AK$6=$B26,'Growth Engine'!AK$10*'Macro &amp; Indexation'!AK$19,AJ26*(1+'Macro &amp; Indexation'!AK$16)))</f>
        <v>0</v>
      </c>
      <c r="AL26" s="40">
        <f ca="1">IF(AL$6&lt;$B26,0,IF(AL$6=$B26,'Growth Engine'!AL$10*'Macro &amp; Indexation'!AL$19,AK26*(1+'Macro &amp; Indexation'!AL$16)))</f>
        <v>0</v>
      </c>
      <c r="AM26" s="40">
        <f ca="1">IF(AM$6&lt;$B26,0,IF(AM$6=$B26,'Growth Engine'!AM$10*'Macro &amp; Indexation'!AM$19,AL26*(1+'Macro &amp; Indexation'!AM$16)))</f>
        <v>0</v>
      </c>
      <c r="AN26" s="40">
        <f ca="1">IF(AN$6&lt;$B26,0,IF(AN$6=$B26,'Growth Engine'!AN$10*'Macro &amp; Indexation'!AN$19,AM26*(1+'Macro &amp; Indexation'!AN$16)))</f>
        <v>0</v>
      </c>
      <c r="AO26" s="40">
        <f ca="1">IF(AO$6&lt;$B26,0,IF(AO$6=$B26,'Growth Engine'!AO$10*'Macro &amp; Indexation'!AO$19,AN26*(1+'Macro &amp; Indexation'!AO$16)))</f>
        <v>0</v>
      </c>
      <c r="AP26" s="40">
        <f ca="1">IF(AP$6&lt;$B26,0,IF(AP$6=$B26,'Growth Engine'!AP$10*'Macro &amp; Indexation'!AP$19,AO26*(1+'Macro &amp; Indexation'!AP$16)))</f>
        <v>0</v>
      </c>
      <c r="AQ26" s="40">
        <f ca="1">IF(AQ$6&lt;$B26,0,IF(AQ$6=$B26,'Growth Engine'!AQ$10*'Macro &amp; Indexation'!AQ$19,AP26*(1+'Macro &amp; Indexation'!AQ$16)))</f>
        <v>0</v>
      </c>
      <c r="AR26" s="40">
        <f ca="1">IF(AR$6&lt;$B26,0,IF(AR$6=$B26,'Growth Engine'!AR$10*'Macro &amp; Indexation'!AR$19,AQ26*(1+'Macro &amp; Indexation'!AR$16)))</f>
        <v>0</v>
      </c>
      <c r="AS26" s="40">
        <f ca="1">IF(AS$6&lt;$B26,0,IF(AS$6=$B26,'Growth Engine'!AS$10*'Macro &amp; Indexation'!AS$19,AR26*(1+'Macro &amp; Indexation'!AS$16)))</f>
        <v>0</v>
      </c>
      <c r="AT26" s="40">
        <f ca="1">IF(AT$6&lt;$B26,0,IF(AT$6=$B26,'Growth Engine'!AT$10*'Macro &amp; Indexation'!AT$19,AS26*(1+'Macro &amp; Indexation'!AT$16)))</f>
        <v>0</v>
      </c>
      <c r="AU26" s="40">
        <f ca="1">IF(AU$6&lt;$B26,0,IF(AU$6=$B26,'Growth Engine'!AU$10*'Macro &amp; Indexation'!AU$19,AT26*(1+'Macro &amp; Indexation'!AU$16)))</f>
        <v>0</v>
      </c>
      <c r="AV26" s="40">
        <f ca="1">IF(AV$6&lt;$B26,0,IF(AV$6=$B26,'Growth Engine'!AV$10*'Macro &amp; Indexation'!AV$19,AU26*(1+'Macro &amp; Indexation'!AV$16)))</f>
        <v>0</v>
      </c>
      <c r="AW26" s="40">
        <f ca="1">IF(AW$6&lt;$B26,0,IF(AW$6=$B26,'Growth Engine'!AW$10*'Macro &amp; Indexation'!AW$19,AV26*(1+'Macro &amp; Indexation'!AW$16)))</f>
        <v>0</v>
      </c>
      <c r="AX26" s="40">
        <f ca="1">IF(AX$6&lt;$B26,0,IF(AX$6=$B26,'Growth Engine'!AX$10*'Macro &amp; Indexation'!AX$19,AW26*(1+'Macro &amp; Indexation'!AX$16)))</f>
        <v>0</v>
      </c>
      <c r="AY26" s="40">
        <f ca="1">IF(AY$6&lt;$B26,0,IF(AY$6=$B26,'Growth Engine'!AY$10*'Macro &amp; Indexation'!AY$19,AX26*(1+'Macro &amp; Indexation'!AY$16)))</f>
        <v>0</v>
      </c>
      <c r="AZ26" s="40">
        <f ca="1">IF(AZ$6&lt;$B26,0,IF(AZ$6=$B26,'Growth Engine'!AZ$10*'Macro &amp; Indexation'!AZ$19,AY26*(1+'Macro &amp; Indexation'!AZ$16)))</f>
        <v>0</v>
      </c>
      <c r="BA26" s="40">
        <f ca="1">IF(BA$6&lt;$B26,0,IF(BA$6=$B26,'Growth Engine'!BA$10*'Macro &amp; Indexation'!BA$19,AZ26*(1+'Macro &amp; Indexation'!BA$16)))</f>
        <v>0</v>
      </c>
    </row>
    <row r="27" spans="1:53" outlineLevel="1" x14ac:dyDescent="0.3">
      <c r="A27" t="s">
        <v>154</v>
      </c>
      <c r="B27">
        <v>18</v>
      </c>
      <c r="D27" s="40">
        <f>IF(D$6&lt;$B27,0,IF(D$6=$B27,'Growth Engine'!D$10*'Macro &amp; Indexation'!D$19,C27*(1+'Macro &amp; Indexation'!D$16)))</f>
        <v>0</v>
      </c>
      <c r="E27" s="40">
        <f>IF(E$6&lt;$B27,0,IF(E$6=$B27,'Growth Engine'!E$10*'Macro &amp; Indexation'!E$19,D27*(1+'Macro &amp; Indexation'!E$16)))</f>
        <v>0</v>
      </c>
      <c r="F27" s="40">
        <f>IF(F$6&lt;$B27,0,IF(F$6=$B27,'Growth Engine'!F$10*'Macro &amp; Indexation'!F$19,E27*(1+'Macro &amp; Indexation'!F$16)))</f>
        <v>0</v>
      </c>
      <c r="G27" s="40">
        <f>IF(G$6&lt;$B27,0,IF(G$6=$B27,'Growth Engine'!G$10*'Macro &amp; Indexation'!G$19,F27*(1+'Macro &amp; Indexation'!G$16)))</f>
        <v>0</v>
      </c>
      <c r="H27" s="40">
        <f>IF(H$6&lt;$B27,0,IF(H$6=$B27,'Growth Engine'!H$10*'Macro &amp; Indexation'!H$19,G27*(1+'Macro &amp; Indexation'!H$16)))</f>
        <v>0</v>
      </c>
      <c r="I27" s="40">
        <f>IF(I$6&lt;$B27,0,IF(I$6=$B27,'Growth Engine'!I$10*'Macro &amp; Indexation'!I$19,H27*(1+'Macro &amp; Indexation'!I$16)))</f>
        <v>0</v>
      </c>
      <c r="J27" s="40">
        <f>IF(J$6&lt;$B27,0,IF(J$6=$B27,'Growth Engine'!J$10*'Macro &amp; Indexation'!J$19,I27*(1+'Macro &amp; Indexation'!J$16)))</f>
        <v>0</v>
      </c>
      <c r="K27" s="40">
        <f>IF(K$6&lt;$B27,0,IF(K$6=$B27,'Growth Engine'!K$10*'Macro &amp; Indexation'!K$19,J27*(1+'Macro &amp; Indexation'!K$16)))</f>
        <v>0</v>
      </c>
      <c r="L27" s="40">
        <f>IF(L$6&lt;$B27,0,IF(L$6=$B27,'Growth Engine'!L$10*'Macro &amp; Indexation'!L$19,K27*(1+'Macro &amp; Indexation'!L$16)))</f>
        <v>0</v>
      </c>
      <c r="M27" s="40">
        <f>IF(M$6&lt;$B27,0,IF(M$6=$B27,'Growth Engine'!M$10*'Macro &amp; Indexation'!M$19,L27*(1+'Macro &amp; Indexation'!M$16)))</f>
        <v>0</v>
      </c>
      <c r="N27" s="40">
        <f>IF(N$6&lt;$B27,0,IF(N$6=$B27,'Growth Engine'!N$10*'Macro &amp; Indexation'!N$19,M27*(1+'Macro &amp; Indexation'!N$16)))</f>
        <v>0</v>
      </c>
      <c r="O27" s="40">
        <f>IF(O$6&lt;$B27,0,IF(O$6=$B27,'Growth Engine'!O$10*'Macro &amp; Indexation'!O$19,N27*(1+'Macro &amp; Indexation'!O$16)))</f>
        <v>0</v>
      </c>
      <c r="P27" s="40">
        <f>IF(P$6&lt;$B27,0,IF(P$6=$B27,'Growth Engine'!P$10*'Macro &amp; Indexation'!P$19,O27*(1+'Macro &amp; Indexation'!P$16)))</f>
        <v>0</v>
      </c>
      <c r="Q27" s="40">
        <f>IF(Q$6&lt;$B27,0,IF(Q$6=$B27,'Growth Engine'!Q$10*'Macro &amp; Indexation'!Q$19,P27*(1+'Macro &amp; Indexation'!Q$16)))</f>
        <v>0</v>
      </c>
      <c r="R27" s="40">
        <f>IF(R$6&lt;$B27,0,IF(R$6=$B27,'Growth Engine'!R$10*'Macro &amp; Indexation'!R$19,Q27*(1+'Macro &amp; Indexation'!R$16)))</f>
        <v>0</v>
      </c>
      <c r="S27" s="40">
        <f>IF(S$6&lt;$B27,0,IF(S$6=$B27,'Growth Engine'!S$10*'Macro &amp; Indexation'!S$19,R27*(1+'Macro &amp; Indexation'!S$16)))</f>
        <v>0</v>
      </c>
      <c r="T27" s="40">
        <f>IF(T$6&lt;$B27,0,IF(T$6=$B27,'Growth Engine'!T$10*'Macro &amp; Indexation'!T$19,S27*(1+'Macro &amp; Indexation'!T$16)))</f>
        <v>0</v>
      </c>
      <c r="U27" s="40">
        <f ca="1">IF(U$6&lt;$B27,0,IF(U$6=$B27,'Growth Engine'!U$10*'Macro &amp; Indexation'!U$19,T27*(1+'Macro &amp; Indexation'!U$16)))</f>
        <v>0</v>
      </c>
      <c r="V27" s="40">
        <f ca="1">IF(V$6&lt;$B27,0,IF(V$6=$B27,'Growth Engine'!V$10*'Macro &amp; Indexation'!V$19,U27*(1+'Macro &amp; Indexation'!V$16)))</f>
        <v>0</v>
      </c>
      <c r="W27" s="40">
        <f ca="1">IF(W$6&lt;$B27,0,IF(W$6=$B27,'Growth Engine'!W$10*'Macro &amp; Indexation'!W$19,V27*(1+'Macro &amp; Indexation'!W$16)))</f>
        <v>0</v>
      </c>
      <c r="X27" s="40">
        <f ca="1">IF(X$6&lt;$B27,0,IF(X$6=$B27,'Growth Engine'!X$10*'Macro &amp; Indexation'!X$19,W27*(1+'Macro &amp; Indexation'!X$16)))</f>
        <v>0</v>
      </c>
      <c r="Y27" s="40">
        <f ca="1">IF(Y$6&lt;$B27,0,IF(Y$6=$B27,'Growth Engine'!Y$10*'Macro &amp; Indexation'!Y$19,X27*(1+'Macro &amp; Indexation'!Y$16)))</f>
        <v>0</v>
      </c>
      <c r="Z27" s="40">
        <f ca="1">IF(Z$6&lt;$B27,0,IF(Z$6=$B27,'Growth Engine'!Z$10*'Macro &amp; Indexation'!Z$19,Y27*(1+'Macro &amp; Indexation'!Z$16)))</f>
        <v>0</v>
      </c>
      <c r="AA27" s="40">
        <f ca="1">IF(AA$6&lt;$B27,0,IF(AA$6=$B27,'Growth Engine'!AA$10*'Macro &amp; Indexation'!AA$19,Z27*(1+'Macro &amp; Indexation'!AA$16)))</f>
        <v>0</v>
      </c>
      <c r="AB27" s="40">
        <f ca="1">IF(AB$6&lt;$B27,0,IF(AB$6=$B27,'Growth Engine'!AB$10*'Macro &amp; Indexation'!AB$19,AA27*(1+'Macro &amp; Indexation'!AB$16)))</f>
        <v>0</v>
      </c>
      <c r="AC27" s="40">
        <f ca="1">IF(AC$6&lt;$B27,0,IF(AC$6=$B27,'Growth Engine'!AC$10*'Macro &amp; Indexation'!AC$19,AB27*(1+'Macro &amp; Indexation'!AC$16)))</f>
        <v>0</v>
      </c>
      <c r="AD27" s="40">
        <f ca="1">IF(AD$6&lt;$B27,0,IF(AD$6=$B27,'Growth Engine'!AD$10*'Macro &amp; Indexation'!AD$19,AC27*(1+'Macro &amp; Indexation'!AD$16)))</f>
        <v>0</v>
      </c>
      <c r="AE27" s="40">
        <f ca="1">IF(AE$6&lt;$B27,0,IF(AE$6=$B27,'Growth Engine'!AE$10*'Macro &amp; Indexation'!AE$19,AD27*(1+'Macro &amp; Indexation'!AE$16)))</f>
        <v>0</v>
      </c>
      <c r="AF27" s="40">
        <f ca="1">IF(AF$6&lt;$B27,0,IF(AF$6=$B27,'Growth Engine'!AF$10*'Macro &amp; Indexation'!AF$19,AE27*(1+'Macro &amp; Indexation'!AF$16)))</f>
        <v>0</v>
      </c>
      <c r="AG27" s="40">
        <f ca="1">IF(AG$6&lt;$B27,0,IF(AG$6=$B27,'Growth Engine'!AG$10*'Macro &amp; Indexation'!AG$19,AF27*(1+'Macro &amp; Indexation'!AG$16)))</f>
        <v>0</v>
      </c>
      <c r="AH27" s="40">
        <f ca="1">IF(AH$6&lt;$B27,0,IF(AH$6=$B27,'Growth Engine'!AH$10*'Macro &amp; Indexation'!AH$19,AG27*(1+'Macro &amp; Indexation'!AH$16)))</f>
        <v>0</v>
      </c>
      <c r="AI27" s="40">
        <f ca="1">IF(AI$6&lt;$B27,0,IF(AI$6=$B27,'Growth Engine'!AI$10*'Macro &amp; Indexation'!AI$19,AH27*(1+'Macro &amp; Indexation'!AI$16)))</f>
        <v>0</v>
      </c>
      <c r="AJ27" s="40">
        <f ca="1">IF(AJ$6&lt;$B27,0,IF(AJ$6=$B27,'Growth Engine'!AJ$10*'Macro &amp; Indexation'!AJ$19,AI27*(1+'Macro &amp; Indexation'!AJ$16)))</f>
        <v>0</v>
      </c>
      <c r="AK27" s="40">
        <f ca="1">IF(AK$6&lt;$B27,0,IF(AK$6=$B27,'Growth Engine'!AK$10*'Macro &amp; Indexation'!AK$19,AJ27*(1+'Macro &amp; Indexation'!AK$16)))</f>
        <v>0</v>
      </c>
      <c r="AL27" s="40">
        <f ca="1">IF(AL$6&lt;$B27,0,IF(AL$6=$B27,'Growth Engine'!AL$10*'Macro &amp; Indexation'!AL$19,AK27*(1+'Macro &amp; Indexation'!AL$16)))</f>
        <v>0</v>
      </c>
      <c r="AM27" s="40">
        <f ca="1">IF(AM$6&lt;$B27,0,IF(AM$6=$B27,'Growth Engine'!AM$10*'Macro &amp; Indexation'!AM$19,AL27*(1+'Macro &amp; Indexation'!AM$16)))</f>
        <v>0</v>
      </c>
      <c r="AN27" s="40">
        <f ca="1">IF(AN$6&lt;$B27,0,IF(AN$6=$B27,'Growth Engine'!AN$10*'Macro &amp; Indexation'!AN$19,AM27*(1+'Macro &amp; Indexation'!AN$16)))</f>
        <v>0</v>
      </c>
      <c r="AO27" s="40">
        <f ca="1">IF(AO$6&lt;$B27,0,IF(AO$6=$B27,'Growth Engine'!AO$10*'Macro &amp; Indexation'!AO$19,AN27*(1+'Macro &amp; Indexation'!AO$16)))</f>
        <v>0</v>
      </c>
      <c r="AP27" s="40">
        <f ca="1">IF(AP$6&lt;$B27,0,IF(AP$6=$B27,'Growth Engine'!AP$10*'Macro &amp; Indexation'!AP$19,AO27*(1+'Macro &amp; Indexation'!AP$16)))</f>
        <v>0</v>
      </c>
      <c r="AQ27" s="40">
        <f ca="1">IF(AQ$6&lt;$B27,0,IF(AQ$6=$B27,'Growth Engine'!AQ$10*'Macro &amp; Indexation'!AQ$19,AP27*(1+'Macro &amp; Indexation'!AQ$16)))</f>
        <v>0</v>
      </c>
      <c r="AR27" s="40">
        <f ca="1">IF(AR$6&lt;$B27,0,IF(AR$6=$B27,'Growth Engine'!AR$10*'Macro &amp; Indexation'!AR$19,AQ27*(1+'Macro &amp; Indexation'!AR$16)))</f>
        <v>0</v>
      </c>
      <c r="AS27" s="40">
        <f ca="1">IF(AS$6&lt;$B27,0,IF(AS$6=$B27,'Growth Engine'!AS$10*'Macro &amp; Indexation'!AS$19,AR27*(1+'Macro &amp; Indexation'!AS$16)))</f>
        <v>0</v>
      </c>
      <c r="AT27" s="40">
        <f ca="1">IF(AT$6&lt;$B27,0,IF(AT$6=$B27,'Growth Engine'!AT$10*'Macro &amp; Indexation'!AT$19,AS27*(1+'Macro &amp; Indexation'!AT$16)))</f>
        <v>0</v>
      </c>
      <c r="AU27" s="40">
        <f ca="1">IF(AU$6&lt;$B27,0,IF(AU$6=$B27,'Growth Engine'!AU$10*'Macro &amp; Indexation'!AU$19,AT27*(1+'Macro &amp; Indexation'!AU$16)))</f>
        <v>0</v>
      </c>
      <c r="AV27" s="40">
        <f ca="1">IF(AV$6&lt;$B27,0,IF(AV$6=$B27,'Growth Engine'!AV$10*'Macro &amp; Indexation'!AV$19,AU27*(1+'Macro &amp; Indexation'!AV$16)))</f>
        <v>0</v>
      </c>
      <c r="AW27" s="40">
        <f ca="1">IF(AW$6&lt;$B27,0,IF(AW$6=$B27,'Growth Engine'!AW$10*'Macro &amp; Indexation'!AW$19,AV27*(1+'Macro &amp; Indexation'!AW$16)))</f>
        <v>0</v>
      </c>
      <c r="AX27" s="40">
        <f ca="1">IF(AX$6&lt;$B27,0,IF(AX$6=$B27,'Growth Engine'!AX$10*'Macro &amp; Indexation'!AX$19,AW27*(1+'Macro &amp; Indexation'!AX$16)))</f>
        <v>0</v>
      </c>
      <c r="AY27" s="40">
        <f ca="1">IF(AY$6&lt;$B27,0,IF(AY$6=$B27,'Growth Engine'!AY$10*'Macro &amp; Indexation'!AY$19,AX27*(1+'Macro &amp; Indexation'!AY$16)))</f>
        <v>0</v>
      </c>
      <c r="AZ27" s="40">
        <f ca="1">IF(AZ$6&lt;$B27,0,IF(AZ$6=$B27,'Growth Engine'!AZ$10*'Macro &amp; Indexation'!AZ$19,AY27*(1+'Macro &amp; Indexation'!AZ$16)))</f>
        <v>0</v>
      </c>
      <c r="BA27" s="40">
        <f ca="1">IF(BA$6&lt;$B27,0,IF(BA$6=$B27,'Growth Engine'!BA$10*'Macro &amp; Indexation'!BA$19,AZ27*(1+'Macro &amp; Indexation'!BA$16)))</f>
        <v>0</v>
      </c>
    </row>
    <row r="28" spans="1:53" outlineLevel="1" x14ac:dyDescent="0.3">
      <c r="A28" t="s">
        <v>155</v>
      </c>
      <c r="B28">
        <v>19</v>
      </c>
      <c r="D28" s="40">
        <f>IF(D$6&lt;$B28,0,IF(D$6=$B28,'Growth Engine'!D$10*'Macro &amp; Indexation'!D$19,C28*(1+'Macro &amp; Indexation'!D$16)))</f>
        <v>0</v>
      </c>
      <c r="E28" s="40">
        <f>IF(E$6&lt;$B28,0,IF(E$6=$B28,'Growth Engine'!E$10*'Macro &amp; Indexation'!E$19,D28*(1+'Macro &amp; Indexation'!E$16)))</f>
        <v>0</v>
      </c>
      <c r="F28" s="40">
        <f>IF(F$6&lt;$B28,0,IF(F$6=$B28,'Growth Engine'!F$10*'Macro &amp; Indexation'!F$19,E28*(1+'Macro &amp; Indexation'!F$16)))</f>
        <v>0</v>
      </c>
      <c r="G28" s="40">
        <f>IF(G$6&lt;$B28,0,IF(G$6=$B28,'Growth Engine'!G$10*'Macro &amp; Indexation'!G$19,F28*(1+'Macro &amp; Indexation'!G$16)))</f>
        <v>0</v>
      </c>
      <c r="H28" s="40">
        <f>IF(H$6&lt;$B28,0,IF(H$6=$B28,'Growth Engine'!H$10*'Macro &amp; Indexation'!H$19,G28*(1+'Macro &amp; Indexation'!H$16)))</f>
        <v>0</v>
      </c>
      <c r="I28" s="40">
        <f>IF(I$6&lt;$B28,0,IF(I$6=$B28,'Growth Engine'!I$10*'Macro &amp; Indexation'!I$19,H28*(1+'Macro &amp; Indexation'!I$16)))</f>
        <v>0</v>
      </c>
      <c r="J28" s="40">
        <f>IF(J$6&lt;$B28,0,IF(J$6=$B28,'Growth Engine'!J$10*'Macro &amp; Indexation'!J$19,I28*(1+'Macro &amp; Indexation'!J$16)))</f>
        <v>0</v>
      </c>
      <c r="K28" s="40">
        <f>IF(K$6&lt;$B28,0,IF(K$6=$B28,'Growth Engine'!K$10*'Macro &amp; Indexation'!K$19,J28*(1+'Macro &amp; Indexation'!K$16)))</f>
        <v>0</v>
      </c>
      <c r="L28" s="40">
        <f>IF(L$6&lt;$B28,0,IF(L$6=$B28,'Growth Engine'!L$10*'Macro &amp; Indexation'!L$19,K28*(1+'Macro &amp; Indexation'!L$16)))</f>
        <v>0</v>
      </c>
      <c r="M28" s="40">
        <f>IF(M$6&lt;$B28,0,IF(M$6=$B28,'Growth Engine'!M$10*'Macro &amp; Indexation'!M$19,L28*(1+'Macro &amp; Indexation'!M$16)))</f>
        <v>0</v>
      </c>
      <c r="N28" s="40">
        <f>IF(N$6&lt;$B28,0,IF(N$6=$B28,'Growth Engine'!N$10*'Macro &amp; Indexation'!N$19,M28*(1+'Macro &amp; Indexation'!N$16)))</f>
        <v>0</v>
      </c>
      <c r="O28" s="40">
        <f>IF(O$6&lt;$B28,0,IF(O$6=$B28,'Growth Engine'!O$10*'Macro &amp; Indexation'!O$19,N28*(1+'Macro &amp; Indexation'!O$16)))</f>
        <v>0</v>
      </c>
      <c r="P28" s="40">
        <f>IF(P$6&lt;$B28,0,IF(P$6=$B28,'Growth Engine'!P$10*'Macro &amp; Indexation'!P$19,O28*(1+'Macro &amp; Indexation'!P$16)))</f>
        <v>0</v>
      </c>
      <c r="Q28" s="40">
        <f>IF(Q$6&lt;$B28,0,IF(Q$6=$B28,'Growth Engine'!Q$10*'Macro &amp; Indexation'!Q$19,P28*(1+'Macro &amp; Indexation'!Q$16)))</f>
        <v>0</v>
      </c>
      <c r="R28" s="40">
        <f>IF(R$6&lt;$B28,0,IF(R$6=$B28,'Growth Engine'!R$10*'Macro &amp; Indexation'!R$19,Q28*(1+'Macro &amp; Indexation'!R$16)))</f>
        <v>0</v>
      </c>
      <c r="S28" s="40">
        <f>IF(S$6&lt;$B28,0,IF(S$6=$B28,'Growth Engine'!S$10*'Macro &amp; Indexation'!S$19,R28*(1+'Macro &amp; Indexation'!S$16)))</f>
        <v>0</v>
      </c>
      <c r="T28" s="40">
        <f>IF(T$6&lt;$B28,0,IF(T$6=$B28,'Growth Engine'!T$10*'Macro &amp; Indexation'!T$19,S28*(1+'Macro &amp; Indexation'!T$16)))</f>
        <v>0</v>
      </c>
      <c r="U28" s="40">
        <f>IF(U$6&lt;$B28,0,IF(U$6=$B28,'Growth Engine'!U$10*'Macro &amp; Indexation'!U$19,T28*(1+'Macro &amp; Indexation'!U$16)))</f>
        <v>0</v>
      </c>
      <c r="V28" s="40">
        <f ca="1">IF(V$6&lt;$B28,0,IF(V$6=$B28,'Growth Engine'!V$10*'Macro &amp; Indexation'!V$19,U28*(1+'Macro &amp; Indexation'!V$16)))</f>
        <v>0</v>
      </c>
      <c r="W28" s="40">
        <f ca="1">IF(W$6&lt;$B28,0,IF(W$6=$B28,'Growth Engine'!W$10*'Macro &amp; Indexation'!W$19,V28*(1+'Macro &amp; Indexation'!W$16)))</f>
        <v>0</v>
      </c>
      <c r="X28" s="40">
        <f ca="1">IF(X$6&lt;$B28,0,IF(X$6=$B28,'Growth Engine'!X$10*'Macro &amp; Indexation'!X$19,W28*(1+'Macro &amp; Indexation'!X$16)))</f>
        <v>0</v>
      </c>
      <c r="Y28" s="40">
        <f ca="1">IF(Y$6&lt;$B28,0,IF(Y$6=$B28,'Growth Engine'!Y$10*'Macro &amp; Indexation'!Y$19,X28*(1+'Macro &amp; Indexation'!Y$16)))</f>
        <v>0</v>
      </c>
      <c r="Z28" s="40">
        <f ca="1">IF(Z$6&lt;$B28,0,IF(Z$6=$B28,'Growth Engine'!Z$10*'Macro &amp; Indexation'!Z$19,Y28*(1+'Macro &amp; Indexation'!Z$16)))</f>
        <v>0</v>
      </c>
      <c r="AA28" s="40">
        <f ca="1">IF(AA$6&lt;$B28,0,IF(AA$6=$B28,'Growth Engine'!AA$10*'Macro &amp; Indexation'!AA$19,Z28*(1+'Macro &amp; Indexation'!AA$16)))</f>
        <v>0</v>
      </c>
      <c r="AB28" s="40">
        <f ca="1">IF(AB$6&lt;$B28,0,IF(AB$6=$B28,'Growth Engine'!AB$10*'Macro &amp; Indexation'!AB$19,AA28*(1+'Macro &amp; Indexation'!AB$16)))</f>
        <v>0</v>
      </c>
      <c r="AC28" s="40">
        <f ca="1">IF(AC$6&lt;$B28,0,IF(AC$6=$B28,'Growth Engine'!AC$10*'Macro &amp; Indexation'!AC$19,AB28*(1+'Macro &amp; Indexation'!AC$16)))</f>
        <v>0</v>
      </c>
      <c r="AD28" s="40">
        <f ca="1">IF(AD$6&lt;$B28,0,IF(AD$6=$B28,'Growth Engine'!AD$10*'Macro &amp; Indexation'!AD$19,AC28*(1+'Macro &amp; Indexation'!AD$16)))</f>
        <v>0</v>
      </c>
      <c r="AE28" s="40">
        <f ca="1">IF(AE$6&lt;$B28,0,IF(AE$6=$B28,'Growth Engine'!AE$10*'Macro &amp; Indexation'!AE$19,AD28*(1+'Macro &amp; Indexation'!AE$16)))</f>
        <v>0</v>
      </c>
      <c r="AF28" s="40">
        <f ca="1">IF(AF$6&lt;$B28,0,IF(AF$6=$B28,'Growth Engine'!AF$10*'Macro &amp; Indexation'!AF$19,AE28*(1+'Macro &amp; Indexation'!AF$16)))</f>
        <v>0</v>
      </c>
      <c r="AG28" s="40">
        <f ca="1">IF(AG$6&lt;$B28,0,IF(AG$6=$B28,'Growth Engine'!AG$10*'Macro &amp; Indexation'!AG$19,AF28*(1+'Macro &amp; Indexation'!AG$16)))</f>
        <v>0</v>
      </c>
      <c r="AH28" s="40">
        <f ca="1">IF(AH$6&lt;$B28,0,IF(AH$6=$B28,'Growth Engine'!AH$10*'Macro &amp; Indexation'!AH$19,AG28*(1+'Macro &amp; Indexation'!AH$16)))</f>
        <v>0</v>
      </c>
      <c r="AI28" s="40">
        <f ca="1">IF(AI$6&lt;$B28,0,IF(AI$6=$B28,'Growth Engine'!AI$10*'Macro &amp; Indexation'!AI$19,AH28*(1+'Macro &amp; Indexation'!AI$16)))</f>
        <v>0</v>
      </c>
      <c r="AJ28" s="40">
        <f ca="1">IF(AJ$6&lt;$B28,0,IF(AJ$6=$B28,'Growth Engine'!AJ$10*'Macro &amp; Indexation'!AJ$19,AI28*(1+'Macro &amp; Indexation'!AJ$16)))</f>
        <v>0</v>
      </c>
      <c r="AK28" s="40">
        <f ca="1">IF(AK$6&lt;$B28,0,IF(AK$6=$B28,'Growth Engine'!AK$10*'Macro &amp; Indexation'!AK$19,AJ28*(1+'Macro &amp; Indexation'!AK$16)))</f>
        <v>0</v>
      </c>
      <c r="AL28" s="40">
        <f ca="1">IF(AL$6&lt;$B28,0,IF(AL$6=$B28,'Growth Engine'!AL$10*'Macro &amp; Indexation'!AL$19,AK28*(1+'Macro &amp; Indexation'!AL$16)))</f>
        <v>0</v>
      </c>
      <c r="AM28" s="40">
        <f ca="1">IF(AM$6&lt;$B28,0,IF(AM$6=$B28,'Growth Engine'!AM$10*'Macro &amp; Indexation'!AM$19,AL28*(1+'Macro &amp; Indexation'!AM$16)))</f>
        <v>0</v>
      </c>
      <c r="AN28" s="40">
        <f ca="1">IF(AN$6&lt;$B28,0,IF(AN$6=$B28,'Growth Engine'!AN$10*'Macro &amp; Indexation'!AN$19,AM28*(1+'Macro &amp; Indexation'!AN$16)))</f>
        <v>0</v>
      </c>
      <c r="AO28" s="40">
        <f ca="1">IF(AO$6&lt;$B28,0,IF(AO$6=$B28,'Growth Engine'!AO$10*'Macro &amp; Indexation'!AO$19,AN28*(1+'Macro &amp; Indexation'!AO$16)))</f>
        <v>0</v>
      </c>
      <c r="AP28" s="40">
        <f ca="1">IF(AP$6&lt;$B28,0,IF(AP$6=$B28,'Growth Engine'!AP$10*'Macro &amp; Indexation'!AP$19,AO28*(1+'Macro &amp; Indexation'!AP$16)))</f>
        <v>0</v>
      </c>
      <c r="AQ28" s="40">
        <f ca="1">IF(AQ$6&lt;$B28,0,IF(AQ$6=$B28,'Growth Engine'!AQ$10*'Macro &amp; Indexation'!AQ$19,AP28*(1+'Macro &amp; Indexation'!AQ$16)))</f>
        <v>0</v>
      </c>
      <c r="AR28" s="40">
        <f ca="1">IF(AR$6&lt;$B28,0,IF(AR$6=$B28,'Growth Engine'!AR$10*'Macro &amp; Indexation'!AR$19,AQ28*(1+'Macro &amp; Indexation'!AR$16)))</f>
        <v>0</v>
      </c>
      <c r="AS28" s="40">
        <f ca="1">IF(AS$6&lt;$B28,0,IF(AS$6=$B28,'Growth Engine'!AS$10*'Macro &amp; Indexation'!AS$19,AR28*(1+'Macro &amp; Indexation'!AS$16)))</f>
        <v>0</v>
      </c>
      <c r="AT28" s="40">
        <f ca="1">IF(AT$6&lt;$B28,0,IF(AT$6=$B28,'Growth Engine'!AT$10*'Macro &amp; Indexation'!AT$19,AS28*(1+'Macro &amp; Indexation'!AT$16)))</f>
        <v>0</v>
      </c>
      <c r="AU28" s="40">
        <f ca="1">IF(AU$6&lt;$B28,0,IF(AU$6=$B28,'Growth Engine'!AU$10*'Macro &amp; Indexation'!AU$19,AT28*(1+'Macro &amp; Indexation'!AU$16)))</f>
        <v>0</v>
      </c>
      <c r="AV28" s="40">
        <f ca="1">IF(AV$6&lt;$B28,0,IF(AV$6=$B28,'Growth Engine'!AV$10*'Macro &amp; Indexation'!AV$19,AU28*(1+'Macro &amp; Indexation'!AV$16)))</f>
        <v>0</v>
      </c>
      <c r="AW28" s="40">
        <f ca="1">IF(AW$6&lt;$B28,0,IF(AW$6=$B28,'Growth Engine'!AW$10*'Macro &amp; Indexation'!AW$19,AV28*(1+'Macro &amp; Indexation'!AW$16)))</f>
        <v>0</v>
      </c>
      <c r="AX28" s="40">
        <f ca="1">IF(AX$6&lt;$B28,0,IF(AX$6=$B28,'Growth Engine'!AX$10*'Macro &amp; Indexation'!AX$19,AW28*(1+'Macro &amp; Indexation'!AX$16)))</f>
        <v>0</v>
      </c>
      <c r="AY28" s="40">
        <f ca="1">IF(AY$6&lt;$B28,0,IF(AY$6=$B28,'Growth Engine'!AY$10*'Macro &amp; Indexation'!AY$19,AX28*(1+'Macro &amp; Indexation'!AY$16)))</f>
        <v>0</v>
      </c>
      <c r="AZ28" s="40">
        <f ca="1">IF(AZ$6&lt;$B28,0,IF(AZ$6=$B28,'Growth Engine'!AZ$10*'Macro &amp; Indexation'!AZ$19,AY28*(1+'Macro &amp; Indexation'!AZ$16)))</f>
        <v>0</v>
      </c>
      <c r="BA28" s="40">
        <f ca="1">IF(BA$6&lt;$B28,0,IF(BA$6=$B28,'Growth Engine'!BA$10*'Macro &amp; Indexation'!BA$19,AZ28*(1+'Macro &amp; Indexation'!BA$16)))</f>
        <v>0</v>
      </c>
    </row>
    <row r="29" spans="1:53" outlineLevel="1" x14ac:dyDescent="0.3">
      <c r="A29" t="s">
        <v>156</v>
      </c>
      <c r="B29">
        <v>20</v>
      </c>
      <c r="D29" s="40">
        <f>IF(D$6&lt;$B29,0,IF(D$6=$B29,'Growth Engine'!D$10*'Macro &amp; Indexation'!D$19,C29*(1+'Macro &amp; Indexation'!D$16)))</f>
        <v>0</v>
      </c>
      <c r="E29" s="40">
        <f>IF(E$6&lt;$B29,0,IF(E$6=$B29,'Growth Engine'!E$10*'Macro &amp; Indexation'!E$19,D29*(1+'Macro &amp; Indexation'!E$16)))</f>
        <v>0</v>
      </c>
      <c r="F29" s="40">
        <f>IF(F$6&lt;$B29,0,IF(F$6=$B29,'Growth Engine'!F$10*'Macro &amp; Indexation'!F$19,E29*(1+'Macro &amp; Indexation'!F$16)))</f>
        <v>0</v>
      </c>
      <c r="G29" s="40">
        <f>IF(G$6&lt;$B29,0,IF(G$6=$B29,'Growth Engine'!G$10*'Macro &amp; Indexation'!G$19,F29*(1+'Macro &amp; Indexation'!G$16)))</f>
        <v>0</v>
      </c>
      <c r="H29" s="40">
        <f>IF(H$6&lt;$B29,0,IF(H$6=$B29,'Growth Engine'!H$10*'Macro &amp; Indexation'!H$19,G29*(1+'Macro &amp; Indexation'!H$16)))</f>
        <v>0</v>
      </c>
      <c r="I29" s="40">
        <f>IF(I$6&lt;$B29,0,IF(I$6=$B29,'Growth Engine'!I$10*'Macro &amp; Indexation'!I$19,H29*(1+'Macro &amp; Indexation'!I$16)))</f>
        <v>0</v>
      </c>
      <c r="J29" s="40">
        <f>IF(J$6&lt;$B29,0,IF(J$6=$B29,'Growth Engine'!J$10*'Macro &amp; Indexation'!J$19,I29*(1+'Macro &amp; Indexation'!J$16)))</f>
        <v>0</v>
      </c>
      <c r="K29" s="40">
        <f>IF(K$6&lt;$B29,0,IF(K$6=$B29,'Growth Engine'!K$10*'Macro &amp; Indexation'!K$19,J29*(1+'Macro &amp; Indexation'!K$16)))</f>
        <v>0</v>
      </c>
      <c r="L29" s="40">
        <f>IF(L$6&lt;$B29,0,IF(L$6=$B29,'Growth Engine'!L$10*'Macro &amp; Indexation'!L$19,K29*(1+'Macro &amp; Indexation'!L$16)))</f>
        <v>0</v>
      </c>
      <c r="M29" s="40">
        <f>IF(M$6&lt;$B29,0,IF(M$6=$B29,'Growth Engine'!M$10*'Macro &amp; Indexation'!M$19,L29*(1+'Macro &amp; Indexation'!M$16)))</f>
        <v>0</v>
      </c>
      <c r="N29" s="40">
        <f>IF(N$6&lt;$B29,0,IF(N$6=$B29,'Growth Engine'!N$10*'Macro &amp; Indexation'!N$19,M29*(1+'Macro &amp; Indexation'!N$16)))</f>
        <v>0</v>
      </c>
      <c r="O29" s="40">
        <f>IF(O$6&lt;$B29,0,IF(O$6=$B29,'Growth Engine'!O$10*'Macro &amp; Indexation'!O$19,N29*(1+'Macro &amp; Indexation'!O$16)))</f>
        <v>0</v>
      </c>
      <c r="P29" s="40">
        <f>IF(P$6&lt;$B29,0,IF(P$6=$B29,'Growth Engine'!P$10*'Macro &amp; Indexation'!P$19,O29*(1+'Macro &amp; Indexation'!P$16)))</f>
        <v>0</v>
      </c>
      <c r="Q29" s="40">
        <f>IF(Q$6&lt;$B29,0,IF(Q$6=$B29,'Growth Engine'!Q$10*'Macro &amp; Indexation'!Q$19,P29*(1+'Macro &amp; Indexation'!Q$16)))</f>
        <v>0</v>
      </c>
      <c r="R29" s="40">
        <f>IF(R$6&lt;$B29,0,IF(R$6=$B29,'Growth Engine'!R$10*'Macro &amp; Indexation'!R$19,Q29*(1+'Macro &amp; Indexation'!R$16)))</f>
        <v>0</v>
      </c>
      <c r="S29" s="40">
        <f>IF(S$6&lt;$B29,0,IF(S$6=$B29,'Growth Engine'!S$10*'Macro &amp; Indexation'!S$19,R29*(1+'Macro &amp; Indexation'!S$16)))</f>
        <v>0</v>
      </c>
      <c r="T29" s="40">
        <f>IF(T$6&lt;$B29,0,IF(T$6=$B29,'Growth Engine'!T$10*'Macro &amp; Indexation'!T$19,S29*(1+'Macro &amp; Indexation'!T$16)))</f>
        <v>0</v>
      </c>
      <c r="U29" s="40">
        <f>IF(U$6&lt;$B29,0,IF(U$6=$B29,'Growth Engine'!U$10*'Macro &amp; Indexation'!U$19,T29*(1+'Macro &amp; Indexation'!U$16)))</f>
        <v>0</v>
      </c>
      <c r="V29" s="40">
        <f>IF(V$6&lt;$B29,0,IF(V$6=$B29,'Growth Engine'!V$10*'Macro &amp; Indexation'!V$19,U29*(1+'Macro &amp; Indexation'!V$16)))</f>
        <v>0</v>
      </c>
      <c r="W29" s="40">
        <f ca="1">IF(W$6&lt;$B29,0,IF(W$6=$B29,'Growth Engine'!W$10*'Macro &amp; Indexation'!W$19,V29*(1+'Macro &amp; Indexation'!W$16)))</f>
        <v>0</v>
      </c>
      <c r="X29" s="40">
        <f ca="1">IF(X$6&lt;$B29,0,IF(X$6=$B29,'Growth Engine'!X$10*'Macro &amp; Indexation'!X$19,W29*(1+'Macro &amp; Indexation'!X$16)))</f>
        <v>0</v>
      </c>
      <c r="Y29" s="40">
        <f ca="1">IF(Y$6&lt;$B29,0,IF(Y$6=$B29,'Growth Engine'!Y$10*'Macro &amp; Indexation'!Y$19,X29*(1+'Macro &amp; Indexation'!Y$16)))</f>
        <v>0</v>
      </c>
      <c r="Z29" s="40">
        <f ca="1">IF(Z$6&lt;$B29,0,IF(Z$6=$B29,'Growth Engine'!Z$10*'Macro &amp; Indexation'!Z$19,Y29*(1+'Macro &amp; Indexation'!Z$16)))</f>
        <v>0</v>
      </c>
      <c r="AA29" s="40">
        <f ca="1">IF(AA$6&lt;$B29,0,IF(AA$6=$B29,'Growth Engine'!AA$10*'Macro &amp; Indexation'!AA$19,Z29*(1+'Macro &amp; Indexation'!AA$16)))</f>
        <v>0</v>
      </c>
      <c r="AB29" s="40">
        <f ca="1">IF(AB$6&lt;$B29,0,IF(AB$6=$B29,'Growth Engine'!AB$10*'Macro &amp; Indexation'!AB$19,AA29*(1+'Macro &amp; Indexation'!AB$16)))</f>
        <v>0</v>
      </c>
      <c r="AC29" s="40">
        <f ca="1">IF(AC$6&lt;$B29,0,IF(AC$6=$B29,'Growth Engine'!AC$10*'Macro &amp; Indexation'!AC$19,AB29*(1+'Macro &amp; Indexation'!AC$16)))</f>
        <v>0</v>
      </c>
      <c r="AD29" s="40">
        <f ca="1">IF(AD$6&lt;$B29,0,IF(AD$6=$B29,'Growth Engine'!AD$10*'Macro &amp; Indexation'!AD$19,AC29*(1+'Macro &amp; Indexation'!AD$16)))</f>
        <v>0</v>
      </c>
      <c r="AE29" s="40">
        <f ca="1">IF(AE$6&lt;$B29,0,IF(AE$6=$B29,'Growth Engine'!AE$10*'Macro &amp; Indexation'!AE$19,AD29*(1+'Macro &amp; Indexation'!AE$16)))</f>
        <v>0</v>
      </c>
      <c r="AF29" s="40">
        <f ca="1">IF(AF$6&lt;$B29,0,IF(AF$6=$B29,'Growth Engine'!AF$10*'Macro &amp; Indexation'!AF$19,AE29*(1+'Macro &amp; Indexation'!AF$16)))</f>
        <v>0</v>
      </c>
      <c r="AG29" s="40">
        <f ca="1">IF(AG$6&lt;$B29,0,IF(AG$6=$B29,'Growth Engine'!AG$10*'Macro &amp; Indexation'!AG$19,AF29*(1+'Macro &amp; Indexation'!AG$16)))</f>
        <v>0</v>
      </c>
      <c r="AH29" s="40">
        <f ca="1">IF(AH$6&lt;$B29,0,IF(AH$6=$B29,'Growth Engine'!AH$10*'Macro &amp; Indexation'!AH$19,AG29*(1+'Macro &amp; Indexation'!AH$16)))</f>
        <v>0</v>
      </c>
      <c r="AI29" s="40">
        <f ca="1">IF(AI$6&lt;$B29,0,IF(AI$6=$B29,'Growth Engine'!AI$10*'Macro &amp; Indexation'!AI$19,AH29*(1+'Macro &amp; Indexation'!AI$16)))</f>
        <v>0</v>
      </c>
      <c r="AJ29" s="40">
        <f ca="1">IF(AJ$6&lt;$B29,0,IF(AJ$6=$B29,'Growth Engine'!AJ$10*'Macro &amp; Indexation'!AJ$19,AI29*(1+'Macro &amp; Indexation'!AJ$16)))</f>
        <v>0</v>
      </c>
      <c r="AK29" s="40">
        <f ca="1">IF(AK$6&lt;$B29,0,IF(AK$6=$B29,'Growth Engine'!AK$10*'Macro &amp; Indexation'!AK$19,AJ29*(1+'Macro &amp; Indexation'!AK$16)))</f>
        <v>0</v>
      </c>
      <c r="AL29" s="40">
        <f ca="1">IF(AL$6&lt;$B29,0,IF(AL$6=$B29,'Growth Engine'!AL$10*'Macro &amp; Indexation'!AL$19,AK29*(1+'Macro &amp; Indexation'!AL$16)))</f>
        <v>0</v>
      </c>
      <c r="AM29" s="40">
        <f ca="1">IF(AM$6&lt;$B29,0,IF(AM$6=$B29,'Growth Engine'!AM$10*'Macro &amp; Indexation'!AM$19,AL29*(1+'Macro &amp; Indexation'!AM$16)))</f>
        <v>0</v>
      </c>
      <c r="AN29" s="40">
        <f ca="1">IF(AN$6&lt;$B29,0,IF(AN$6=$B29,'Growth Engine'!AN$10*'Macro &amp; Indexation'!AN$19,AM29*(1+'Macro &amp; Indexation'!AN$16)))</f>
        <v>0</v>
      </c>
      <c r="AO29" s="40">
        <f ca="1">IF(AO$6&lt;$B29,0,IF(AO$6=$B29,'Growth Engine'!AO$10*'Macro &amp; Indexation'!AO$19,AN29*(1+'Macro &amp; Indexation'!AO$16)))</f>
        <v>0</v>
      </c>
      <c r="AP29" s="40">
        <f ca="1">IF(AP$6&lt;$B29,0,IF(AP$6=$B29,'Growth Engine'!AP$10*'Macro &amp; Indexation'!AP$19,AO29*(1+'Macro &amp; Indexation'!AP$16)))</f>
        <v>0</v>
      </c>
      <c r="AQ29" s="40">
        <f ca="1">IF(AQ$6&lt;$B29,0,IF(AQ$6=$B29,'Growth Engine'!AQ$10*'Macro &amp; Indexation'!AQ$19,AP29*(1+'Macro &amp; Indexation'!AQ$16)))</f>
        <v>0</v>
      </c>
      <c r="AR29" s="40">
        <f ca="1">IF(AR$6&lt;$B29,0,IF(AR$6=$B29,'Growth Engine'!AR$10*'Macro &amp; Indexation'!AR$19,AQ29*(1+'Macro &amp; Indexation'!AR$16)))</f>
        <v>0</v>
      </c>
      <c r="AS29" s="40">
        <f ca="1">IF(AS$6&lt;$B29,0,IF(AS$6=$B29,'Growth Engine'!AS$10*'Macro &amp; Indexation'!AS$19,AR29*(1+'Macro &amp; Indexation'!AS$16)))</f>
        <v>0</v>
      </c>
      <c r="AT29" s="40">
        <f ca="1">IF(AT$6&lt;$B29,0,IF(AT$6=$B29,'Growth Engine'!AT$10*'Macro &amp; Indexation'!AT$19,AS29*(1+'Macro &amp; Indexation'!AT$16)))</f>
        <v>0</v>
      </c>
      <c r="AU29" s="40">
        <f ca="1">IF(AU$6&lt;$B29,0,IF(AU$6=$B29,'Growth Engine'!AU$10*'Macro &amp; Indexation'!AU$19,AT29*(1+'Macro &amp; Indexation'!AU$16)))</f>
        <v>0</v>
      </c>
      <c r="AV29" s="40">
        <f ca="1">IF(AV$6&lt;$B29,0,IF(AV$6=$B29,'Growth Engine'!AV$10*'Macro &amp; Indexation'!AV$19,AU29*(1+'Macro &amp; Indexation'!AV$16)))</f>
        <v>0</v>
      </c>
      <c r="AW29" s="40">
        <f ca="1">IF(AW$6&lt;$B29,0,IF(AW$6=$B29,'Growth Engine'!AW$10*'Macro &amp; Indexation'!AW$19,AV29*(1+'Macro &amp; Indexation'!AW$16)))</f>
        <v>0</v>
      </c>
      <c r="AX29" s="40">
        <f ca="1">IF(AX$6&lt;$B29,0,IF(AX$6=$B29,'Growth Engine'!AX$10*'Macro &amp; Indexation'!AX$19,AW29*(1+'Macro &amp; Indexation'!AX$16)))</f>
        <v>0</v>
      </c>
      <c r="AY29" s="40">
        <f ca="1">IF(AY$6&lt;$B29,0,IF(AY$6=$B29,'Growth Engine'!AY$10*'Macro &amp; Indexation'!AY$19,AX29*(1+'Macro &amp; Indexation'!AY$16)))</f>
        <v>0</v>
      </c>
      <c r="AZ29" s="40">
        <f ca="1">IF(AZ$6&lt;$B29,0,IF(AZ$6=$B29,'Growth Engine'!AZ$10*'Macro &amp; Indexation'!AZ$19,AY29*(1+'Macro &amp; Indexation'!AZ$16)))</f>
        <v>0</v>
      </c>
      <c r="BA29" s="40">
        <f ca="1">IF(BA$6&lt;$B29,0,IF(BA$6=$B29,'Growth Engine'!BA$10*'Macro &amp; Indexation'!BA$19,AZ29*(1+'Macro &amp; Indexation'!BA$16)))</f>
        <v>0</v>
      </c>
    </row>
    <row r="30" spans="1:53" outlineLevel="1" x14ac:dyDescent="0.3">
      <c r="A30" t="s">
        <v>157</v>
      </c>
      <c r="B30">
        <v>21</v>
      </c>
      <c r="D30" s="40">
        <f>IF(D$6&lt;$B30,0,IF(D$6=$B30,'Growth Engine'!D$10*'Macro &amp; Indexation'!D$19,C30*(1+'Macro &amp; Indexation'!D$16)))</f>
        <v>0</v>
      </c>
      <c r="E30" s="40">
        <f>IF(E$6&lt;$B30,0,IF(E$6=$B30,'Growth Engine'!E$10*'Macro &amp; Indexation'!E$19,D30*(1+'Macro &amp; Indexation'!E$16)))</f>
        <v>0</v>
      </c>
      <c r="F30" s="40">
        <f>IF(F$6&lt;$B30,0,IF(F$6=$B30,'Growth Engine'!F$10*'Macro &amp; Indexation'!F$19,E30*(1+'Macro &amp; Indexation'!F$16)))</f>
        <v>0</v>
      </c>
      <c r="G30" s="40">
        <f>IF(G$6&lt;$B30,0,IF(G$6=$B30,'Growth Engine'!G$10*'Macro &amp; Indexation'!G$19,F30*(1+'Macro &amp; Indexation'!G$16)))</f>
        <v>0</v>
      </c>
      <c r="H30" s="40">
        <f>IF(H$6&lt;$B30,0,IF(H$6=$B30,'Growth Engine'!H$10*'Macro &amp; Indexation'!H$19,G30*(1+'Macro &amp; Indexation'!H$16)))</f>
        <v>0</v>
      </c>
      <c r="I30" s="40">
        <f>IF(I$6&lt;$B30,0,IF(I$6=$B30,'Growth Engine'!I$10*'Macro &amp; Indexation'!I$19,H30*(1+'Macro &amp; Indexation'!I$16)))</f>
        <v>0</v>
      </c>
      <c r="J30" s="40">
        <f>IF(J$6&lt;$B30,0,IF(J$6=$B30,'Growth Engine'!J$10*'Macro &amp; Indexation'!J$19,I30*(1+'Macro &amp; Indexation'!J$16)))</f>
        <v>0</v>
      </c>
      <c r="K30" s="40">
        <f>IF(K$6&lt;$B30,0,IF(K$6=$B30,'Growth Engine'!K$10*'Macro &amp; Indexation'!K$19,J30*(1+'Macro &amp; Indexation'!K$16)))</f>
        <v>0</v>
      </c>
      <c r="L30" s="40">
        <f>IF(L$6&lt;$B30,0,IF(L$6=$B30,'Growth Engine'!L$10*'Macro &amp; Indexation'!L$19,K30*(1+'Macro &amp; Indexation'!L$16)))</f>
        <v>0</v>
      </c>
      <c r="M30" s="40">
        <f>IF(M$6&lt;$B30,0,IF(M$6=$B30,'Growth Engine'!M$10*'Macro &amp; Indexation'!M$19,L30*(1+'Macro &amp; Indexation'!M$16)))</f>
        <v>0</v>
      </c>
      <c r="N30" s="40">
        <f>IF(N$6&lt;$B30,0,IF(N$6=$B30,'Growth Engine'!N$10*'Macro &amp; Indexation'!N$19,M30*(1+'Macro &amp; Indexation'!N$16)))</f>
        <v>0</v>
      </c>
      <c r="O30" s="40">
        <f>IF(O$6&lt;$B30,0,IF(O$6=$B30,'Growth Engine'!O$10*'Macro &amp; Indexation'!O$19,N30*(1+'Macro &amp; Indexation'!O$16)))</f>
        <v>0</v>
      </c>
      <c r="P30" s="40">
        <f>IF(P$6&lt;$B30,0,IF(P$6=$B30,'Growth Engine'!P$10*'Macro &amp; Indexation'!P$19,O30*(1+'Macro &amp; Indexation'!P$16)))</f>
        <v>0</v>
      </c>
      <c r="Q30" s="40">
        <f>IF(Q$6&lt;$B30,0,IF(Q$6=$B30,'Growth Engine'!Q$10*'Macro &amp; Indexation'!Q$19,P30*(1+'Macro &amp; Indexation'!Q$16)))</f>
        <v>0</v>
      </c>
      <c r="R30" s="40">
        <f>IF(R$6&lt;$B30,0,IF(R$6=$B30,'Growth Engine'!R$10*'Macro &amp; Indexation'!R$19,Q30*(1+'Macro &amp; Indexation'!R$16)))</f>
        <v>0</v>
      </c>
      <c r="S30" s="40">
        <f>IF(S$6&lt;$B30,0,IF(S$6=$B30,'Growth Engine'!S$10*'Macro &amp; Indexation'!S$19,R30*(1+'Macro &amp; Indexation'!S$16)))</f>
        <v>0</v>
      </c>
      <c r="T30" s="40">
        <f>IF(T$6&lt;$B30,0,IF(T$6=$B30,'Growth Engine'!T$10*'Macro &amp; Indexation'!T$19,S30*(1+'Macro &amp; Indexation'!T$16)))</f>
        <v>0</v>
      </c>
      <c r="U30" s="40">
        <f>IF(U$6&lt;$B30,0,IF(U$6=$B30,'Growth Engine'!U$10*'Macro &amp; Indexation'!U$19,T30*(1+'Macro &amp; Indexation'!U$16)))</f>
        <v>0</v>
      </c>
      <c r="V30" s="40">
        <f>IF(V$6&lt;$B30,0,IF(V$6=$B30,'Growth Engine'!V$10*'Macro &amp; Indexation'!V$19,U30*(1+'Macro &amp; Indexation'!V$16)))</f>
        <v>0</v>
      </c>
      <c r="W30" s="40">
        <f>IF(W$6&lt;$B30,0,IF(W$6=$B30,'Growth Engine'!W$10*'Macro &amp; Indexation'!W$19,V30*(1+'Macro &amp; Indexation'!W$16)))</f>
        <v>0</v>
      </c>
      <c r="X30" s="40">
        <f ca="1">IF(X$6&lt;$B30,0,IF(X$6=$B30,'Growth Engine'!X$10*'Macro &amp; Indexation'!X$19,W30*(1+'Macro &amp; Indexation'!X$16)))</f>
        <v>0</v>
      </c>
      <c r="Y30" s="40">
        <f ca="1">IF(Y$6&lt;$B30,0,IF(Y$6=$B30,'Growth Engine'!Y$10*'Macro &amp; Indexation'!Y$19,X30*(1+'Macro &amp; Indexation'!Y$16)))</f>
        <v>0</v>
      </c>
      <c r="Z30" s="40">
        <f ca="1">IF(Z$6&lt;$B30,0,IF(Z$6=$B30,'Growth Engine'!Z$10*'Macro &amp; Indexation'!Z$19,Y30*(1+'Macro &amp; Indexation'!Z$16)))</f>
        <v>0</v>
      </c>
      <c r="AA30" s="40">
        <f ca="1">IF(AA$6&lt;$B30,0,IF(AA$6=$B30,'Growth Engine'!AA$10*'Macro &amp; Indexation'!AA$19,Z30*(1+'Macro &amp; Indexation'!AA$16)))</f>
        <v>0</v>
      </c>
      <c r="AB30" s="40">
        <f ca="1">IF(AB$6&lt;$B30,0,IF(AB$6=$B30,'Growth Engine'!AB$10*'Macro &amp; Indexation'!AB$19,AA30*(1+'Macro &amp; Indexation'!AB$16)))</f>
        <v>0</v>
      </c>
      <c r="AC30" s="40">
        <f ca="1">IF(AC$6&lt;$B30,0,IF(AC$6=$B30,'Growth Engine'!AC$10*'Macro &amp; Indexation'!AC$19,AB30*(1+'Macro &amp; Indexation'!AC$16)))</f>
        <v>0</v>
      </c>
      <c r="AD30" s="40">
        <f ca="1">IF(AD$6&lt;$B30,0,IF(AD$6=$B30,'Growth Engine'!AD$10*'Macro &amp; Indexation'!AD$19,AC30*(1+'Macro &amp; Indexation'!AD$16)))</f>
        <v>0</v>
      </c>
      <c r="AE30" s="40">
        <f ca="1">IF(AE$6&lt;$B30,0,IF(AE$6=$B30,'Growth Engine'!AE$10*'Macro &amp; Indexation'!AE$19,AD30*(1+'Macro &amp; Indexation'!AE$16)))</f>
        <v>0</v>
      </c>
      <c r="AF30" s="40">
        <f ca="1">IF(AF$6&lt;$B30,0,IF(AF$6=$B30,'Growth Engine'!AF$10*'Macro &amp; Indexation'!AF$19,AE30*(1+'Macro &amp; Indexation'!AF$16)))</f>
        <v>0</v>
      </c>
      <c r="AG30" s="40">
        <f ca="1">IF(AG$6&lt;$B30,0,IF(AG$6=$B30,'Growth Engine'!AG$10*'Macro &amp; Indexation'!AG$19,AF30*(1+'Macro &amp; Indexation'!AG$16)))</f>
        <v>0</v>
      </c>
      <c r="AH30" s="40">
        <f ca="1">IF(AH$6&lt;$B30,0,IF(AH$6=$B30,'Growth Engine'!AH$10*'Macro &amp; Indexation'!AH$19,AG30*(1+'Macro &amp; Indexation'!AH$16)))</f>
        <v>0</v>
      </c>
      <c r="AI30" s="40">
        <f ca="1">IF(AI$6&lt;$B30,0,IF(AI$6=$B30,'Growth Engine'!AI$10*'Macro &amp; Indexation'!AI$19,AH30*(1+'Macro &amp; Indexation'!AI$16)))</f>
        <v>0</v>
      </c>
      <c r="AJ30" s="40">
        <f ca="1">IF(AJ$6&lt;$B30,0,IF(AJ$6=$B30,'Growth Engine'!AJ$10*'Macro &amp; Indexation'!AJ$19,AI30*(1+'Macro &amp; Indexation'!AJ$16)))</f>
        <v>0</v>
      </c>
      <c r="AK30" s="40">
        <f ca="1">IF(AK$6&lt;$B30,0,IF(AK$6=$B30,'Growth Engine'!AK$10*'Macro &amp; Indexation'!AK$19,AJ30*(1+'Macro &amp; Indexation'!AK$16)))</f>
        <v>0</v>
      </c>
      <c r="AL30" s="40">
        <f ca="1">IF(AL$6&lt;$B30,0,IF(AL$6=$B30,'Growth Engine'!AL$10*'Macro &amp; Indexation'!AL$19,AK30*(1+'Macro &amp; Indexation'!AL$16)))</f>
        <v>0</v>
      </c>
      <c r="AM30" s="40">
        <f ca="1">IF(AM$6&lt;$B30,0,IF(AM$6=$B30,'Growth Engine'!AM$10*'Macro &amp; Indexation'!AM$19,AL30*(1+'Macro &amp; Indexation'!AM$16)))</f>
        <v>0</v>
      </c>
      <c r="AN30" s="40">
        <f ca="1">IF(AN$6&lt;$B30,0,IF(AN$6=$B30,'Growth Engine'!AN$10*'Macro &amp; Indexation'!AN$19,AM30*(1+'Macro &amp; Indexation'!AN$16)))</f>
        <v>0</v>
      </c>
      <c r="AO30" s="40">
        <f ca="1">IF(AO$6&lt;$B30,0,IF(AO$6=$B30,'Growth Engine'!AO$10*'Macro &amp; Indexation'!AO$19,AN30*(1+'Macro &amp; Indexation'!AO$16)))</f>
        <v>0</v>
      </c>
      <c r="AP30" s="40">
        <f ca="1">IF(AP$6&lt;$B30,0,IF(AP$6=$B30,'Growth Engine'!AP$10*'Macro &amp; Indexation'!AP$19,AO30*(1+'Macro &amp; Indexation'!AP$16)))</f>
        <v>0</v>
      </c>
      <c r="AQ30" s="40">
        <f ca="1">IF(AQ$6&lt;$B30,0,IF(AQ$6=$B30,'Growth Engine'!AQ$10*'Macro &amp; Indexation'!AQ$19,AP30*(1+'Macro &amp; Indexation'!AQ$16)))</f>
        <v>0</v>
      </c>
      <c r="AR30" s="40">
        <f ca="1">IF(AR$6&lt;$B30,0,IF(AR$6=$B30,'Growth Engine'!AR$10*'Macro &amp; Indexation'!AR$19,AQ30*(1+'Macro &amp; Indexation'!AR$16)))</f>
        <v>0</v>
      </c>
      <c r="AS30" s="40">
        <f ca="1">IF(AS$6&lt;$B30,0,IF(AS$6=$B30,'Growth Engine'!AS$10*'Macro &amp; Indexation'!AS$19,AR30*(1+'Macro &amp; Indexation'!AS$16)))</f>
        <v>0</v>
      </c>
      <c r="AT30" s="40">
        <f ca="1">IF(AT$6&lt;$B30,0,IF(AT$6=$B30,'Growth Engine'!AT$10*'Macro &amp; Indexation'!AT$19,AS30*(1+'Macro &amp; Indexation'!AT$16)))</f>
        <v>0</v>
      </c>
      <c r="AU30" s="40">
        <f ca="1">IF(AU$6&lt;$B30,0,IF(AU$6=$B30,'Growth Engine'!AU$10*'Macro &amp; Indexation'!AU$19,AT30*(1+'Macro &amp; Indexation'!AU$16)))</f>
        <v>0</v>
      </c>
      <c r="AV30" s="40">
        <f ca="1">IF(AV$6&lt;$B30,0,IF(AV$6=$B30,'Growth Engine'!AV$10*'Macro &amp; Indexation'!AV$19,AU30*(1+'Macro &amp; Indexation'!AV$16)))</f>
        <v>0</v>
      </c>
      <c r="AW30" s="40">
        <f ca="1">IF(AW$6&lt;$B30,0,IF(AW$6=$B30,'Growth Engine'!AW$10*'Macro &amp; Indexation'!AW$19,AV30*(1+'Macro &amp; Indexation'!AW$16)))</f>
        <v>0</v>
      </c>
      <c r="AX30" s="40">
        <f ca="1">IF(AX$6&lt;$B30,0,IF(AX$6=$B30,'Growth Engine'!AX$10*'Macro &amp; Indexation'!AX$19,AW30*(1+'Macro &amp; Indexation'!AX$16)))</f>
        <v>0</v>
      </c>
      <c r="AY30" s="40">
        <f ca="1">IF(AY$6&lt;$B30,0,IF(AY$6=$B30,'Growth Engine'!AY$10*'Macro &amp; Indexation'!AY$19,AX30*(1+'Macro &amp; Indexation'!AY$16)))</f>
        <v>0</v>
      </c>
      <c r="AZ30" s="40">
        <f ca="1">IF(AZ$6&lt;$B30,0,IF(AZ$6=$B30,'Growth Engine'!AZ$10*'Macro &amp; Indexation'!AZ$19,AY30*(1+'Macro &amp; Indexation'!AZ$16)))</f>
        <v>0</v>
      </c>
      <c r="BA30" s="40">
        <f ca="1">IF(BA$6&lt;$B30,0,IF(BA$6=$B30,'Growth Engine'!BA$10*'Macro &amp; Indexation'!BA$19,AZ30*(1+'Macro &amp; Indexation'!BA$16)))</f>
        <v>0</v>
      </c>
    </row>
    <row r="31" spans="1:53" outlineLevel="1" x14ac:dyDescent="0.3">
      <c r="A31" t="s">
        <v>158</v>
      </c>
      <c r="B31">
        <v>22</v>
      </c>
      <c r="D31" s="40">
        <f>IF(D$6&lt;$B31,0,IF(D$6=$B31,'Growth Engine'!D$10*'Macro &amp; Indexation'!D$19,C31*(1+'Macro &amp; Indexation'!D$16)))</f>
        <v>0</v>
      </c>
      <c r="E31" s="40">
        <f>IF(E$6&lt;$B31,0,IF(E$6=$B31,'Growth Engine'!E$10*'Macro &amp; Indexation'!E$19,D31*(1+'Macro &amp; Indexation'!E$16)))</f>
        <v>0</v>
      </c>
      <c r="F31" s="40">
        <f>IF(F$6&lt;$B31,0,IF(F$6=$B31,'Growth Engine'!F$10*'Macro &amp; Indexation'!F$19,E31*(1+'Macro &amp; Indexation'!F$16)))</f>
        <v>0</v>
      </c>
      <c r="G31" s="40">
        <f>IF(G$6&lt;$B31,0,IF(G$6=$B31,'Growth Engine'!G$10*'Macro &amp; Indexation'!G$19,F31*(1+'Macro &amp; Indexation'!G$16)))</f>
        <v>0</v>
      </c>
      <c r="H31" s="40">
        <f>IF(H$6&lt;$B31,0,IF(H$6=$B31,'Growth Engine'!H$10*'Macro &amp; Indexation'!H$19,G31*(1+'Macro &amp; Indexation'!H$16)))</f>
        <v>0</v>
      </c>
      <c r="I31" s="40">
        <f>IF(I$6&lt;$B31,0,IF(I$6=$B31,'Growth Engine'!I$10*'Macro &amp; Indexation'!I$19,H31*(1+'Macro &amp; Indexation'!I$16)))</f>
        <v>0</v>
      </c>
      <c r="J31" s="40">
        <f>IF(J$6&lt;$B31,0,IF(J$6=$B31,'Growth Engine'!J$10*'Macro &amp; Indexation'!J$19,I31*(1+'Macro &amp; Indexation'!J$16)))</f>
        <v>0</v>
      </c>
      <c r="K31" s="40">
        <f>IF(K$6&lt;$B31,0,IF(K$6=$B31,'Growth Engine'!K$10*'Macro &amp; Indexation'!K$19,J31*(1+'Macro &amp; Indexation'!K$16)))</f>
        <v>0</v>
      </c>
      <c r="L31" s="40">
        <f>IF(L$6&lt;$B31,0,IF(L$6=$B31,'Growth Engine'!L$10*'Macro &amp; Indexation'!L$19,K31*(1+'Macro &amp; Indexation'!L$16)))</f>
        <v>0</v>
      </c>
      <c r="M31" s="40">
        <f>IF(M$6&lt;$B31,0,IF(M$6=$B31,'Growth Engine'!M$10*'Macro &amp; Indexation'!M$19,L31*(1+'Macro &amp; Indexation'!M$16)))</f>
        <v>0</v>
      </c>
      <c r="N31" s="40">
        <f>IF(N$6&lt;$B31,0,IF(N$6=$B31,'Growth Engine'!N$10*'Macro &amp; Indexation'!N$19,M31*(1+'Macro &amp; Indexation'!N$16)))</f>
        <v>0</v>
      </c>
      <c r="O31" s="40">
        <f>IF(O$6&lt;$B31,0,IF(O$6=$B31,'Growth Engine'!O$10*'Macro &amp; Indexation'!O$19,N31*(1+'Macro &amp; Indexation'!O$16)))</f>
        <v>0</v>
      </c>
      <c r="P31" s="40">
        <f>IF(P$6&lt;$B31,0,IF(P$6=$B31,'Growth Engine'!P$10*'Macro &amp; Indexation'!P$19,O31*(1+'Macro &amp; Indexation'!P$16)))</f>
        <v>0</v>
      </c>
      <c r="Q31" s="40">
        <f>IF(Q$6&lt;$B31,0,IF(Q$6=$B31,'Growth Engine'!Q$10*'Macro &amp; Indexation'!Q$19,P31*(1+'Macro &amp; Indexation'!Q$16)))</f>
        <v>0</v>
      </c>
      <c r="R31" s="40">
        <f>IF(R$6&lt;$B31,0,IF(R$6=$B31,'Growth Engine'!R$10*'Macro &amp; Indexation'!R$19,Q31*(1+'Macro &amp; Indexation'!R$16)))</f>
        <v>0</v>
      </c>
      <c r="S31" s="40">
        <f>IF(S$6&lt;$B31,0,IF(S$6=$B31,'Growth Engine'!S$10*'Macro &amp; Indexation'!S$19,R31*(1+'Macro &amp; Indexation'!S$16)))</f>
        <v>0</v>
      </c>
      <c r="T31" s="40">
        <f>IF(T$6&lt;$B31,0,IF(T$6=$B31,'Growth Engine'!T$10*'Macro &amp; Indexation'!T$19,S31*(1+'Macro &amp; Indexation'!T$16)))</f>
        <v>0</v>
      </c>
      <c r="U31" s="40">
        <f>IF(U$6&lt;$B31,0,IF(U$6=$B31,'Growth Engine'!U$10*'Macro &amp; Indexation'!U$19,T31*(1+'Macro &amp; Indexation'!U$16)))</f>
        <v>0</v>
      </c>
      <c r="V31" s="40">
        <f>IF(V$6&lt;$B31,0,IF(V$6=$B31,'Growth Engine'!V$10*'Macro &amp; Indexation'!V$19,U31*(1+'Macro &amp; Indexation'!V$16)))</f>
        <v>0</v>
      </c>
      <c r="W31" s="40">
        <f>IF(W$6&lt;$B31,0,IF(W$6=$B31,'Growth Engine'!W$10*'Macro &amp; Indexation'!W$19,V31*(1+'Macro &amp; Indexation'!W$16)))</f>
        <v>0</v>
      </c>
      <c r="X31" s="40">
        <f>IF(X$6&lt;$B31,0,IF(X$6=$B31,'Growth Engine'!X$10*'Macro &amp; Indexation'!X$19,W31*(1+'Macro &amp; Indexation'!X$16)))</f>
        <v>0</v>
      </c>
      <c r="Y31" s="40">
        <f ca="1">IF(Y$6&lt;$B31,0,IF(Y$6=$B31,'Growth Engine'!Y$10*'Macro &amp; Indexation'!Y$19,X31*(1+'Macro &amp; Indexation'!Y$16)))</f>
        <v>0</v>
      </c>
      <c r="Z31" s="40">
        <f ca="1">IF(Z$6&lt;$B31,0,IF(Z$6=$B31,'Growth Engine'!Z$10*'Macro &amp; Indexation'!Z$19,Y31*(1+'Macro &amp; Indexation'!Z$16)))</f>
        <v>0</v>
      </c>
      <c r="AA31" s="40">
        <f ca="1">IF(AA$6&lt;$B31,0,IF(AA$6=$B31,'Growth Engine'!AA$10*'Macro &amp; Indexation'!AA$19,Z31*(1+'Macro &amp; Indexation'!AA$16)))</f>
        <v>0</v>
      </c>
      <c r="AB31" s="40">
        <f ca="1">IF(AB$6&lt;$B31,0,IF(AB$6=$B31,'Growth Engine'!AB$10*'Macro &amp; Indexation'!AB$19,AA31*(1+'Macro &amp; Indexation'!AB$16)))</f>
        <v>0</v>
      </c>
      <c r="AC31" s="40">
        <f ca="1">IF(AC$6&lt;$B31,0,IF(AC$6=$B31,'Growth Engine'!AC$10*'Macro &amp; Indexation'!AC$19,AB31*(1+'Macro &amp; Indexation'!AC$16)))</f>
        <v>0</v>
      </c>
      <c r="AD31" s="40">
        <f ca="1">IF(AD$6&lt;$B31,0,IF(AD$6=$B31,'Growth Engine'!AD$10*'Macro &amp; Indexation'!AD$19,AC31*(1+'Macro &amp; Indexation'!AD$16)))</f>
        <v>0</v>
      </c>
      <c r="AE31" s="40">
        <f ca="1">IF(AE$6&lt;$B31,0,IF(AE$6=$B31,'Growth Engine'!AE$10*'Macro &amp; Indexation'!AE$19,AD31*(1+'Macro &amp; Indexation'!AE$16)))</f>
        <v>0</v>
      </c>
      <c r="AF31" s="40">
        <f ca="1">IF(AF$6&lt;$B31,0,IF(AF$6=$B31,'Growth Engine'!AF$10*'Macro &amp; Indexation'!AF$19,AE31*(1+'Macro &amp; Indexation'!AF$16)))</f>
        <v>0</v>
      </c>
      <c r="AG31" s="40">
        <f ca="1">IF(AG$6&lt;$B31,0,IF(AG$6=$B31,'Growth Engine'!AG$10*'Macro &amp; Indexation'!AG$19,AF31*(1+'Macro &amp; Indexation'!AG$16)))</f>
        <v>0</v>
      </c>
      <c r="AH31" s="40">
        <f ca="1">IF(AH$6&lt;$B31,0,IF(AH$6=$B31,'Growth Engine'!AH$10*'Macro &amp; Indexation'!AH$19,AG31*(1+'Macro &amp; Indexation'!AH$16)))</f>
        <v>0</v>
      </c>
      <c r="AI31" s="40">
        <f ca="1">IF(AI$6&lt;$B31,0,IF(AI$6=$B31,'Growth Engine'!AI$10*'Macro &amp; Indexation'!AI$19,AH31*(1+'Macro &amp; Indexation'!AI$16)))</f>
        <v>0</v>
      </c>
      <c r="AJ31" s="40">
        <f ca="1">IF(AJ$6&lt;$B31,0,IF(AJ$6=$B31,'Growth Engine'!AJ$10*'Macro &amp; Indexation'!AJ$19,AI31*(1+'Macro &amp; Indexation'!AJ$16)))</f>
        <v>0</v>
      </c>
      <c r="AK31" s="40">
        <f ca="1">IF(AK$6&lt;$B31,0,IF(AK$6=$B31,'Growth Engine'!AK$10*'Macro &amp; Indexation'!AK$19,AJ31*(1+'Macro &amp; Indexation'!AK$16)))</f>
        <v>0</v>
      </c>
      <c r="AL31" s="40">
        <f ca="1">IF(AL$6&lt;$B31,0,IF(AL$6=$B31,'Growth Engine'!AL$10*'Macro &amp; Indexation'!AL$19,AK31*(1+'Macro &amp; Indexation'!AL$16)))</f>
        <v>0</v>
      </c>
      <c r="AM31" s="40">
        <f ca="1">IF(AM$6&lt;$B31,0,IF(AM$6=$B31,'Growth Engine'!AM$10*'Macro &amp; Indexation'!AM$19,AL31*(1+'Macro &amp; Indexation'!AM$16)))</f>
        <v>0</v>
      </c>
      <c r="AN31" s="40">
        <f ca="1">IF(AN$6&lt;$B31,0,IF(AN$6=$B31,'Growth Engine'!AN$10*'Macro &amp; Indexation'!AN$19,AM31*(1+'Macro &amp; Indexation'!AN$16)))</f>
        <v>0</v>
      </c>
      <c r="AO31" s="40">
        <f ca="1">IF(AO$6&lt;$B31,0,IF(AO$6=$B31,'Growth Engine'!AO$10*'Macro &amp; Indexation'!AO$19,AN31*(1+'Macro &amp; Indexation'!AO$16)))</f>
        <v>0</v>
      </c>
      <c r="AP31" s="40">
        <f ca="1">IF(AP$6&lt;$B31,0,IF(AP$6=$B31,'Growth Engine'!AP$10*'Macro &amp; Indexation'!AP$19,AO31*(1+'Macro &amp; Indexation'!AP$16)))</f>
        <v>0</v>
      </c>
      <c r="AQ31" s="40">
        <f ca="1">IF(AQ$6&lt;$B31,0,IF(AQ$6=$B31,'Growth Engine'!AQ$10*'Macro &amp; Indexation'!AQ$19,AP31*(1+'Macro &amp; Indexation'!AQ$16)))</f>
        <v>0</v>
      </c>
      <c r="AR31" s="40">
        <f ca="1">IF(AR$6&lt;$B31,0,IF(AR$6=$B31,'Growth Engine'!AR$10*'Macro &amp; Indexation'!AR$19,AQ31*(1+'Macro &amp; Indexation'!AR$16)))</f>
        <v>0</v>
      </c>
      <c r="AS31" s="40">
        <f ca="1">IF(AS$6&lt;$B31,0,IF(AS$6=$B31,'Growth Engine'!AS$10*'Macro &amp; Indexation'!AS$19,AR31*(1+'Macro &amp; Indexation'!AS$16)))</f>
        <v>0</v>
      </c>
      <c r="AT31" s="40">
        <f ca="1">IF(AT$6&lt;$B31,0,IF(AT$6=$B31,'Growth Engine'!AT$10*'Macro &amp; Indexation'!AT$19,AS31*(1+'Macro &amp; Indexation'!AT$16)))</f>
        <v>0</v>
      </c>
      <c r="AU31" s="40">
        <f ca="1">IF(AU$6&lt;$B31,0,IF(AU$6=$B31,'Growth Engine'!AU$10*'Macro &amp; Indexation'!AU$19,AT31*(1+'Macro &amp; Indexation'!AU$16)))</f>
        <v>0</v>
      </c>
      <c r="AV31" s="40">
        <f ca="1">IF(AV$6&lt;$B31,0,IF(AV$6=$B31,'Growth Engine'!AV$10*'Macro &amp; Indexation'!AV$19,AU31*(1+'Macro &amp; Indexation'!AV$16)))</f>
        <v>0</v>
      </c>
      <c r="AW31" s="40">
        <f ca="1">IF(AW$6&lt;$B31,0,IF(AW$6=$B31,'Growth Engine'!AW$10*'Macro &amp; Indexation'!AW$19,AV31*(1+'Macro &amp; Indexation'!AW$16)))</f>
        <v>0</v>
      </c>
      <c r="AX31" s="40">
        <f ca="1">IF(AX$6&lt;$B31,0,IF(AX$6=$B31,'Growth Engine'!AX$10*'Macro &amp; Indexation'!AX$19,AW31*(1+'Macro &amp; Indexation'!AX$16)))</f>
        <v>0</v>
      </c>
      <c r="AY31" s="40">
        <f ca="1">IF(AY$6&lt;$B31,0,IF(AY$6=$B31,'Growth Engine'!AY$10*'Macro &amp; Indexation'!AY$19,AX31*(1+'Macro &amp; Indexation'!AY$16)))</f>
        <v>0</v>
      </c>
      <c r="AZ31" s="40">
        <f ca="1">IF(AZ$6&lt;$B31,0,IF(AZ$6=$B31,'Growth Engine'!AZ$10*'Macro &amp; Indexation'!AZ$19,AY31*(1+'Macro &amp; Indexation'!AZ$16)))</f>
        <v>0</v>
      </c>
      <c r="BA31" s="40">
        <f ca="1">IF(BA$6&lt;$B31,0,IF(BA$6=$B31,'Growth Engine'!BA$10*'Macro &amp; Indexation'!BA$19,AZ31*(1+'Macro &amp; Indexation'!BA$16)))</f>
        <v>0</v>
      </c>
    </row>
    <row r="32" spans="1:53" outlineLevel="1" x14ac:dyDescent="0.3">
      <c r="A32" t="s">
        <v>159</v>
      </c>
      <c r="B32">
        <v>23</v>
      </c>
      <c r="D32" s="40">
        <f>IF(D$6&lt;$B32,0,IF(D$6=$B32,'Growth Engine'!D$10*'Macro &amp; Indexation'!D$19,C32*(1+'Macro &amp; Indexation'!D$16)))</f>
        <v>0</v>
      </c>
      <c r="E32" s="40">
        <f>IF(E$6&lt;$B32,0,IF(E$6=$B32,'Growth Engine'!E$10*'Macro &amp; Indexation'!E$19,D32*(1+'Macro &amp; Indexation'!E$16)))</f>
        <v>0</v>
      </c>
      <c r="F32" s="40">
        <f>IF(F$6&lt;$B32,0,IF(F$6=$B32,'Growth Engine'!F$10*'Macro &amp; Indexation'!F$19,E32*(1+'Macro &amp; Indexation'!F$16)))</f>
        <v>0</v>
      </c>
      <c r="G32" s="40">
        <f>IF(G$6&lt;$B32,0,IF(G$6=$B32,'Growth Engine'!G$10*'Macro &amp; Indexation'!G$19,F32*(1+'Macro &amp; Indexation'!G$16)))</f>
        <v>0</v>
      </c>
      <c r="H32" s="40">
        <f>IF(H$6&lt;$B32,0,IF(H$6=$B32,'Growth Engine'!H$10*'Macro &amp; Indexation'!H$19,G32*(1+'Macro &amp; Indexation'!H$16)))</f>
        <v>0</v>
      </c>
      <c r="I32" s="40">
        <f>IF(I$6&lt;$B32,0,IF(I$6=$B32,'Growth Engine'!I$10*'Macro &amp; Indexation'!I$19,H32*(1+'Macro &amp; Indexation'!I$16)))</f>
        <v>0</v>
      </c>
      <c r="J32" s="40">
        <f>IF(J$6&lt;$B32,0,IF(J$6=$B32,'Growth Engine'!J$10*'Macro &amp; Indexation'!J$19,I32*(1+'Macro &amp; Indexation'!J$16)))</f>
        <v>0</v>
      </c>
      <c r="K32" s="40">
        <f>IF(K$6&lt;$B32,0,IF(K$6=$B32,'Growth Engine'!K$10*'Macro &amp; Indexation'!K$19,J32*(1+'Macro &amp; Indexation'!K$16)))</f>
        <v>0</v>
      </c>
      <c r="L32" s="40">
        <f>IF(L$6&lt;$B32,0,IF(L$6=$B32,'Growth Engine'!L$10*'Macro &amp; Indexation'!L$19,K32*(1+'Macro &amp; Indexation'!L$16)))</f>
        <v>0</v>
      </c>
      <c r="M32" s="40">
        <f>IF(M$6&lt;$B32,0,IF(M$6=$B32,'Growth Engine'!M$10*'Macro &amp; Indexation'!M$19,L32*(1+'Macro &amp; Indexation'!M$16)))</f>
        <v>0</v>
      </c>
      <c r="N32" s="40">
        <f>IF(N$6&lt;$B32,0,IF(N$6=$B32,'Growth Engine'!N$10*'Macro &amp; Indexation'!N$19,M32*(1+'Macro &amp; Indexation'!N$16)))</f>
        <v>0</v>
      </c>
      <c r="O32" s="40">
        <f>IF(O$6&lt;$B32,0,IF(O$6=$B32,'Growth Engine'!O$10*'Macro &amp; Indexation'!O$19,N32*(1+'Macro &amp; Indexation'!O$16)))</f>
        <v>0</v>
      </c>
      <c r="P32" s="40">
        <f>IF(P$6&lt;$B32,0,IF(P$6=$B32,'Growth Engine'!P$10*'Macro &amp; Indexation'!P$19,O32*(1+'Macro &amp; Indexation'!P$16)))</f>
        <v>0</v>
      </c>
      <c r="Q32" s="40">
        <f>IF(Q$6&lt;$B32,0,IF(Q$6=$B32,'Growth Engine'!Q$10*'Macro &amp; Indexation'!Q$19,P32*(1+'Macro &amp; Indexation'!Q$16)))</f>
        <v>0</v>
      </c>
      <c r="R32" s="40">
        <f>IF(R$6&lt;$B32,0,IF(R$6=$B32,'Growth Engine'!R$10*'Macro &amp; Indexation'!R$19,Q32*(1+'Macro &amp; Indexation'!R$16)))</f>
        <v>0</v>
      </c>
      <c r="S32" s="40">
        <f>IF(S$6&lt;$B32,0,IF(S$6=$B32,'Growth Engine'!S$10*'Macro &amp; Indexation'!S$19,R32*(1+'Macro &amp; Indexation'!S$16)))</f>
        <v>0</v>
      </c>
      <c r="T32" s="40">
        <f>IF(T$6&lt;$B32,0,IF(T$6=$B32,'Growth Engine'!T$10*'Macro &amp; Indexation'!T$19,S32*(1+'Macro &amp; Indexation'!T$16)))</f>
        <v>0</v>
      </c>
      <c r="U32" s="40">
        <f>IF(U$6&lt;$B32,0,IF(U$6=$B32,'Growth Engine'!U$10*'Macro &amp; Indexation'!U$19,T32*(1+'Macro &amp; Indexation'!U$16)))</f>
        <v>0</v>
      </c>
      <c r="V32" s="40">
        <f>IF(V$6&lt;$B32,0,IF(V$6=$B32,'Growth Engine'!V$10*'Macro &amp; Indexation'!V$19,U32*(1+'Macro &amp; Indexation'!V$16)))</f>
        <v>0</v>
      </c>
      <c r="W32" s="40">
        <f>IF(W$6&lt;$B32,0,IF(W$6=$B32,'Growth Engine'!W$10*'Macro &amp; Indexation'!W$19,V32*(1+'Macro &amp; Indexation'!W$16)))</f>
        <v>0</v>
      </c>
      <c r="X32" s="40">
        <f>IF(X$6&lt;$B32,0,IF(X$6=$B32,'Growth Engine'!X$10*'Macro &amp; Indexation'!X$19,W32*(1+'Macro &amp; Indexation'!X$16)))</f>
        <v>0</v>
      </c>
      <c r="Y32" s="40">
        <f>IF(Y$6&lt;$B32,0,IF(Y$6=$B32,'Growth Engine'!Y$10*'Macro &amp; Indexation'!Y$19,X32*(1+'Macro &amp; Indexation'!Y$16)))</f>
        <v>0</v>
      </c>
      <c r="Z32" s="40">
        <f ca="1">IF(Z$6&lt;$B32,0,IF(Z$6=$B32,'Growth Engine'!Z$10*'Macro &amp; Indexation'!Z$19,Y32*(1+'Macro &amp; Indexation'!Z$16)))</f>
        <v>596823.24107453506</v>
      </c>
      <c r="AA32" s="40">
        <f ca="1">IF(AA$6&lt;$B32,0,IF(AA$6=$B32,'Growth Engine'!AA$10*'Macro &amp; Indexation'!AA$19,Z32*(1+'Macro &amp; Indexation'!AA$16)))</f>
        <v>617712.05451214372</v>
      </c>
      <c r="AB32" s="40">
        <f ca="1">IF(AB$6&lt;$B32,0,IF(AB$6=$B32,'Growth Engine'!AB$10*'Macro &amp; Indexation'!AB$19,AA32*(1+'Macro &amp; Indexation'!AB$16)))</f>
        <v>639331.97642006865</v>
      </c>
      <c r="AC32" s="40">
        <f ca="1">IF(AC$6&lt;$B32,0,IF(AC$6=$B32,'Growth Engine'!AC$10*'Macro &amp; Indexation'!AC$19,AB32*(1+'Macro &amp; Indexation'!AC$16)))</f>
        <v>661708.59559477097</v>
      </c>
      <c r="AD32" s="40">
        <f ca="1">IF(AD$6&lt;$B32,0,IF(AD$6=$B32,'Growth Engine'!AD$10*'Macro &amp; Indexation'!AD$19,AC32*(1+'Macro &amp; Indexation'!AD$16)))</f>
        <v>684868.39644058794</v>
      </c>
      <c r="AE32" s="40">
        <f ca="1">IF(AE$6&lt;$B32,0,IF(AE$6=$B32,'Growth Engine'!AE$10*'Macro &amp; Indexation'!AE$19,AD32*(1+'Macro &amp; Indexation'!AE$16)))</f>
        <v>708838.7903160085</v>
      </c>
      <c r="AF32" s="40">
        <f ca="1">IF(AF$6&lt;$B32,0,IF(AF$6=$B32,'Growth Engine'!AF$10*'Macro &amp; Indexation'!AF$19,AE32*(1+'Macro &amp; Indexation'!AF$16)))</f>
        <v>733648.14797706879</v>
      </c>
      <c r="AG32" s="40">
        <f ca="1">IF(AG$6&lt;$B32,0,IF(AG$6=$B32,'Growth Engine'!AG$10*'Macro &amp; Indexation'!AG$19,AF32*(1+'Macro &amp; Indexation'!AG$16)))</f>
        <v>759325.83315626613</v>
      </c>
      <c r="AH32" s="40">
        <f ca="1">IF(AH$6&lt;$B32,0,IF(AH$6=$B32,'Growth Engine'!AH$10*'Macro &amp; Indexation'!AH$19,AG32*(1+'Macro &amp; Indexation'!AH$16)))</f>
        <v>785902.23731673544</v>
      </c>
      <c r="AI32" s="40">
        <f ca="1">IF(AI$6&lt;$B32,0,IF(AI$6=$B32,'Growth Engine'!AI$10*'Macro &amp; Indexation'!AI$19,AH32*(1+'Macro &amp; Indexation'!AI$16)))</f>
        <v>813408.8156228211</v>
      </c>
      <c r="AJ32" s="40">
        <f ca="1">IF(AJ$6&lt;$B32,0,IF(AJ$6=$B32,'Growth Engine'!AJ$10*'Macro &amp; Indexation'!AJ$19,AI32*(1+'Macro &amp; Indexation'!AJ$16)))</f>
        <v>841878.12416961975</v>
      </c>
      <c r="AK32" s="40">
        <f ca="1">IF(AK$6&lt;$B32,0,IF(AK$6=$B32,'Growth Engine'!AK$10*'Macro &amp; Indexation'!AK$19,AJ32*(1+'Macro &amp; Indexation'!AK$16)))</f>
        <v>871343.85851555644</v>
      </c>
      <c r="AL32" s="40">
        <f ca="1">IF(AL$6&lt;$B32,0,IF(AL$6=$B32,'Growth Engine'!AL$10*'Macro &amp; Indexation'!AL$19,AK32*(1+'Macro &amp; Indexation'!AL$16)))</f>
        <v>901840.89356360084</v>
      </c>
      <c r="AM32" s="40">
        <f ca="1">IF(AM$6&lt;$B32,0,IF(AM$6=$B32,'Growth Engine'!AM$10*'Macro &amp; Indexation'!AM$19,AL32*(1+'Macro &amp; Indexation'!AM$16)))</f>
        <v>933405.32483832678</v>
      </c>
      <c r="AN32" s="40">
        <f ca="1">IF(AN$6&lt;$B32,0,IF(AN$6=$B32,'Growth Engine'!AN$10*'Macro &amp; Indexation'!AN$19,AM32*(1+'Macro &amp; Indexation'!AN$16)))</f>
        <v>966074.51120766811</v>
      </c>
      <c r="AO32" s="40">
        <f ca="1">IF(AO$6&lt;$B32,0,IF(AO$6=$B32,'Growth Engine'!AO$10*'Macro &amp; Indexation'!AO$19,AN32*(1+'Macro &amp; Indexation'!AO$16)))</f>
        <v>999887.11909993645</v>
      </c>
      <c r="AP32" s="40">
        <f ca="1">IF(AP$6&lt;$B32,0,IF(AP$6=$B32,'Growth Engine'!AP$10*'Macro &amp; Indexation'!AP$19,AO32*(1+'Macro &amp; Indexation'!AP$16)))</f>
        <v>1034883.1682684341</v>
      </c>
      <c r="AQ32" s="40">
        <f ca="1">IF(AQ$6&lt;$B32,0,IF(AQ$6=$B32,'Growth Engine'!AQ$10*'Macro &amp; Indexation'!AQ$19,AP32*(1+'Macro &amp; Indexation'!AQ$16)))</f>
        <v>1071104.0791578293</v>
      </c>
      <c r="AR32" s="40">
        <f ca="1">IF(AR$6&lt;$B32,0,IF(AR$6=$B32,'Growth Engine'!AR$10*'Macro &amp; Indexation'!AR$19,AQ32*(1+'Macro &amp; Indexation'!AR$16)))</f>
        <v>1108592.7219283532</v>
      </c>
      <c r="AS32" s="40">
        <f ca="1">IF(AS$6&lt;$B32,0,IF(AS$6=$B32,'Growth Engine'!AS$10*'Macro &amp; Indexation'!AS$19,AR32*(1+'Macro &amp; Indexation'!AS$16)))</f>
        <v>1147393.4671958454</v>
      </c>
      <c r="AT32" s="40">
        <f ca="1">IF(AT$6&lt;$B32,0,IF(AT$6=$B32,'Growth Engine'!AT$10*'Macro &amp; Indexation'!AT$19,AS32*(1+'Macro &amp; Indexation'!AT$16)))</f>
        <v>1187552.2385477</v>
      </c>
      <c r="AU32" s="40">
        <f ca="1">IF(AU$6&lt;$B32,0,IF(AU$6=$B32,'Growth Engine'!AU$10*'Macro &amp; Indexation'!AU$19,AT32*(1+'Macro &amp; Indexation'!AU$16)))</f>
        <v>1229116.5668968693</v>
      </c>
      <c r="AV32" s="40">
        <f ca="1">IF(AV$6&lt;$B32,0,IF(AV$6=$B32,'Growth Engine'!AV$10*'Macro &amp; Indexation'!AV$19,AU32*(1+'Macro &amp; Indexation'!AV$16)))</f>
        <v>1272135.6467382596</v>
      </c>
      <c r="AW32" s="40">
        <f ca="1">IF(AW$6&lt;$B32,0,IF(AW$6=$B32,'Growth Engine'!AW$10*'Macro &amp; Indexation'!AW$19,AV32*(1+'Macro &amp; Indexation'!AW$16)))</f>
        <v>1316660.3943740986</v>
      </c>
      <c r="AX32" s="40">
        <f ca="1">IF(AX$6&lt;$B32,0,IF(AX$6=$B32,'Growth Engine'!AX$10*'Macro &amp; Indexation'!AX$19,AW32*(1+'Macro &amp; Indexation'!AX$16)))</f>
        <v>1362743.508177192</v>
      </c>
      <c r="AY32" s="40">
        <f ca="1">IF(AY$6&lt;$B32,0,IF(AY$6=$B32,'Growth Engine'!AY$10*'Macro &amp; Indexation'!AY$19,AX32*(1+'Macro &amp; Indexation'!AY$16)))</f>
        <v>1410439.5309633936</v>
      </c>
      <c r="AZ32" s="40">
        <f ca="1">IF(AZ$6&lt;$B32,0,IF(AZ$6=$B32,'Growth Engine'!AZ$10*'Macro &amp; Indexation'!AZ$19,AY32*(1+'Macro &amp; Indexation'!AZ$16)))</f>
        <v>1459804.9145471123</v>
      </c>
      <c r="BA32" s="40">
        <f ca="1">IF(BA$6&lt;$B32,0,IF(BA$6=$B32,'Growth Engine'!BA$10*'Macro &amp; Indexation'!BA$19,AZ32*(1+'Macro &amp; Indexation'!BA$16)))</f>
        <v>1510898.0865562612</v>
      </c>
    </row>
    <row r="33" spans="1:53" outlineLevel="1" x14ac:dyDescent="0.3">
      <c r="A33" t="s">
        <v>160</v>
      </c>
      <c r="B33">
        <v>24</v>
      </c>
      <c r="D33" s="40">
        <f>IF(D$6&lt;$B33,0,IF(D$6=$B33,'Growth Engine'!D$10*'Macro &amp; Indexation'!D$19,C33*(1+'Macro &amp; Indexation'!D$16)))</f>
        <v>0</v>
      </c>
      <c r="E33" s="40">
        <f>IF(E$6&lt;$B33,0,IF(E$6=$B33,'Growth Engine'!E$10*'Macro &amp; Indexation'!E$19,D33*(1+'Macro &amp; Indexation'!E$16)))</f>
        <v>0</v>
      </c>
      <c r="F33" s="40">
        <f>IF(F$6&lt;$B33,0,IF(F$6=$B33,'Growth Engine'!F$10*'Macro &amp; Indexation'!F$19,E33*(1+'Macro &amp; Indexation'!F$16)))</f>
        <v>0</v>
      </c>
      <c r="G33" s="40">
        <f>IF(G$6&lt;$B33,0,IF(G$6=$B33,'Growth Engine'!G$10*'Macro &amp; Indexation'!G$19,F33*(1+'Macro &amp; Indexation'!G$16)))</f>
        <v>0</v>
      </c>
      <c r="H33" s="40">
        <f>IF(H$6&lt;$B33,0,IF(H$6=$B33,'Growth Engine'!H$10*'Macro &amp; Indexation'!H$19,G33*(1+'Macro &amp; Indexation'!H$16)))</f>
        <v>0</v>
      </c>
      <c r="I33" s="40">
        <f>IF(I$6&lt;$B33,0,IF(I$6=$B33,'Growth Engine'!I$10*'Macro &amp; Indexation'!I$19,H33*(1+'Macro &amp; Indexation'!I$16)))</f>
        <v>0</v>
      </c>
      <c r="J33" s="40">
        <f>IF(J$6&lt;$B33,0,IF(J$6=$B33,'Growth Engine'!J$10*'Macro &amp; Indexation'!J$19,I33*(1+'Macro &amp; Indexation'!J$16)))</f>
        <v>0</v>
      </c>
      <c r="K33" s="40">
        <f>IF(K$6&lt;$B33,0,IF(K$6=$B33,'Growth Engine'!K$10*'Macro &amp; Indexation'!K$19,J33*(1+'Macro &amp; Indexation'!K$16)))</f>
        <v>0</v>
      </c>
      <c r="L33" s="40">
        <f>IF(L$6&lt;$B33,0,IF(L$6=$B33,'Growth Engine'!L$10*'Macro &amp; Indexation'!L$19,K33*(1+'Macro &amp; Indexation'!L$16)))</f>
        <v>0</v>
      </c>
      <c r="M33" s="40">
        <f>IF(M$6&lt;$B33,0,IF(M$6=$B33,'Growth Engine'!M$10*'Macro &amp; Indexation'!M$19,L33*(1+'Macro &amp; Indexation'!M$16)))</f>
        <v>0</v>
      </c>
      <c r="N33" s="40">
        <f>IF(N$6&lt;$B33,0,IF(N$6=$B33,'Growth Engine'!N$10*'Macro &amp; Indexation'!N$19,M33*(1+'Macro &amp; Indexation'!N$16)))</f>
        <v>0</v>
      </c>
      <c r="O33" s="40">
        <f>IF(O$6&lt;$B33,0,IF(O$6=$B33,'Growth Engine'!O$10*'Macro &amp; Indexation'!O$19,N33*(1+'Macro &amp; Indexation'!O$16)))</f>
        <v>0</v>
      </c>
      <c r="P33" s="40">
        <f>IF(P$6&lt;$B33,0,IF(P$6=$B33,'Growth Engine'!P$10*'Macro &amp; Indexation'!P$19,O33*(1+'Macro &amp; Indexation'!P$16)))</f>
        <v>0</v>
      </c>
      <c r="Q33" s="40">
        <f>IF(Q$6&lt;$B33,0,IF(Q$6=$B33,'Growth Engine'!Q$10*'Macro &amp; Indexation'!Q$19,P33*(1+'Macro &amp; Indexation'!Q$16)))</f>
        <v>0</v>
      </c>
      <c r="R33" s="40">
        <f>IF(R$6&lt;$B33,0,IF(R$6=$B33,'Growth Engine'!R$10*'Macro &amp; Indexation'!R$19,Q33*(1+'Macro &amp; Indexation'!R$16)))</f>
        <v>0</v>
      </c>
      <c r="S33" s="40">
        <f>IF(S$6&lt;$B33,0,IF(S$6=$B33,'Growth Engine'!S$10*'Macro &amp; Indexation'!S$19,R33*(1+'Macro &amp; Indexation'!S$16)))</f>
        <v>0</v>
      </c>
      <c r="T33" s="40">
        <f>IF(T$6&lt;$B33,0,IF(T$6=$B33,'Growth Engine'!T$10*'Macro &amp; Indexation'!T$19,S33*(1+'Macro &amp; Indexation'!T$16)))</f>
        <v>0</v>
      </c>
      <c r="U33" s="40">
        <f>IF(U$6&lt;$B33,0,IF(U$6=$B33,'Growth Engine'!U$10*'Macro &amp; Indexation'!U$19,T33*(1+'Macro &amp; Indexation'!U$16)))</f>
        <v>0</v>
      </c>
      <c r="V33" s="40">
        <f>IF(V$6&lt;$B33,0,IF(V$6=$B33,'Growth Engine'!V$10*'Macro &amp; Indexation'!V$19,U33*(1+'Macro &amp; Indexation'!V$16)))</f>
        <v>0</v>
      </c>
      <c r="W33" s="40">
        <f>IF(W$6&lt;$B33,0,IF(W$6=$B33,'Growth Engine'!W$10*'Macro &amp; Indexation'!W$19,V33*(1+'Macro &amp; Indexation'!W$16)))</f>
        <v>0</v>
      </c>
      <c r="X33" s="40">
        <f>IF(X$6&lt;$B33,0,IF(X$6=$B33,'Growth Engine'!X$10*'Macro &amp; Indexation'!X$19,W33*(1+'Macro &amp; Indexation'!X$16)))</f>
        <v>0</v>
      </c>
      <c r="Y33" s="40">
        <f>IF(Y$6&lt;$B33,0,IF(Y$6=$B33,'Growth Engine'!Y$10*'Macro &amp; Indexation'!Y$19,X33*(1+'Macro &amp; Indexation'!Y$16)))</f>
        <v>0</v>
      </c>
      <c r="Z33" s="40">
        <f>IF(Z$6&lt;$B33,0,IF(Z$6=$B33,'Growth Engine'!Z$10*'Macro &amp; Indexation'!Z$19,Y33*(1+'Macro &amp; Indexation'!Z$16)))</f>
        <v>0</v>
      </c>
      <c r="AA33" s="40">
        <f ca="1">IF(AA$6&lt;$B33,0,IF(AA$6=$B33,'Growth Engine'!AA$10*'Macro &amp; Indexation'!AA$19,Z33*(1+'Macro &amp; Indexation'!AA$16)))</f>
        <v>0</v>
      </c>
      <c r="AB33" s="40">
        <f ca="1">IF(AB$6&lt;$B33,0,IF(AB$6=$B33,'Growth Engine'!AB$10*'Macro &amp; Indexation'!AB$19,AA33*(1+'Macro &amp; Indexation'!AB$16)))</f>
        <v>0</v>
      </c>
      <c r="AC33" s="40">
        <f ca="1">IF(AC$6&lt;$B33,0,IF(AC$6=$B33,'Growth Engine'!AC$10*'Macro &amp; Indexation'!AC$19,AB33*(1+'Macro &amp; Indexation'!AC$16)))</f>
        <v>0</v>
      </c>
      <c r="AD33" s="40">
        <f ca="1">IF(AD$6&lt;$B33,0,IF(AD$6=$B33,'Growth Engine'!AD$10*'Macro &amp; Indexation'!AD$19,AC33*(1+'Macro &amp; Indexation'!AD$16)))</f>
        <v>0</v>
      </c>
      <c r="AE33" s="40">
        <f ca="1">IF(AE$6&lt;$B33,0,IF(AE$6=$B33,'Growth Engine'!AE$10*'Macro &amp; Indexation'!AE$19,AD33*(1+'Macro &amp; Indexation'!AE$16)))</f>
        <v>0</v>
      </c>
      <c r="AF33" s="40">
        <f ca="1">IF(AF$6&lt;$B33,0,IF(AF$6=$B33,'Growth Engine'!AF$10*'Macro &amp; Indexation'!AF$19,AE33*(1+'Macro &amp; Indexation'!AF$16)))</f>
        <v>0</v>
      </c>
      <c r="AG33" s="40">
        <f ca="1">IF(AG$6&lt;$B33,0,IF(AG$6=$B33,'Growth Engine'!AG$10*'Macro &amp; Indexation'!AG$19,AF33*(1+'Macro &amp; Indexation'!AG$16)))</f>
        <v>0</v>
      </c>
      <c r="AH33" s="40">
        <f ca="1">IF(AH$6&lt;$B33,0,IF(AH$6=$B33,'Growth Engine'!AH$10*'Macro &amp; Indexation'!AH$19,AG33*(1+'Macro &amp; Indexation'!AH$16)))</f>
        <v>0</v>
      </c>
      <c r="AI33" s="40">
        <f ca="1">IF(AI$6&lt;$B33,0,IF(AI$6=$B33,'Growth Engine'!AI$10*'Macro &amp; Indexation'!AI$19,AH33*(1+'Macro &amp; Indexation'!AI$16)))</f>
        <v>0</v>
      </c>
      <c r="AJ33" s="40">
        <f ca="1">IF(AJ$6&lt;$B33,0,IF(AJ$6=$B33,'Growth Engine'!AJ$10*'Macro &amp; Indexation'!AJ$19,AI33*(1+'Macro &amp; Indexation'!AJ$16)))</f>
        <v>0</v>
      </c>
      <c r="AK33" s="40">
        <f ca="1">IF(AK$6&lt;$B33,0,IF(AK$6=$B33,'Growth Engine'!AK$10*'Macro &amp; Indexation'!AK$19,AJ33*(1+'Macro &amp; Indexation'!AK$16)))</f>
        <v>0</v>
      </c>
      <c r="AL33" s="40">
        <f ca="1">IF(AL$6&lt;$B33,0,IF(AL$6=$B33,'Growth Engine'!AL$10*'Macro &amp; Indexation'!AL$19,AK33*(1+'Macro &amp; Indexation'!AL$16)))</f>
        <v>0</v>
      </c>
      <c r="AM33" s="40">
        <f ca="1">IF(AM$6&lt;$B33,0,IF(AM$6=$B33,'Growth Engine'!AM$10*'Macro &amp; Indexation'!AM$19,AL33*(1+'Macro &amp; Indexation'!AM$16)))</f>
        <v>0</v>
      </c>
      <c r="AN33" s="40">
        <f ca="1">IF(AN$6&lt;$B33,0,IF(AN$6=$B33,'Growth Engine'!AN$10*'Macro &amp; Indexation'!AN$19,AM33*(1+'Macro &amp; Indexation'!AN$16)))</f>
        <v>0</v>
      </c>
      <c r="AO33" s="40">
        <f ca="1">IF(AO$6&lt;$B33,0,IF(AO$6=$B33,'Growth Engine'!AO$10*'Macro &amp; Indexation'!AO$19,AN33*(1+'Macro &amp; Indexation'!AO$16)))</f>
        <v>0</v>
      </c>
      <c r="AP33" s="40">
        <f ca="1">IF(AP$6&lt;$B33,0,IF(AP$6=$B33,'Growth Engine'!AP$10*'Macro &amp; Indexation'!AP$19,AO33*(1+'Macro &amp; Indexation'!AP$16)))</f>
        <v>0</v>
      </c>
      <c r="AQ33" s="40">
        <f ca="1">IF(AQ$6&lt;$B33,0,IF(AQ$6=$B33,'Growth Engine'!AQ$10*'Macro &amp; Indexation'!AQ$19,AP33*(1+'Macro &amp; Indexation'!AQ$16)))</f>
        <v>0</v>
      </c>
      <c r="AR33" s="40">
        <f ca="1">IF(AR$6&lt;$B33,0,IF(AR$6=$B33,'Growth Engine'!AR$10*'Macro &amp; Indexation'!AR$19,AQ33*(1+'Macro &amp; Indexation'!AR$16)))</f>
        <v>0</v>
      </c>
      <c r="AS33" s="40">
        <f ca="1">IF(AS$6&lt;$B33,0,IF(AS$6=$B33,'Growth Engine'!AS$10*'Macro &amp; Indexation'!AS$19,AR33*(1+'Macro &amp; Indexation'!AS$16)))</f>
        <v>0</v>
      </c>
      <c r="AT33" s="40">
        <f ca="1">IF(AT$6&lt;$B33,0,IF(AT$6=$B33,'Growth Engine'!AT$10*'Macro &amp; Indexation'!AT$19,AS33*(1+'Macro &amp; Indexation'!AT$16)))</f>
        <v>0</v>
      </c>
      <c r="AU33" s="40">
        <f ca="1">IF(AU$6&lt;$B33,0,IF(AU$6=$B33,'Growth Engine'!AU$10*'Macro &amp; Indexation'!AU$19,AT33*(1+'Macro &amp; Indexation'!AU$16)))</f>
        <v>0</v>
      </c>
      <c r="AV33" s="40">
        <f ca="1">IF(AV$6&lt;$B33,0,IF(AV$6=$B33,'Growth Engine'!AV$10*'Macro &amp; Indexation'!AV$19,AU33*(1+'Macro &amp; Indexation'!AV$16)))</f>
        <v>0</v>
      </c>
      <c r="AW33" s="40">
        <f ca="1">IF(AW$6&lt;$B33,0,IF(AW$6=$B33,'Growth Engine'!AW$10*'Macro &amp; Indexation'!AW$19,AV33*(1+'Macro &amp; Indexation'!AW$16)))</f>
        <v>0</v>
      </c>
      <c r="AX33" s="40">
        <f ca="1">IF(AX$6&lt;$B33,0,IF(AX$6=$B33,'Growth Engine'!AX$10*'Macro &amp; Indexation'!AX$19,AW33*(1+'Macro &amp; Indexation'!AX$16)))</f>
        <v>0</v>
      </c>
      <c r="AY33" s="40">
        <f ca="1">IF(AY$6&lt;$B33,0,IF(AY$6=$B33,'Growth Engine'!AY$10*'Macro &amp; Indexation'!AY$19,AX33*(1+'Macro &amp; Indexation'!AY$16)))</f>
        <v>0</v>
      </c>
      <c r="AZ33" s="40">
        <f ca="1">IF(AZ$6&lt;$B33,0,IF(AZ$6=$B33,'Growth Engine'!AZ$10*'Macro &amp; Indexation'!AZ$19,AY33*(1+'Macro &amp; Indexation'!AZ$16)))</f>
        <v>0</v>
      </c>
      <c r="BA33" s="40">
        <f ca="1">IF(BA$6&lt;$B33,0,IF(BA$6=$B33,'Growth Engine'!BA$10*'Macro &amp; Indexation'!BA$19,AZ33*(1+'Macro &amp; Indexation'!BA$16)))</f>
        <v>0</v>
      </c>
    </row>
    <row r="34" spans="1:53" outlineLevel="1" x14ac:dyDescent="0.3">
      <c r="A34" t="s">
        <v>161</v>
      </c>
      <c r="B34">
        <v>25</v>
      </c>
      <c r="D34" s="40">
        <f>IF(D$6&lt;$B34,0,IF(D$6=$B34,'Growth Engine'!D$10*'Macro &amp; Indexation'!D$19,C34*(1+'Macro &amp; Indexation'!D$16)))</f>
        <v>0</v>
      </c>
      <c r="E34" s="40">
        <f>IF(E$6&lt;$B34,0,IF(E$6=$B34,'Growth Engine'!E$10*'Macro &amp; Indexation'!E$19,D34*(1+'Macro &amp; Indexation'!E$16)))</f>
        <v>0</v>
      </c>
      <c r="F34" s="40">
        <f>IF(F$6&lt;$B34,0,IF(F$6=$B34,'Growth Engine'!F$10*'Macro &amp; Indexation'!F$19,E34*(1+'Macro &amp; Indexation'!F$16)))</f>
        <v>0</v>
      </c>
      <c r="G34" s="40">
        <f>IF(G$6&lt;$B34,0,IF(G$6=$B34,'Growth Engine'!G$10*'Macro &amp; Indexation'!G$19,F34*(1+'Macro &amp; Indexation'!G$16)))</f>
        <v>0</v>
      </c>
      <c r="H34" s="40">
        <f>IF(H$6&lt;$B34,0,IF(H$6=$B34,'Growth Engine'!H$10*'Macro &amp; Indexation'!H$19,G34*(1+'Macro &amp; Indexation'!H$16)))</f>
        <v>0</v>
      </c>
      <c r="I34" s="40">
        <f>IF(I$6&lt;$B34,0,IF(I$6=$B34,'Growth Engine'!I$10*'Macro &amp; Indexation'!I$19,H34*(1+'Macro &amp; Indexation'!I$16)))</f>
        <v>0</v>
      </c>
      <c r="J34" s="40">
        <f>IF(J$6&lt;$B34,0,IF(J$6=$B34,'Growth Engine'!J$10*'Macro &amp; Indexation'!J$19,I34*(1+'Macro &amp; Indexation'!J$16)))</f>
        <v>0</v>
      </c>
      <c r="K34" s="40">
        <f>IF(K$6&lt;$B34,0,IF(K$6=$B34,'Growth Engine'!K$10*'Macro &amp; Indexation'!K$19,J34*(1+'Macro &amp; Indexation'!K$16)))</f>
        <v>0</v>
      </c>
      <c r="L34" s="40">
        <f>IF(L$6&lt;$B34,0,IF(L$6=$B34,'Growth Engine'!L$10*'Macro &amp; Indexation'!L$19,K34*(1+'Macro &amp; Indexation'!L$16)))</f>
        <v>0</v>
      </c>
      <c r="M34" s="40">
        <f>IF(M$6&lt;$B34,0,IF(M$6=$B34,'Growth Engine'!M$10*'Macro &amp; Indexation'!M$19,L34*(1+'Macro &amp; Indexation'!M$16)))</f>
        <v>0</v>
      </c>
      <c r="N34" s="40">
        <f>IF(N$6&lt;$B34,0,IF(N$6=$B34,'Growth Engine'!N$10*'Macro &amp; Indexation'!N$19,M34*(1+'Macro &amp; Indexation'!N$16)))</f>
        <v>0</v>
      </c>
      <c r="O34" s="40">
        <f>IF(O$6&lt;$B34,0,IF(O$6=$B34,'Growth Engine'!O$10*'Macro &amp; Indexation'!O$19,N34*(1+'Macro &amp; Indexation'!O$16)))</f>
        <v>0</v>
      </c>
      <c r="P34" s="40">
        <f>IF(P$6&lt;$B34,0,IF(P$6=$B34,'Growth Engine'!P$10*'Macro &amp; Indexation'!P$19,O34*(1+'Macro &amp; Indexation'!P$16)))</f>
        <v>0</v>
      </c>
      <c r="Q34" s="40">
        <f>IF(Q$6&lt;$B34,0,IF(Q$6=$B34,'Growth Engine'!Q$10*'Macro &amp; Indexation'!Q$19,P34*(1+'Macro &amp; Indexation'!Q$16)))</f>
        <v>0</v>
      </c>
      <c r="R34" s="40">
        <f>IF(R$6&lt;$B34,0,IF(R$6=$B34,'Growth Engine'!R$10*'Macro &amp; Indexation'!R$19,Q34*(1+'Macro &amp; Indexation'!R$16)))</f>
        <v>0</v>
      </c>
      <c r="S34" s="40">
        <f>IF(S$6&lt;$B34,0,IF(S$6=$B34,'Growth Engine'!S$10*'Macro &amp; Indexation'!S$19,R34*(1+'Macro &amp; Indexation'!S$16)))</f>
        <v>0</v>
      </c>
      <c r="T34" s="40">
        <f>IF(T$6&lt;$B34,0,IF(T$6=$B34,'Growth Engine'!T$10*'Macro &amp; Indexation'!T$19,S34*(1+'Macro &amp; Indexation'!T$16)))</f>
        <v>0</v>
      </c>
      <c r="U34" s="40">
        <f>IF(U$6&lt;$B34,0,IF(U$6=$B34,'Growth Engine'!U$10*'Macro &amp; Indexation'!U$19,T34*(1+'Macro &amp; Indexation'!U$16)))</f>
        <v>0</v>
      </c>
      <c r="V34" s="40">
        <f>IF(V$6&lt;$B34,0,IF(V$6=$B34,'Growth Engine'!V$10*'Macro &amp; Indexation'!V$19,U34*(1+'Macro &amp; Indexation'!V$16)))</f>
        <v>0</v>
      </c>
      <c r="W34" s="40">
        <f>IF(W$6&lt;$B34,0,IF(W$6=$B34,'Growth Engine'!W$10*'Macro &amp; Indexation'!W$19,V34*(1+'Macro &amp; Indexation'!W$16)))</f>
        <v>0</v>
      </c>
      <c r="X34" s="40">
        <f>IF(X$6&lt;$B34,0,IF(X$6=$B34,'Growth Engine'!X$10*'Macro &amp; Indexation'!X$19,W34*(1+'Macro &amp; Indexation'!X$16)))</f>
        <v>0</v>
      </c>
      <c r="Y34" s="40">
        <f>IF(Y$6&lt;$B34,0,IF(Y$6=$B34,'Growth Engine'!Y$10*'Macro &amp; Indexation'!Y$19,X34*(1+'Macro &amp; Indexation'!Y$16)))</f>
        <v>0</v>
      </c>
      <c r="Z34" s="40">
        <f>IF(Z$6&lt;$B34,0,IF(Z$6=$B34,'Growth Engine'!Z$10*'Macro &amp; Indexation'!Z$19,Y34*(1+'Macro &amp; Indexation'!Z$16)))</f>
        <v>0</v>
      </c>
      <c r="AA34" s="40">
        <f>IF(AA$6&lt;$B34,0,IF(AA$6=$B34,'Growth Engine'!AA$10*'Macro &amp; Indexation'!AA$19,Z34*(1+'Macro &amp; Indexation'!AA$16)))</f>
        <v>0</v>
      </c>
      <c r="AB34" s="40">
        <f ca="1">IF(AB$6&lt;$B34,0,IF(AB$6=$B34,'Growth Engine'!AB$10*'Macro &amp; Indexation'!AB$19,AA34*(1+'Macro &amp; Indexation'!AB$16)))</f>
        <v>0</v>
      </c>
      <c r="AC34" s="40">
        <f ca="1">IF(AC$6&lt;$B34,0,IF(AC$6=$B34,'Growth Engine'!AC$10*'Macro &amp; Indexation'!AC$19,AB34*(1+'Macro &amp; Indexation'!AC$16)))</f>
        <v>0</v>
      </c>
      <c r="AD34" s="40">
        <f ca="1">IF(AD$6&lt;$B34,0,IF(AD$6=$B34,'Growth Engine'!AD$10*'Macro &amp; Indexation'!AD$19,AC34*(1+'Macro &amp; Indexation'!AD$16)))</f>
        <v>0</v>
      </c>
      <c r="AE34" s="40">
        <f ca="1">IF(AE$6&lt;$B34,0,IF(AE$6=$B34,'Growth Engine'!AE$10*'Macro &amp; Indexation'!AE$19,AD34*(1+'Macro &amp; Indexation'!AE$16)))</f>
        <v>0</v>
      </c>
      <c r="AF34" s="40">
        <f ca="1">IF(AF$6&lt;$B34,0,IF(AF$6=$B34,'Growth Engine'!AF$10*'Macro &amp; Indexation'!AF$19,AE34*(1+'Macro &amp; Indexation'!AF$16)))</f>
        <v>0</v>
      </c>
      <c r="AG34" s="40">
        <f ca="1">IF(AG$6&lt;$B34,0,IF(AG$6=$B34,'Growth Engine'!AG$10*'Macro &amp; Indexation'!AG$19,AF34*(1+'Macro &amp; Indexation'!AG$16)))</f>
        <v>0</v>
      </c>
      <c r="AH34" s="40">
        <f ca="1">IF(AH$6&lt;$B34,0,IF(AH$6=$B34,'Growth Engine'!AH$10*'Macro &amp; Indexation'!AH$19,AG34*(1+'Macro &amp; Indexation'!AH$16)))</f>
        <v>0</v>
      </c>
      <c r="AI34" s="40">
        <f ca="1">IF(AI$6&lt;$B34,0,IF(AI$6=$B34,'Growth Engine'!AI$10*'Macro &amp; Indexation'!AI$19,AH34*(1+'Macro &amp; Indexation'!AI$16)))</f>
        <v>0</v>
      </c>
      <c r="AJ34" s="40">
        <f ca="1">IF(AJ$6&lt;$B34,0,IF(AJ$6=$B34,'Growth Engine'!AJ$10*'Macro &amp; Indexation'!AJ$19,AI34*(1+'Macro &amp; Indexation'!AJ$16)))</f>
        <v>0</v>
      </c>
      <c r="AK34" s="40">
        <f ca="1">IF(AK$6&lt;$B34,0,IF(AK$6=$B34,'Growth Engine'!AK$10*'Macro &amp; Indexation'!AK$19,AJ34*(1+'Macro &amp; Indexation'!AK$16)))</f>
        <v>0</v>
      </c>
      <c r="AL34" s="40">
        <f ca="1">IF(AL$6&lt;$B34,0,IF(AL$6=$B34,'Growth Engine'!AL$10*'Macro &amp; Indexation'!AL$19,AK34*(1+'Macro &amp; Indexation'!AL$16)))</f>
        <v>0</v>
      </c>
      <c r="AM34" s="40">
        <f ca="1">IF(AM$6&lt;$B34,0,IF(AM$6=$B34,'Growth Engine'!AM$10*'Macro &amp; Indexation'!AM$19,AL34*(1+'Macro &amp; Indexation'!AM$16)))</f>
        <v>0</v>
      </c>
      <c r="AN34" s="40">
        <f ca="1">IF(AN$6&lt;$B34,0,IF(AN$6=$B34,'Growth Engine'!AN$10*'Macro &amp; Indexation'!AN$19,AM34*(1+'Macro &amp; Indexation'!AN$16)))</f>
        <v>0</v>
      </c>
      <c r="AO34" s="40">
        <f ca="1">IF(AO$6&lt;$B34,0,IF(AO$6=$B34,'Growth Engine'!AO$10*'Macro &amp; Indexation'!AO$19,AN34*(1+'Macro &amp; Indexation'!AO$16)))</f>
        <v>0</v>
      </c>
      <c r="AP34" s="40">
        <f ca="1">IF(AP$6&lt;$B34,0,IF(AP$6=$B34,'Growth Engine'!AP$10*'Macro &amp; Indexation'!AP$19,AO34*(1+'Macro &amp; Indexation'!AP$16)))</f>
        <v>0</v>
      </c>
      <c r="AQ34" s="40">
        <f ca="1">IF(AQ$6&lt;$B34,0,IF(AQ$6=$B34,'Growth Engine'!AQ$10*'Macro &amp; Indexation'!AQ$19,AP34*(1+'Macro &amp; Indexation'!AQ$16)))</f>
        <v>0</v>
      </c>
      <c r="AR34" s="40">
        <f ca="1">IF(AR$6&lt;$B34,0,IF(AR$6=$B34,'Growth Engine'!AR$10*'Macro &amp; Indexation'!AR$19,AQ34*(1+'Macro &amp; Indexation'!AR$16)))</f>
        <v>0</v>
      </c>
      <c r="AS34" s="40">
        <f ca="1">IF(AS$6&lt;$B34,0,IF(AS$6=$B34,'Growth Engine'!AS$10*'Macro &amp; Indexation'!AS$19,AR34*(1+'Macro &amp; Indexation'!AS$16)))</f>
        <v>0</v>
      </c>
      <c r="AT34" s="40">
        <f ca="1">IF(AT$6&lt;$B34,0,IF(AT$6=$B34,'Growth Engine'!AT$10*'Macro &amp; Indexation'!AT$19,AS34*(1+'Macro &amp; Indexation'!AT$16)))</f>
        <v>0</v>
      </c>
      <c r="AU34" s="40">
        <f ca="1">IF(AU$6&lt;$B34,0,IF(AU$6=$B34,'Growth Engine'!AU$10*'Macro &amp; Indexation'!AU$19,AT34*(1+'Macro &amp; Indexation'!AU$16)))</f>
        <v>0</v>
      </c>
      <c r="AV34" s="40">
        <f ca="1">IF(AV$6&lt;$B34,0,IF(AV$6=$B34,'Growth Engine'!AV$10*'Macro &amp; Indexation'!AV$19,AU34*(1+'Macro &amp; Indexation'!AV$16)))</f>
        <v>0</v>
      </c>
      <c r="AW34" s="40">
        <f ca="1">IF(AW$6&lt;$B34,0,IF(AW$6=$B34,'Growth Engine'!AW$10*'Macro &amp; Indexation'!AW$19,AV34*(1+'Macro &amp; Indexation'!AW$16)))</f>
        <v>0</v>
      </c>
      <c r="AX34" s="40">
        <f ca="1">IF(AX$6&lt;$B34,0,IF(AX$6=$B34,'Growth Engine'!AX$10*'Macro &amp; Indexation'!AX$19,AW34*(1+'Macro &amp; Indexation'!AX$16)))</f>
        <v>0</v>
      </c>
      <c r="AY34" s="40">
        <f ca="1">IF(AY$6&lt;$B34,0,IF(AY$6=$B34,'Growth Engine'!AY$10*'Macro &amp; Indexation'!AY$19,AX34*(1+'Macro &amp; Indexation'!AY$16)))</f>
        <v>0</v>
      </c>
      <c r="AZ34" s="40">
        <f ca="1">IF(AZ$6&lt;$B34,0,IF(AZ$6=$B34,'Growth Engine'!AZ$10*'Macro &amp; Indexation'!AZ$19,AY34*(1+'Macro &amp; Indexation'!AZ$16)))</f>
        <v>0</v>
      </c>
      <c r="BA34" s="40">
        <f ca="1">IF(BA$6&lt;$B34,0,IF(BA$6=$B34,'Growth Engine'!BA$10*'Macro &amp; Indexation'!BA$19,AZ34*(1+'Macro &amp; Indexation'!BA$16)))</f>
        <v>0</v>
      </c>
    </row>
    <row r="35" spans="1:53" outlineLevel="1" x14ac:dyDescent="0.3">
      <c r="A35" t="s">
        <v>162</v>
      </c>
      <c r="B35">
        <v>26</v>
      </c>
      <c r="D35" s="40">
        <f>IF(D$6&lt;$B35,0,IF(D$6=$B35,'Growth Engine'!D$10*'Macro &amp; Indexation'!D$19,C35*(1+'Macro &amp; Indexation'!D$16)))</f>
        <v>0</v>
      </c>
      <c r="E35" s="40">
        <f>IF(E$6&lt;$B35,0,IF(E$6=$B35,'Growth Engine'!E$10*'Macro &amp; Indexation'!E$19,D35*(1+'Macro &amp; Indexation'!E$16)))</f>
        <v>0</v>
      </c>
      <c r="F35" s="40">
        <f>IF(F$6&lt;$B35,0,IF(F$6=$B35,'Growth Engine'!F$10*'Macro &amp; Indexation'!F$19,E35*(1+'Macro &amp; Indexation'!F$16)))</f>
        <v>0</v>
      </c>
      <c r="G35" s="40">
        <f>IF(G$6&lt;$B35,0,IF(G$6=$B35,'Growth Engine'!G$10*'Macro &amp; Indexation'!G$19,F35*(1+'Macro &amp; Indexation'!G$16)))</f>
        <v>0</v>
      </c>
      <c r="H35" s="40">
        <f>IF(H$6&lt;$B35,0,IF(H$6=$B35,'Growth Engine'!H$10*'Macro &amp; Indexation'!H$19,G35*(1+'Macro &amp; Indexation'!H$16)))</f>
        <v>0</v>
      </c>
      <c r="I35" s="40">
        <f>IF(I$6&lt;$B35,0,IF(I$6=$B35,'Growth Engine'!I$10*'Macro &amp; Indexation'!I$19,H35*(1+'Macro &amp; Indexation'!I$16)))</f>
        <v>0</v>
      </c>
      <c r="J35" s="40">
        <f>IF(J$6&lt;$B35,0,IF(J$6=$B35,'Growth Engine'!J$10*'Macro &amp; Indexation'!J$19,I35*(1+'Macro &amp; Indexation'!J$16)))</f>
        <v>0</v>
      </c>
      <c r="K35" s="40">
        <f>IF(K$6&lt;$B35,0,IF(K$6=$B35,'Growth Engine'!K$10*'Macro &amp; Indexation'!K$19,J35*(1+'Macro &amp; Indexation'!K$16)))</f>
        <v>0</v>
      </c>
      <c r="L35" s="40">
        <f>IF(L$6&lt;$B35,0,IF(L$6=$B35,'Growth Engine'!L$10*'Macro &amp; Indexation'!L$19,K35*(1+'Macro &amp; Indexation'!L$16)))</f>
        <v>0</v>
      </c>
      <c r="M35" s="40">
        <f>IF(M$6&lt;$B35,0,IF(M$6=$B35,'Growth Engine'!M$10*'Macro &amp; Indexation'!M$19,L35*(1+'Macro &amp; Indexation'!M$16)))</f>
        <v>0</v>
      </c>
      <c r="N35" s="40">
        <f>IF(N$6&lt;$B35,0,IF(N$6=$B35,'Growth Engine'!N$10*'Macro &amp; Indexation'!N$19,M35*(1+'Macro &amp; Indexation'!N$16)))</f>
        <v>0</v>
      </c>
      <c r="O35" s="40">
        <f>IF(O$6&lt;$B35,0,IF(O$6=$B35,'Growth Engine'!O$10*'Macro &amp; Indexation'!O$19,N35*(1+'Macro &amp; Indexation'!O$16)))</f>
        <v>0</v>
      </c>
      <c r="P35" s="40">
        <f>IF(P$6&lt;$B35,0,IF(P$6=$B35,'Growth Engine'!P$10*'Macro &amp; Indexation'!P$19,O35*(1+'Macro &amp; Indexation'!P$16)))</f>
        <v>0</v>
      </c>
      <c r="Q35" s="40">
        <f>IF(Q$6&lt;$B35,0,IF(Q$6=$B35,'Growth Engine'!Q$10*'Macro &amp; Indexation'!Q$19,P35*(1+'Macro &amp; Indexation'!Q$16)))</f>
        <v>0</v>
      </c>
      <c r="R35" s="40">
        <f>IF(R$6&lt;$B35,0,IF(R$6=$B35,'Growth Engine'!R$10*'Macro &amp; Indexation'!R$19,Q35*(1+'Macro &amp; Indexation'!R$16)))</f>
        <v>0</v>
      </c>
      <c r="S35" s="40">
        <f>IF(S$6&lt;$B35,0,IF(S$6=$B35,'Growth Engine'!S$10*'Macro &amp; Indexation'!S$19,R35*(1+'Macro &amp; Indexation'!S$16)))</f>
        <v>0</v>
      </c>
      <c r="T35" s="40">
        <f>IF(T$6&lt;$B35,0,IF(T$6=$B35,'Growth Engine'!T$10*'Macro &amp; Indexation'!T$19,S35*(1+'Macro &amp; Indexation'!T$16)))</f>
        <v>0</v>
      </c>
      <c r="U35" s="40">
        <f>IF(U$6&lt;$B35,0,IF(U$6=$B35,'Growth Engine'!U$10*'Macro &amp; Indexation'!U$19,T35*(1+'Macro &amp; Indexation'!U$16)))</f>
        <v>0</v>
      </c>
      <c r="V35" s="40">
        <f>IF(V$6&lt;$B35,0,IF(V$6=$B35,'Growth Engine'!V$10*'Macro &amp; Indexation'!V$19,U35*(1+'Macro &amp; Indexation'!V$16)))</f>
        <v>0</v>
      </c>
      <c r="W35" s="40">
        <f>IF(W$6&lt;$B35,0,IF(W$6=$B35,'Growth Engine'!W$10*'Macro &amp; Indexation'!W$19,V35*(1+'Macro &amp; Indexation'!W$16)))</f>
        <v>0</v>
      </c>
      <c r="X35" s="40">
        <f>IF(X$6&lt;$B35,0,IF(X$6=$B35,'Growth Engine'!X$10*'Macro &amp; Indexation'!X$19,W35*(1+'Macro &amp; Indexation'!X$16)))</f>
        <v>0</v>
      </c>
      <c r="Y35" s="40">
        <f>IF(Y$6&lt;$B35,0,IF(Y$6=$B35,'Growth Engine'!Y$10*'Macro &amp; Indexation'!Y$19,X35*(1+'Macro &amp; Indexation'!Y$16)))</f>
        <v>0</v>
      </c>
      <c r="Z35" s="40">
        <f>IF(Z$6&lt;$B35,0,IF(Z$6=$B35,'Growth Engine'!Z$10*'Macro &amp; Indexation'!Z$19,Y35*(1+'Macro &amp; Indexation'!Z$16)))</f>
        <v>0</v>
      </c>
      <c r="AA35" s="40">
        <f>IF(AA$6&lt;$B35,0,IF(AA$6=$B35,'Growth Engine'!AA$10*'Macro &amp; Indexation'!AA$19,Z35*(1+'Macro &amp; Indexation'!AA$16)))</f>
        <v>0</v>
      </c>
      <c r="AB35" s="40">
        <f>IF(AB$6&lt;$B35,0,IF(AB$6=$B35,'Growth Engine'!AB$10*'Macro &amp; Indexation'!AB$19,AA35*(1+'Macro &amp; Indexation'!AB$16)))</f>
        <v>0</v>
      </c>
      <c r="AC35" s="40">
        <f ca="1">IF(AC$6&lt;$B35,0,IF(AC$6=$B35,'Growth Engine'!AC$10*'Macro &amp; Indexation'!AC$19,AB35*(1+'Macro &amp; Indexation'!AC$16)))</f>
        <v>0</v>
      </c>
      <c r="AD35" s="40">
        <f ca="1">IF(AD$6&lt;$B35,0,IF(AD$6=$B35,'Growth Engine'!AD$10*'Macro &amp; Indexation'!AD$19,AC35*(1+'Macro &amp; Indexation'!AD$16)))</f>
        <v>0</v>
      </c>
      <c r="AE35" s="40">
        <f ca="1">IF(AE$6&lt;$B35,0,IF(AE$6=$B35,'Growth Engine'!AE$10*'Macro &amp; Indexation'!AE$19,AD35*(1+'Macro &amp; Indexation'!AE$16)))</f>
        <v>0</v>
      </c>
      <c r="AF35" s="40">
        <f ca="1">IF(AF$6&lt;$B35,0,IF(AF$6=$B35,'Growth Engine'!AF$10*'Macro &amp; Indexation'!AF$19,AE35*(1+'Macro &amp; Indexation'!AF$16)))</f>
        <v>0</v>
      </c>
      <c r="AG35" s="40">
        <f ca="1">IF(AG$6&lt;$B35,0,IF(AG$6=$B35,'Growth Engine'!AG$10*'Macro &amp; Indexation'!AG$19,AF35*(1+'Macro &amp; Indexation'!AG$16)))</f>
        <v>0</v>
      </c>
      <c r="AH35" s="40">
        <f ca="1">IF(AH$6&lt;$B35,0,IF(AH$6=$B35,'Growth Engine'!AH$10*'Macro &amp; Indexation'!AH$19,AG35*(1+'Macro &amp; Indexation'!AH$16)))</f>
        <v>0</v>
      </c>
      <c r="AI35" s="40">
        <f ca="1">IF(AI$6&lt;$B35,0,IF(AI$6=$B35,'Growth Engine'!AI$10*'Macro &amp; Indexation'!AI$19,AH35*(1+'Macro &amp; Indexation'!AI$16)))</f>
        <v>0</v>
      </c>
      <c r="AJ35" s="40">
        <f ca="1">IF(AJ$6&lt;$B35,0,IF(AJ$6=$B35,'Growth Engine'!AJ$10*'Macro &amp; Indexation'!AJ$19,AI35*(1+'Macro &amp; Indexation'!AJ$16)))</f>
        <v>0</v>
      </c>
      <c r="AK35" s="40">
        <f ca="1">IF(AK$6&lt;$B35,0,IF(AK$6=$B35,'Growth Engine'!AK$10*'Macro &amp; Indexation'!AK$19,AJ35*(1+'Macro &amp; Indexation'!AK$16)))</f>
        <v>0</v>
      </c>
      <c r="AL35" s="40">
        <f ca="1">IF(AL$6&lt;$B35,0,IF(AL$6=$B35,'Growth Engine'!AL$10*'Macro &amp; Indexation'!AL$19,AK35*(1+'Macro &amp; Indexation'!AL$16)))</f>
        <v>0</v>
      </c>
      <c r="AM35" s="40">
        <f ca="1">IF(AM$6&lt;$B35,0,IF(AM$6=$B35,'Growth Engine'!AM$10*'Macro &amp; Indexation'!AM$19,AL35*(1+'Macro &amp; Indexation'!AM$16)))</f>
        <v>0</v>
      </c>
      <c r="AN35" s="40">
        <f ca="1">IF(AN$6&lt;$B35,0,IF(AN$6=$B35,'Growth Engine'!AN$10*'Macro &amp; Indexation'!AN$19,AM35*(1+'Macro &amp; Indexation'!AN$16)))</f>
        <v>0</v>
      </c>
      <c r="AO35" s="40">
        <f ca="1">IF(AO$6&lt;$B35,0,IF(AO$6=$B35,'Growth Engine'!AO$10*'Macro &amp; Indexation'!AO$19,AN35*(1+'Macro &amp; Indexation'!AO$16)))</f>
        <v>0</v>
      </c>
      <c r="AP35" s="40">
        <f ca="1">IF(AP$6&lt;$B35,0,IF(AP$6=$B35,'Growth Engine'!AP$10*'Macro &amp; Indexation'!AP$19,AO35*(1+'Macro &amp; Indexation'!AP$16)))</f>
        <v>0</v>
      </c>
      <c r="AQ35" s="40">
        <f ca="1">IF(AQ$6&lt;$B35,0,IF(AQ$6=$B35,'Growth Engine'!AQ$10*'Macro &amp; Indexation'!AQ$19,AP35*(1+'Macro &amp; Indexation'!AQ$16)))</f>
        <v>0</v>
      </c>
      <c r="AR35" s="40">
        <f ca="1">IF(AR$6&lt;$B35,0,IF(AR$6=$B35,'Growth Engine'!AR$10*'Macro &amp; Indexation'!AR$19,AQ35*(1+'Macro &amp; Indexation'!AR$16)))</f>
        <v>0</v>
      </c>
      <c r="AS35" s="40">
        <f ca="1">IF(AS$6&lt;$B35,0,IF(AS$6=$B35,'Growth Engine'!AS$10*'Macro &amp; Indexation'!AS$19,AR35*(1+'Macro &amp; Indexation'!AS$16)))</f>
        <v>0</v>
      </c>
      <c r="AT35" s="40">
        <f ca="1">IF(AT$6&lt;$B35,0,IF(AT$6=$B35,'Growth Engine'!AT$10*'Macro &amp; Indexation'!AT$19,AS35*(1+'Macro &amp; Indexation'!AT$16)))</f>
        <v>0</v>
      </c>
      <c r="AU35" s="40">
        <f ca="1">IF(AU$6&lt;$B35,0,IF(AU$6=$B35,'Growth Engine'!AU$10*'Macro &amp; Indexation'!AU$19,AT35*(1+'Macro &amp; Indexation'!AU$16)))</f>
        <v>0</v>
      </c>
      <c r="AV35" s="40">
        <f ca="1">IF(AV$6&lt;$B35,0,IF(AV$6=$B35,'Growth Engine'!AV$10*'Macro &amp; Indexation'!AV$19,AU35*(1+'Macro &amp; Indexation'!AV$16)))</f>
        <v>0</v>
      </c>
      <c r="AW35" s="40">
        <f ca="1">IF(AW$6&lt;$B35,0,IF(AW$6=$B35,'Growth Engine'!AW$10*'Macro &amp; Indexation'!AW$19,AV35*(1+'Macro &amp; Indexation'!AW$16)))</f>
        <v>0</v>
      </c>
      <c r="AX35" s="40">
        <f ca="1">IF(AX$6&lt;$B35,0,IF(AX$6=$B35,'Growth Engine'!AX$10*'Macro &amp; Indexation'!AX$19,AW35*(1+'Macro &amp; Indexation'!AX$16)))</f>
        <v>0</v>
      </c>
      <c r="AY35" s="40">
        <f ca="1">IF(AY$6&lt;$B35,0,IF(AY$6=$B35,'Growth Engine'!AY$10*'Macro &amp; Indexation'!AY$19,AX35*(1+'Macro &amp; Indexation'!AY$16)))</f>
        <v>0</v>
      </c>
      <c r="AZ35" s="40">
        <f ca="1">IF(AZ$6&lt;$B35,0,IF(AZ$6=$B35,'Growth Engine'!AZ$10*'Macro &amp; Indexation'!AZ$19,AY35*(1+'Macro &amp; Indexation'!AZ$16)))</f>
        <v>0</v>
      </c>
      <c r="BA35" s="40">
        <f ca="1">IF(BA$6&lt;$B35,0,IF(BA$6=$B35,'Growth Engine'!BA$10*'Macro &amp; Indexation'!BA$19,AZ35*(1+'Macro &amp; Indexation'!BA$16)))</f>
        <v>0</v>
      </c>
    </row>
    <row r="36" spans="1:53" outlineLevel="1" x14ac:dyDescent="0.3">
      <c r="A36" t="s">
        <v>163</v>
      </c>
      <c r="B36">
        <v>27</v>
      </c>
      <c r="D36" s="40">
        <f>IF(D$6&lt;$B36,0,IF(D$6=$B36,'Growth Engine'!D$10*'Macro &amp; Indexation'!D$19,C36*(1+'Macro &amp; Indexation'!D$16)))</f>
        <v>0</v>
      </c>
      <c r="E36" s="40">
        <f>IF(E$6&lt;$B36,0,IF(E$6=$B36,'Growth Engine'!E$10*'Macro &amp; Indexation'!E$19,D36*(1+'Macro &amp; Indexation'!E$16)))</f>
        <v>0</v>
      </c>
      <c r="F36" s="40">
        <f>IF(F$6&lt;$B36,0,IF(F$6=$B36,'Growth Engine'!F$10*'Macro &amp; Indexation'!F$19,E36*(1+'Macro &amp; Indexation'!F$16)))</f>
        <v>0</v>
      </c>
      <c r="G36" s="40">
        <f>IF(G$6&lt;$B36,0,IF(G$6=$B36,'Growth Engine'!G$10*'Macro &amp; Indexation'!G$19,F36*(1+'Macro &amp; Indexation'!G$16)))</f>
        <v>0</v>
      </c>
      <c r="H36" s="40">
        <f>IF(H$6&lt;$B36,0,IF(H$6=$B36,'Growth Engine'!H$10*'Macro &amp; Indexation'!H$19,G36*(1+'Macro &amp; Indexation'!H$16)))</f>
        <v>0</v>
      </c>
      <c r="I36" s="40">
        <f>IF(I$6&lt;$B36,0,IF(I$6=$B36,'Growth Engine'!I$10*'Macro &amp; Indexation'!I$19,H36*(1+'Macro &amp; Indexation'!I$16)))</f>
        <v>0</v>
      </c>
      <c r="J36" s="40">
        <f>IF(J$6&lt;$B36,0,IF(J$6=$B36,'Growth Engine'!J$10*'Macro &amp; Indexation'!J$19,I36*(1+'Macro &amp; Indexation'!J$16)))</f>
        <v>0</v>
      </c>
      <c r="K36" s="40">
        <f>IF(K$6&lt;$B36,0,IF(K$6=$B36,'Growth Engine'!K$10*'Macro &amp; Indexation'!K$19,J36*(1+'Macro &amp; Indexation'!K$16)))</f>
        <v>0</v>
      </c>
      <c r="L36" s="40">
        <f>IF(L$6&lt;$B36,0,IF(L$6=$B36,'Growth Engine'!L$10*'Macro &amp; Indexation'!L$19,K36*(1+'Macro &amp; Indexation'!L$16)))</f>
        <v>0</v>
      </c>
      <c r="M36" s="40">
        <f>IF(M$6&lt;$B36,0,IF(M$6=$B36,'Growth Engine'!M$10*'Macro &amp; Indexation'!M$19,L36*(1+'Macro &amp; Indexation'!M$16)))</f>
        <v>0</v>
      </c>
      <c r="N36" s="40">
        <f>IF(N$6&lt;$B36,0,IF(N$6=$B36,'Growth Engine'!N$10*'Macro &amp; Indexation'!N$19,M36*(1+'Macro &amp; Indexation'!N$16)))</f>
        <v>0</v>
      </c>
      <c r="O36" s="40">
        <f>IF(O$6&lt;$B36,0,IF(O$6=$B36,'Growth Engine'!O$10*'Macro &amp; Indexation'!O$19,N36*(1+'Macro &amp; Indexation'!O$16)))</f>
        <v>0</v>
      </c>
      <c r="P36" s="40">
        <f>IF(P$6&lt;$B36,0,IF(P$6=$B36,'Growth Engine'!P$10*'Macro &amp; Indexation'!P$19,O36*(1+'Macro &amp; Indexation'!P$16)))</f>
        <v>0</v>
      </c>
      <c r="Q36" s="40">
        <f>IF(Q$6&lt;$B36,0,IF(Q$6=$B36,'Growth Engine'!Q$10*'Macro &amp; Indexation'!Q$19,P36*(1+'Macro &amp; Indexation'!Q$16)))</f>
        <v>0</v>
      </c>
      <c r="R36" s="40">
        <f>IF(R$6&lt;$B36,0,IF(R$6=$B36,'Growth Engine'!R$10*'Macro &amp; Indexation'!R$19,Q36*(1+'Macro &amp; Indexation'!R$16)))</f>
        <v>0</v>
      </c>
      <c r="S36" s="40">
        <f>IF(S$6&lt;$B36,0,IF(S$6=$B36,'Growth Engine'!S$10*'Macro &amp; Indexation'!S$19,R36*(1+'Macro &amp; Indexation'!S$16)))</f>
        <v>0</v>
      </c>
      <c r="T36" s="40">
        <f>IF(T$6&lt;$B36,0,IF(T$6=$B36,'Growth Engine'!T$10*'Macro &amp; Indexation'!T$19,S36*(1+'Macro &amp; Indexation'!T$16)))</f>
        <v>0</v>
      </c>
      <c r="U36" s="40">
        <f>IF(U$6&lt;$B36,0,IF(U$6=$B36,'Growth Engine'!U$10*'Macro &amp; Indexation'!U$19,T36*(1+'Macro &amp; Indexation'!U$16)))</f>
        <v>0</v>
      </c>
      <c r="V36" s="40">
        <f>IF(V$6&lt;$B36,0,IF(V$6=$B36,'Growth Engine'!V$10*'Macro &amp; Indexation'!V$19,U36*(1+'Macro &amp; Indexation'!V$16)))</f>
        <v>0</v>
      </c>
      <c r="W36" s="40">
        <f>IF(W$6&lt;$B36,0,IF(W$6=$B36,'Growth Engine'!W$10*'Macro &amp; Indexation'!W$19,V36*(1+'Macro &amp; Indexation'!W$16)))</f>
        <v>0</v>
      </c>
      <c r="X36" s="40">
        <f>IF(X$6&lt;$B36,0,IF(X$6=$B36,'Growth Engine'!X$10*'Macro &amp; Indexation'!X$19,W36*(1+'Macro &amp; Indexation'!X$16)))</f>
        <v>0</v>
      </c>
      <c r="Y36" s="40">
        <f>IF(Y$6&lt;$B36,0,IF(Y$6=$B36,'Growth Engine'!Y$10*'Macro &amp; Indexation'!Y$19,X36*(1+'Macro &amp; Indexation'!Y$16)))</f>
        <v>0</v>
      </c>
      <c r="Z36" s="40">
        <f>IF(Z$6&lt;$B36,0,IF(Z$6=$B36,'Growth Engine'!Z$10*'Macro &amp; Indexation'!Z$19,Y36*(1+'Macro &amp; Indexation'!Z$16)))</f>
        <v>0</v>
      </c>
      <c r="AA36" s="40">
        <f>IF(AA$6&lt;$B36,0,IF(AA$6=$B36,'Growth Engine'!AA$10*'Macro &amp; Indexation'!AA$19,Z36*(1+'Macro &amp; Indexation'!AA$16)))</f>
        <v>0</v>
      </c>
      <c r="AB36" s="40">
        <f>IF(AB$6&lt;$B36,0,IF(AB$6=$B36,'Growth Engine'!AB$10*'Macro &amp; Indexation'!AB$19,AA36*(1+'Macro &amp; Indexation'!AB$16)))</f>
        <v>0</v>
      </c>
      <c r="AC36" s="40">
        <f>IF(AC$6&lt;$B36,0,IF(AC$6=$B36,'Growth Engine'!AC$10*'Macro &amp; Indexation'!AC$19,AB36*(1+'Macro &amp; Indexation'!AC$16)))</f>
        <v>0</v>
      </c>
      <c r="AD36" s="40">
        <f ca="1">IF(AD$6&lt;$B36,0,IF(AD$6=$B36,'Growth Engine'!AD$10*'Macro &amp; Indexation'!AD$19,AC36*(1+'Macro &amp; Indexation'!AD$16)))</f>
        <v>684868.39644058817</v>
      </c>
      <c r="AE36" s="40">
        <f ca="1">IF(AE$6&lt;$B36,0,IF(AE$6=$B36,'Growth Engine'!AE$10*'Macro &amp; Indexation'!AE$19,AD36*(1+'Macro &amp; Indexation'!AE$16)))</f>
        <v>708838.79031600873</v>
      </c>
      <c r="AF36" s="40">
        <f ca="1">IF(AF$6&lt;$B36,0,IF(AF$6=$B36,'Growth Engine'!AF$10*'Macro &amp; Indexation'!AF$19,AE36*(1+'Macro &amp; Indexation'!AF$16)))</f>
        <v>733648.14797706902</v>
      </c>
      <c r="AG36" s="40">
        <f ca="1">IF(AG$6&lt;$B36,0,IF(AG$6=$B36,'Growth Engine'!AG$10*'Macro &amp; Indexation'!AG$19,AF36*(1+'Macro &amp; Indexation'!AG$16)))</f>
        <v>759325.83315626637</v>
      </c>
      <c r="AH36" s="40">
        <f ca="1">IF(AH$6&lt;$B36,0,IF(AH$6=$B36,'Growth Engine'!AH$10*'Macro &amp; Indexation'!AH$19,AG36*(1+'Macro &amp; Indexation'!AH$16)))</f>
        <v>785902.23731673567</v>
      </c>
      <c r="AI36" s="40">
        <f ca="1">IF(AI$6&lt;$B36,0,IF(AI$6=$B36,'Growth Engine'!AI$10*'Macro &amp; Indexation'!AI$19,AH36*(1+'Macro &amp; Indexation'!AI$16)))</f>
        <v>813408.81562282133</v>
      </c>
      <c r="AJ36" s="40">
        <f ca="1">IF(AJ$6&lt;$B36,0,IF(AJ$6=$B36,'Growth Engine'!AJ$10*'Macro &amp; Indexation'!AJ$19,AI36*(1+'Macro &amp; Indexation'!AJ$16)))</f>
        <v>841878.12416961999</v>
      </c>
      <c r="AK36" s="40">
        <f ca="1">IF(AK$6&lt;$B36,0,IF(AK$6=$B36,'Growth Engine'!AK$10*'Macro &amp; Indexation'!AK$19,AJ36*(1+'Macro &amp; Indexation'!AK$16)))</f>
        <v>871343.85851555667</v>
      </c>
      <c r="AL36" s="40">
        <f ca="1">IF(AL$6&lt;$B36,0,IF(AL$6=$B36,'Growth Engine'!AL$10*'Macro &amp; Indexation'!AL$19,AK36*(1+'Macro &amp; Indexation'!AL$16)))</f>
        <v>901840.89356360107</v>
      </c>
      <c r="AM36" s="40">
        <f ca="1">IF(AM$6&lt;$B36,0,IF(AM$6=$B36,'Growth Engine'!AM$10*'Macro &amp; Indexation'!AM$19,AL36*(1+'Macro &amp; Indexation'!AM$16)))</f>
        <v>933405.32483832701</v>
      </c>
      <c r="AN36" s="40">
        <f ca="1">IF(AN$6&lt;$B36,0,IF(AN$6=$B36,'Growth Engine'!AN$10*'Macro &amp; Indexation'!AN$19,AM36*(1+'Macro &amp; Indexation'!AN$16)))</f>
        <v>966074.51120766834</v>
      </c>
      <c r="AO36" s="40">
        <f ca="1">IF(AO$6&lt;$B36,0,IF(AO$6=$B36,'Growth Engine'!AO$10*'Macro &amp; Indexation'!AO$19,AN36*(1+'Macro &amp; Indexation'!AO$16)))</f>
        <v>999887.11909993668</v>
      </c>
      <c r="AP36" s="40">
        <f ca="1">IF(AP$6&lt;$B36,0,IF(AP$6=$B36,'Growth Engine'!AP$10*'Macro &amp; Indexation'!AP$19,AO36*(1+'Macro &amp; Indexation'!AP$16)))</f>
        <v>1034883.1682684344</v>
      </c>
      <c r="AQ36" s="40">
        <f ca="1">IF(AQ$6&lt;$B36,0,IF(AQ$6=$B36,'Growth Engine'!AQ$10*'Macro &amp; Indexation'!AQ$19,AP36*(1+'Macro &amp; Indexation'!AQ$16)))</f>
        <v>1071104.0791578295</v>
      </c>
      <c r="AR36" s="40">
        <f ca="1">IF(AR$6&lt;$B36,0,IF(AR$6=$B36,'Growth Engine'!AR$10*'Macro &amp; Indexation'!AR$19,AQ36*(1+'Macro &amp; Indexation'!AR$16)))</f>
        <v>1108592.7219283534</v>
      </c>
      <c r="AS36" s="40">
        <f ca="1">IF(AS$6&lt;$B36,0,IF(AS$6=$B36,'Growth Engine'!AS$10*'Macro &amp; Indexation'!AS$19,AR36*(1+'Macro &amp; Indexation'!AS$16)))</f>
        <v>1147393.4671958457</v>
      </c>
      <c r="AT36" s="40">
        <f ca="1">IF(AT$6&lt;$B36,0,IF(AT$6=$B36,'Growth Engine'!AT$10*'Macro &amp; Indexation'!AT$19,AS36*(1+'Macro &amp; Indexation'!AT$16)))</f>
        <v>1187552.2385477002</v>
      </c>
      <c r="AU36" s="40">
        <f ca="1">IF(AU$6&lt;$B36,0,IF(AU$6=$B36,'Growth Engine'!AU$10*'Macro &amp; Indexation'!AU$19,AT36*(1+'Macro &amp; Indexation'!AU$16)))</f>
        <v>1229116.5668968696</v>
      </c>
      <c r="AV36" s="40">
        <f ca="1">IF(AV$6&lt;$B36,0,IF(AV$6=$B36,'Growth Engine'!AV$10*'Macro &amp; Indexation'!AV$19,AU36*(1+'Macro &amp; Indexation'!AV$16)))</f>
        <v>1272135.6467382598</v>
      </c>
      <c r="AW36" s="40">
        <f ca="1">IF(AW$6&lt;$B36,0,IF(AW$6=$B36,'Growth Engine'!AW$10*'Macro &amp; Indexation'!AW$19,AV36*(1+'Macro &amp; Indexation'!AW$16)))</f>
        <v>1316660.3943740989</v>
      </c>
      <c r="AX36" s="40">
        <f ca="1">IF(AX$6&lt;$B36,0,IF(AX$6=$B36,'Growth Engine'!AX$10*'Macro &amp; Indexation'!AX$19,AW36*(1+'Macro &amp; Indexation'!AX$16)))</f>
        <v>1362743.5081771922</v>
      </c>
      <c r="AY36" s="40">
        <f ca="1">IF(AY$6&lt;$B36,0,IF(AY$6=$B36,'Growth Engine'!AY$10*'Macro &amp; Indexation'!AY$19,AX36*(1+'Macro &amp; Indexation'!AY$16)))</f>
        <v>1410439.5309633939</v>
      </c>
      <c r="AZ36" s="40">
        <f ca="1">IF(AZ$6&lt;$B36,0,IF(AZ$6=$B36,'Growth Engine'!AZ$10*'Macro &amp; Indexation'!AZ$19,AY36*(1+'Macro &amp; Indexation'!AZ$16)))</f>
        <v>1459804.9145471125</v>
      </c>
      <c r="BA36" s="40">
        <f ca="1">IF(BA$6&lt;$B36,0,IF(BA$6=$B36,'Growth Engine'!BA$10*'Macro &amp; Indexation'!BA$19,AZ36*(1+'Macro &amp; Indexation'!BA$16)))</f>
        <v>1510898.0865562614</v>
      </c>
    </row>
    <row r="37" spans="1:53" outlineLevel="1" x14ac:dyDescent="0.3">
      <c r="A37" t="s">
        <v>164</v>
      </c>
      <c r="B37">
        <v>28</v>
      </c>
      <c r="D37" s="40">
        <f>IF(D$6&lt;$B37,0,IF(D$6=$B37,'Growth Engine'!D$10*'Macro &amp; Indexation'!D$19,C37*(1+'Macro &amp; Indexation'!D$16)))</f>
        <v>0</v>
      </c>
      <c r="E37" s="40">
        <f>IF(E$6&lt;$B37,0,IF(E$6=$B37,'Growth Engine'!E$10*'Macro &amp; Indexation'!E$19,D37*(1+'Macro &amp; Indexation'!E$16)))</f>
        <v>0</v>
      </c>
      <c r="F37" s="40">
        <f>IF(F$6&lt;$B37,0,IF(F$6=$B37,'Growth Engine'!F$10*'Macro &amp; Indexation'!F$19,E37*(1+'Macro &amp; Indexation'!F$16)))</f>
        <v>0</v>
      </c>
      <c r="G37" s="40">
        <f>IF(G$6&lt;$B37,0,IF(G$6=$B37,'Growth Engine'!G$10*'Macro &amp; Indexation'!G$19,F37*(1+'Macro &amp; Indexation'!G$16)))</f>
        <v>0</v>
      </c>
      <c r="H37" s="40">
        <f>IF(H$6&lt;$B37,0,IF(H$6=$B37,'Growth Engine'!H$10*'Macro &amp; Indexation'!H$19,G37*(1+'Macro &amp; Indexation'!H$16)))</f>
        <v>0</v>
      </c>
      <c r="I37" s="40">
        <f>IF(I$6&lt;$B37,0,IF(I$6=$B37,'Growth Engine'!I$10*'Macro &amp; Indexation'!I$19,H37*(1+'Macro &amp; Indexation'!I$16)))</f>
        <v>0</v>
      </c>
      <c r="J37" s="40">
        <f>IF(J$6&lt;$B37,0,IF(J$6=$B37,'Growth Engine'!J$10*'Macro &amp; Indexation'!J$19,I37*(1+'Macro &amp; Indexation'!J$16)))</f>
        <v>0</v>
      </c>
      <c r="K37" s="40">
        <f>IF(K$6&lt;$B37,0,IF(K$6=$B37,'Growth Engine'!K$10*'Macro &amp; Indexation'!K$19,J37*(1+'Macro &amp; Indexation'!K$16)))</f>
        <v>0</v>
      </c>
      <c r="L37" s="40">
        <f>IF(L$6&lt;$B37,0,IF(L$6=$B37,'Growth Engine'!L$10*'Macro &amp; Indexation'!L$19,K37*(1+'Macro &amp; Indexation'!L$16)))</f>
        <v>0</v>
      </c>
      <c r="M37" s="40">
        <f>IF(M$6&lt;$B37,0,IF(M$6=$B37,'Growth Engine'!M$10*'Macro &amp; Indexation'!M$19,L37*(1+'Macro &amp; Indexation'!M$16)))</f>
        <v>0</v>
      </c>
      <c r="N37" s="40">
        <f>IF(N$6&lt;$B37,0,IF(N$6=$B37,'Growth Engine'!N$10*'Macro &amp; Indexation'!N$19,M37*(1+'Macro &amp; Indexation'!N$16)))</f>
        <v>0</v>
      </c>
      <c r="O37" s="40">
        <f>IF(O$6&lt;$B37,0,IF(O$6=$B37,'Growth Engine'!O$10*'Macro &amp; Indexation'!O$19,N37*(1+'Macro &amp; Indexation'!O$16)))</f>
        <v>0</v>
      </c>
      <c r="P37" s="40">
        <f>IF(P$6&lt;$B37,0,IF(P$6=$B37,'Growth Engine'!P$10*'Macro &amp; Indexation'!P$19,O37*(1+'Macro &amp; Indexation'!P$16)))</f>
        <v>0</v>
      </c>
      <c r="Q37" s="40">
        <f>IF(Q$6&lt;$B37,0,IF(Q$6=$B37,'Growth Engine'!Q$10*'Macro &amp; Indexation'!Q$19,P37*(1+'Macro &amp; Indexation'!Q$16)))</f>
        <v>0</v>
      </c>
      <c r="R37" s="40">
        <f>IF(R$6&lt;$B37,0,IF(R$6=$B37,'Growth Engine'!R$10*'Macro &amp; Indexation'!R$19,Q37*(1+'Macro &amp; Indexation'!R$16)))</f>
        <v>0</v>
      </c>
      <c r="S37" s="40">
        <f>IF(S$6&lt;$B37,0,IF(S$6=$B37,'Growth Engine'!S$10*'Macro &amp; Indexation'!S$19,R37*(1+'Macro &amp; Indexation'!S$16)))</f>
        <v>0</v>
      </c>
      <c r="T37" s="40">
        <f>IF(T$6&lt;$B37,0,IF(T$6=$B37,'Growth Engine'!T$10*'Macro &amp; Indexation'!T$19,S37*(1+'Macro &amp; Indexation'!T$16)))</f>
        <v>0</v>
      </c>
      <c r="U37" s="40">
        <f>IF(U$6&lt;$B37,0,IF(U$6=$B37,'Growth Engine'!U$10*'Macro &amp; Indexation'!U$19,T37*(1+'Macro &amp; Indexation'!U$16)))</f>
        <v>0</v>
      </c>
      <c r="V37" s="40">
        <f>IF(V$6&lt;$B37,0,IF(V$6=$B37,'Growth Engine'!V$10*'Macro &amp; Indexation'!V$19,U37*(1+'Macro &amp; Indexation'!V$16)))</f>
        <v>0</v>
      </c>
      <c r="W37" s="40">
        <f>IF(W$6&lt;$B37,0,IF(W$6=$B37,'Growth Engine'!W$10*'Macro &amp; Indexation'!W$19,V37*(1+'Macro &amp; Indexation'!W$16)))</f>
        <v>0</v>
      </c>
      <c r="X37" s="40">
        <f>IF(X$6&lt;$B37,0,IF(X$6=$B37,'Growth Engine'!X$10*'Macro &amp; Indexation'!X$19,W37*(1+'Macro &amp; Indexation'!X$16)))</f>
        <v>0</v>
      </c>
      <c r="Y37" s="40">
        <f>IF(Y$6&lt;$B37,0,IF(Y$6=$B37,'Growth Engine'!Y$10*'Macro &amp; Indexation'!Y$19,X37*(1+'Macro &amp; Indexation'!Y$16)))</f>
        <v>0</v>
      </c>
      <c r="Z37" s="40">
        <f>IF(Z$6&lt;$B37,0,IF(Z$6=$B37,'Growth Engine'!Z$10*'Macro &amp; Indexation'!Z$19,Y37*(1+'Macro &amp; Indexation'!Z$16)))</f>
        <v>0</v>
      </c>
      <c r="AA37" s="40">
        <f>IF(AA$6&lt;$B37,0,IF(AA$6=$B37,'Growth Engine'!AA$10*'Macro &amp; Indexation'!AA$19,Z37*(1+'Macro &amp; Indexation'!AA$16)))</f>
        <v>0</v>
      </c>
      <c r="AB37" s="40">
        <f>IF(AB$6&lt;$B37,0,IF(AB$6=$B37,'Growth Engine'!AB$10*'Macro &amp; Indexation'!AB$19,AA37*(1+'Macro &amp; Indexation'!AB$16)))</f>
        <v>0</v>
      </c>
      <c r="AC37" s="40">
        <f>IF(AC$6&lt;$B37,0,IF(AC$6=$B37,'Growth Engine'!AC$10*'Macro &amp; Indexation'!AC$19,AB37*(1+'Macro &amp; Indexation'!AC$16)))</f>
        <v>0</v>
      </c>
      <c r="AD37" s="40">
        <f>IF(AD$6&lt;$B37,0,IF(AD$6=$B37,'Growth Engine'!AD$10*'Macro &amp; Indexation'!AD$19,AC37*(1+'Macro &amp; Indexation'!AD$16)))</f>
        <v>0</v>
      </c>
      <c r="AE37" s="40">
        <f ca="1">IF(AE$6&lt;$B37,0,IF(AE$6=$B37,'Growth Engine'!AE$10*'Macro &amp; Indexation'!AE$19,AD37*(1+'Macro &amp; Indexation'!AE$16)))</f>
        <v>0</v>
      </c>
      <c r="AF37" s="40">
        <f ca="1">IF(AF$6&lt;$B37,0,IF(AF$6=$B37,'Growth Engine'!AF$10*'Macro &amp; Indexation'!AF$19,AE37*(1+'Macro &amp; Indexation'!AF$16)))</f>
        <v>0</v>
      </c>
      <c r="AG37" s="40">
        <f ca="1">IF(AG$6&lt;$B37,0,IF(AG$6=$B37,'Growth Engine'!AG$10*'Macro &amp; Indexation'!AG$19,AF37*(1+'Macro &amp; Indexation'!AG$16)))</f>
        <v>0</v>
      </c>
      <c r="AH37" s="40">
        <f ca="1">IF(AH$6&lt;$B37,0,IF(AH$6=$B37,'Growth Engine'!AH$10*'Macro &amp; Indexation'!AH$19,AG37*(1+'Macro &amp; Indexation'!AH$16)))</f>
        <v>0</v>
      </c>
      <c r="AI37" s="40">
        <f ca="1">IF(AI$6&lt;$B37,0,IF(AI$6=$B37,'Growth Engine'!AI$10*'Macro &amp; Indexation'!AI$19,AH37*(1+'Macro &amp; Indexation'!AI$16)))</f>
        <v>0</v>
      </c>
      <c r="AJ37" s="40">
        <f ca="1">IF(AJ$6&lt;$B37,0,IF(AJ$6=$B37,'Growth Engine'!AJ$10*'Macro &amp; Indexation'!AJ$19,AI37*(1+'Macro &amp; Indexation'!AJ$16)))</f>
        <v>0</v>
      </c>
      <c r="AK37" s="40">
        <f ca="1">IF(AK$6&lt;$B37,0,IF(AK$6=$B37,'Growth Engine'!AK$10*'Macro &amp; Indexation'!AK$19,AJ37*(1+'Macro &amp; Indexation'!AK$16)))</f>
        <v>0</v>
      </c>
      <c r="AL37" s="40">
        <f ca="1">IF(AL$6&lt;$B37,0,IF(AL$6=$B37,'Growth Engine'!AL$10*'Macro &amp; Indexation'!AL$19,AK37*(1+'Macro &amp; Indexation'!AL$16)))</f>
        <v>0</v>
      </c>
      <c r="AM37" s="40">
        <f ca="1">IF(AM$6&lt;$B37,0,IF(AM$6=$B37,'Growth Engine'!AM$10*'Macro &amp; Indexation'!AM$19,AL37*(1+'Macro &amp; Indexation'!AM$16)))</f>
        <v>0</v>
      </c>
      <c r="AN37" s="40">
        <f ca="1">IF(AN$6&lt;$B37,0,IF(AN$6=$B37,'Growth Engine'!AN$10*'Macro &amp; Indexation'!AN$19,AM37*(1+'Macro &amp; Indexation'!AN$16)))</f>
        <v>0</v>
      </c>
      <c r="AO37" s="40">
        <f ca="1">IF(AO$6&lt;$B37,0,IF(AO$6=$B37,'Growth Engine'!AO$10*'Macro &amp; Indexation'!AO$19,AN37*(1+'Macro &amp; Indexation'!AO$16)))</f>
        <v>0</v>
      </c>
      <c r="AP37" s="40">
        <f ca="1">IF(AP$6&lt;$B37,0,IF(AP$6=$B37,'Growth Engine'!AP$10*'Macro &amp; Indexation'!AP$19,AO37*(1+'Macro &amp; Indexation'!AP$16)))</f>
        <v>0</v>
      </c>
      <c r="AQ37" s="40">
        <f ca="1">IF(AQ$6&lt;$B37,0,IF(AQ$6=$B37,'Growth Engine'!AQ$10*'Macro &amp; Indexation'!AQ$19,AP37*(1+'Macro &amp; Indexation'!AQ$16)))</f>
        <v>0</v>
      </c>
      <c r="AR37" s="40">
        <f ca="1">IF(AR$6&lt;$B37,0,IF(AR$6=$B37,'Growth Engine'!AR$10*'Macro &amp; Indexation'!AR$19,AQ37*(1+'Macro &amp; Indexation'!AR$16)))</f>
        <v>0</v>
      </c>
      <c r="AS37" s="40">
        <f ca="1">IF(AS$6&lt;$B37,0,IF(AS$6=$B37,'Growth Engine'!AS$10*'Macro &amp; Indexation'!AS$19,AR37*(1+'Macro &amp; Indexation'!AS$16)))</f>
        <v>0</v>
      </c>
      <c r="AT37" s="40">
        <f ca="1">IF(AT$6&lt;$B37,0,IF(AT$6=$B37,'Growth Engine'!AT$10*'Macro &amp; Indexation'!AT$19,AS37*(1+'Macro &amp; Indexation'!AT$16)))</f>
        <v>0</v>
      </c>
      <c r="AU37" s="40">
        <f ca="1">IF(AU$6&lt;$B37,0,IF(AU$6=$B37,'Growth Engine'!AU$10*'Macro &amp; Indexation'!AU$19,AT37*(1+'Macro &amp; Indexation'!AU$16)))</f>
        <v>0</v>
      </c>
      <c r="AV37" s="40">
        <f ca="1">IF(AV$6&lt;$B37,0,IF(AV$6=$B37,'Growth Engine'!AV$10*'Macro &amp; Indexation'!AV$19,AU37*(1+'Macro &amp; Indexation'!AV$16)))</f>
        <v>0</v>
      </c>
      <c r="AW37" s="40">
        <f ca="1">IF(AW$6&lt;$B37,0,IF(AW$6=$B37,'Growth Engine'!AW$10*'Macro &amp; Indexation'!AW$19,AV37*(1+'Macro &amp; Indexation'!AW$16)))</f>
        <v>0</v>
      </c>
      <c r="AX37" s="40">
        <f ca="1">IF(AX$6&lt;$B37,0,IF(AX$6=$B37,'Growth Engine'!AX$10*'Macro &amp; Indexation'!AX$19,AW37*(1+'Macro &amp; Indexation'!AX$16)))</f>
        <v>0</v>
      </c>
      <c r="AY37" s="40">
        <f ca="1">IF(AY$6&lt;$B37,0,IF(AY$6=$B37,'Growth Engine'!AY$10*'Macro &amp; Indexation'!AY$19,AX37*(1+'Macro &amp; Indexation'!AY$16)))</f>
        <v>0</v>
      </c>
      <c r="AZ37" s="40">
        <f ca="1">IF(AZ$6&lt;$B37,0,IF(AZ$6=$B37,'Growth Engine'!AZ$10*'Macro &amp; Indexation'!AZ$19,AY37*(1+'Macro &amp; Indexation'!AZ$16)))</f>
        <v>0</v>
      </c>
      <c r="BA37" s="40">
        <f ca="1">IF(BA$6&lt;$B37,0,IF(BA$6=$B37,'Growth Engine'!BA$10*'Macro &amp; Indexation'!BA$19,AZ37*(1+'Macro &amp; Indexation'!BA$16)))</f>
        <v>0</v>
      </c>
    </row>
    <row r="38" spans="1:53" outlineLevel="1" x14ac:dyDescent="0.3">
      <c r="A38" t="s">
        <v>165</v>
      </c>
      <c r="B38">
        <v>29</v>
      </c>
      <c r="D38" s="40">
        <f>IF(D$6&lt;$B38,0,IF(D$6=$B38,'Growth Engine'!D$10*'Macro &amp; Indexation'!D$19,C38*(1+'Macro &amp; Indexation'!D$16)))</f>
        <v>0</v>
      </c>
      <c r="E38" s="40">
        <f>IF(E$6&lt;$B38,0,IF(E$6=$B38,'Growth Engine'!E$10*'Macro &amp; Indexation'!E$19,D38*(1+'Macro &amp; Indexation'!E$16)))</f>
        <v>0</v>
      </c>
      <c r="F38" s="40">
        <f>IF(F$6&lt;$B38,0,IF(F$6=$B38,'Growth Engine'!F$10*'Macro &amp; Indexation'!F$19,E38*(1+'Macro &amp; Indexation'!F$16)))</f>
        <v>0</v>
      </c>
      <c r="G38" s="40">
        <f>IF(G$6&lt;$B38,0,IF(G$6=$B38,'Growth Engine'!G$10*'Macro &amp; Indexation'!G$19,F38*(1+'Macro &amp; Indexation'!G$16)))</f>
        <v>0</v>
      </c>
      <c r="H38" s="40">
        <f>IF(H$6&lt;$B38,0,IF(H$6=$B38,'Growth Engine'!H$10*'Macro &amp; Indexation'!H$19,G38*(1+'Macro &amp; Indexation'!H$16)))</f>
        <v>0</v>
      </c>
      <c r="I38" s="40">
        <f>IF(I$6&lt;$B38,0,IF(I$6=$B38,'Growth Engine'!I$10*'Macro &amp; Indexation'!I$19,H38*(1+'Macro &amp; Indexation'!I$16)))</f>
        <v>0</v>
      </c>
      <c r="J38" s="40">
        <f>IF(J$6&lt;$B38,0,IF(J$6=$B38,'Growth Engine'!J$10*'Macro &amp; Indexation'!J$19,I38*(1+'Macro &amp; Indexation'!J$16)))</f>
        <v>0</v>
      </c>
      <c r="K38" s="40">
        <f>IF(K$6&lt;$B38,0,IF(K$6=$B38,'Growth Engine'!K$10*'Macro &amp; Indexation'!K$19,J38*(1+'Macro &amp; Indexation'!K$16)))</f>
        <v>0</v>
      </c>
      <c r="L38" s="40">
        <f>IF(L$6&lt;$B38,0,IF(L$6=$B38,'Growth Engine'!L$10*'Macro &amp; Indexation'!L$19,K38*(1+'Macro &amp; Indexation'!L$16)))</f>
        <v>0</v>
      </c>
      <c r="M38" s="40">
        <f>IF(M$6&lt;$B38,0,IF(M$6=$B38,'Growth Engine'!M$10*'Macro &amp; Indexation'!M$19,L38*(1+'Macro &amp; Indexation'!M$16)))</f>
        <v>0</v>
      </c>
      <c r="N38" s="40">
        <f>IF(N$6&lt;$B38,0,IF(N$6=$B38,'Growth Engine'!N$10*'Macro &amp; Indexation'!N$19,M38*(1+'Macro &amp; Indexation'!N$16)))</f>
        <v>0</v>
      </c>
      <c r="O38" s="40">
        <f>IF(O$6&lt;$B38,0,IF(O$6=$B38,'Growth Engine'!O$10*'Macro &amp; Indexation'!O$19,N38*(1+'Macro &amp; Indexation'!O$16)))</f>
        <v>0</v>
      </c>
      <c r="P38" s="40">
        <f>IF(P$6&lt;$B38,0,IF(P$6=$B38,'Growth Engine'!P$10*'Macro &amp; Indexation'!P$19,O38*(1+'Macro &amp; Indexation'!P$16)))</f>
        <v>0</v>
      </c>
      <c r="Q38" s="40">
        <f>IF(Q$6&lt;$B38,0,IF(Q$6=$B38,'Growth Engine'!Q$10*'Macro &amp; Indexation'!Q$19,P38*(1+'Macro &amp; Indexation'!Q$16)))</f>
        <v>0</v>
      </c>
      <c r="R38" s="40">
        <f>IF(R$6&lt;$B38,0,IF(R$6=$B38,'Growth Engine'!R$10*'Macro &amp; Indexation'!R$19,Q38*(1+'Macro &amp; Indexation'!R$16)))</f>
        <v>0</v>
      </c>
      <c r="S38" s="40">
        <f>IF(S$6&lt;$B38,0,IF(S$6=$B38,'Growth Engine'!S$10*'Macro &amp; Indexation'!S$19,R38*(1+'Macro &amp; Indexation'!S$16)))</f>
        <v>0</v>
      </c>
      <c r="T38" s="40">
        <f>IF(T$6&lt;$B38,0,IF(T$6=$B38,'Growth Engine'!T$10*'Macro &amp; Indexation'!T$19,S38*(1+'Macro &amp; Indexation'!T$16)))</f>
        <v>0</v>
      </c>
      <c r="U38" s="40">
        <f>IF(U$6&lt;$B38,0,IF(U$6=$B38,'Growth Engine'!U$10*'Macro &amp; Indexation'!U$19,T38*(1+'Macro &amp; Indexation'!U$16)))</f>
        <v>0</v>
      </c>
      <c r="V38" s="40">
        <f>IF(V$6&lt;$B38,0,IF(V$6=$B38,'Growth Engine'!V$10*'Macro &amp; Indexation'!V$19,U38*(1+'Macro &amp; Indexation'!V$16)))</f>
        <v>0</v>
      </c>
      <c r="W38" s="40">
        <f>IF(W$6&lt;$B38,0,IF(W$6=$B38,'Growth Engine'!W$10*'Macro &amp; Indexation'!W$19,V38*(1+'Macro &amp; Indexation'!W$16)))</f>
        <v>0</v>
      </c>
      <c r="X38" s="40">
        <f>IF(X$6&lt;$B38,0,IF(X$6=$B38,'Growth Engine'!X$10*'Macro &amp; Indexation'!X$19,W38*(1+'Macro &amp; Indexation'!X$16)))</f>
        <v>0</v>
      </c>
      <c r="Y38" s="40">
        <f>IF(Y$6&lt;$B38,0,IF(Y$6=$B38,'Growth Engine'!Y$10*'Macro &amp; Indexation'!Y$19,X38*(1+'Macro &amp; Indexation'!Y$16)))</f>
        <v>0</v>
      </c>
      <c r="Z38" s="40">
        <f>IF(Z$6&lt;$B38,0,IF(Z$6=$B38,'Growth Engine'!Z$10*'Macro &amp; Indexation'!Z$19,Y38*(1+'Macro &amp; Indexation'!Z$16)))</f>
        <v>0</v>
      </c>
      <c r="AA38" s="40">
        <f>IF(AA$6&lt;$B38,0,IF(AA$6=$B38,'Growth Engine'!AA$10*'Macro &amp; Indexation'!AA$19,Z38*(1+'Macro &amp; Indexation'!AA$16)))</f>
        <v>0</v>
      </c>
      <c r="AB38" s="40">
        <f>IF(AB$6&lt;$B38,0,IF(AB$6=$B38,'Growth Engine'!AB$10*'Macro &amp; Indexation'!AB$19,AA38*(1+'Macro &amp; Indexation'!AB$16)))</f>
        <v>0</v>
      </c>
      <c r="AC38" s="40">
        <f>IF(AC$6&lt;$B38,0,IF(AC$6=$B38,'Growth Engine'!AC$10*'Macro &amp; Indexation'!AC$19,AB38*(1+'Macro &amp; Indexation'!AC$16)))</f>
        <v>0</v>
      </c>
      <c r="AD38" s="40">
        <f>IF(AD$6&lt;$B38,0,IF(AD$6=$B38,'Growth Engine'!AD$10*'Macro &amp; Indexation'!AD$19,AC38*(1+'Macro &amp; Indexation'!AD$16)))</f>
        <v>0</v>
      </c>
      <c r="AE38" s="40">
        <f>IF(AE$6&lt;$B38,0,IF(AE$6=$B38,'Growth Engine'!AE$10*'Macro &amp; Indexation'!AE$19,AD38*(1+'Macro &amp; Indexation'!AE$16)))</f>
        <v>0</v>
      </c>
      <c r="AF38" s="40">
        <f ca="1">IF(AF$6&lt;$B38,0,IF(AF$6=$B38,'Growth Engine'!AF$10*'Macro &amp; Indexation'!AF$19,AE38*(1+'Macro &amp; Indexation'!AF$16)))</f>
        <v>0</v>
      </c>
      <c r="AG38" s="40">
        <f ca="1">IF(AG$6&lt;$B38,0,IF(AG$6=$B38,'Growth Engine'!AG$10*'Macro &amp; Indexation'!AG$19,AF38*(1+'Macro &amp; Indexation'!AG$16)))</f>
        <v>0</v>
      </c>
      <c r="AH38" s="40">
        <f ca="1">IF(AH$6&lt;$B38,0,IF(AH$6=$B38,'Growth Engine'!AH$10*'Macro &amp; Indexation'!AH$19,AG38*(1+'Macro &amp; Indexation'!AH$16)))</f>
        <v>0</v>
      </c>
      <c r="AI38" s="40">
        <f ca="1">IF(AI$6&lt;$B38,0,IF(AI$6=$B38,'Growth Engine'!AI$10*'Macro &amp; Indexation'!AI$19,AH38*(1+'Macro &amp; Indexation'!AI$16)))</f>
        <v>0</v>
      </c>
      <c r="AJ38" s="40">
        <f ca="1">IF(AJ$6&lt;$B38,0,IF(AJ$6=$B38,'Growth Engine'!AJ$10*'Macro &amp; Indexation'!AJ$19,AI38*(1+'Macro &amp; Indexation'!AJ$16)))</f>
        <v>0</v>
      </c>
      <c r="AK38" s="40">
        <f ca="1">IF(AK$6&lt;$B38,0,IF(AK$6=$B38,'Growth Engine'!AK$10*'Macro &amp; Indexation'!AK$19,AJ38*(1+'Macro &amp; Indexation'!AK$16)))</f>
        <v>0</v>
      </c>
      <c r="AL38" s="40">
        <f ca="1">IF(AL$6&lt;$B38,0,IF(AL$6=$B38,'Growth Engine'!AL$10*'Macro &amp; Indexation'!AL$19,AK38*(1+'Macro &amp; Indexation'!AL$16)))</f>
        <v>0</v>
      </c>
      <c r="AM38" s="40">
        <f ca="1">IF(AM$6&lt;$B38,0,IF(AM$6=$B38,'Growth Engine'!AM$10*'Macro &amp; Indexation'!AM$19,AL38*(1+'Macro &amp; Indexation'!AM$16)))</f>
        <v>0</v>
      </c>
      <c r="AN38" s="40">
        <f ca="1">IF(AN$6&lt;$B38,0,IF(AN$6=$B38,'Growth Engine'!AN$10*'Macro &amp; Indexation'!AN$19,AM38*(1+'Macro &amp; Indexation'!AN$16)))</f>
        <v>0</v>
      </c>
      <c r="AO38" s="40">
        <f ca="1">IF(AO$6&lt;$B38,0,IF(AO$6=$B38,'Growth Engine'!AO$10*'Macro &amp; Indexation'!AO$19,AN38*(1+'Macro &amp; Indexation'!AO$16)))</f>
        <v>0</v>
      </c>
      <c r="AP38" s="40">
        <f ca="1">IF(AP$6&lt;$B38,0,IF(AP$6=$B38,'Growth Engine'!AP$10*'Macro &amp; Indexation'!AP$19,AO38*(1+'Macro &amp; Indexation'!AP$16)))</f>
        <v>0</v>
      </c>
      <c r="AQ38" s="40">
        <f ca="1">IF(AQ$6&lt;$B38,0,IF(AQ$6=$B38,'Growth Engine'!AQ$10*'Macro &amp; Indexation'!AQ$19,AP38*(1+'Macro &amp; Indexation'!AQ$16)))</f>
        <v>0</v>
      </c>
      <c r="AR38" s="40">
        <f ca="1">IF(AR$6&lt;$B38,0,IF(AR$6=$B38,'Growth Engine'!AR$10*'Macro &amp; Indexation'!AR$19,AQ38*(1+'Macro &amp; Indexation'!AR$16)))</f>
        <v>0</v>
      </c>
      <c r="AS38" s="40">
        <f ca="1">IF(AS$6&lt;$B38,0,IF(AS$6=$B38,'Growth Engine'!AS$10*'Macro &amp; Indexation'!AS$19,AR38*(1+'Macro &amp; Indexation'!AS$16)))</f>
        <v>0</v>
      </c>
      <c r="AT38" s="40">
        <f ca="1">IF(AT$6&lt;$B38,0,IF(AT$6=$B38,'Growth Engine'!AT$10*'Macro &amp; Indexation'!AT$19,AS38*(1+'Macro &amp; Indexation'!AT$16)))</f>
        <v>0</v>
      </c>
      <c r="AU38" s="40">
        <f ca="1">IF(AU$6&lt;$B38,0,IF(AU$6=$B38,'Growth Engine'!AU$10*'Macro &amp; Indexation'!AU$19,AT38*(1+'Macro &amp; Indexation'!AU$16)))</f>
        <v>0</v>
      </c>
      <c r="AV38" s="40">
        <f ca="1">IF(AV$6&lt;$B38,0,IF(AV$6=$B38,'Growth Engine'!AV$10*'Macro &amp; Indexation'!AV$19,AU38*(1+'Macro &amp; Indexation'!AV$16)))</f>
        <v>0</v>
      </c>
      <c r="AW38" s="40">
        <f ca="1">IF(AW$6&lt;$B38,0,IF(AW$6=$B38,'Growth Engine'!AW$10*'Macro &amp; Indexation'!AW$19,AV38*(1+'Macro &amp; Indexation'!AW$16)))</f>
        <v>0</v>
      </c>
      <c r="AX38" s="40">
        <f ca="1">IF(AX$6&lt;$B38,0,IF(AX$6=$B38,'Growth Engine'!AX$10*'Macro &amp; Indexation'!AX$19,AW38*(1+'Macro &amp; Indexation'!AX$16)))</f>
        <v>0</v>
      </c>
      <c r="AY38" s="40">
        <f ca="1">IF(AY$6&lt;$B38,0,IF(AY$6=$B38,'Growth Engine'!AY$10*'Macro &amp; Indexation'!AY$19,AX38*(1+'Macro &amp; Indexation'!AY$16)))</f>
        <v>0</v>
      </c>
      <c r="AZ38" s="40">
        <f ca="1">IF(AZ$6&lt;$B38,0,IF(AZ$6=$B38,'Growth Engine'!AZ$10*'Macro &amp; Indexation'!AZ$19,AY38*(1+'Macro &amp; Indexation'!AZ$16)))</f>
        <v>0</v>
      </c>
      <c r="BA38" s="40">
        <f ca="1">IF(BA$6&lt;$B38,0,IF(BA$6=$B38,'Growth Engine'!BA$10*'Macro &amp; Indexation'!BA$19,AZ38*(1+'Macro &amp; Indexation'!BA$16)))</f>
        <v>0</v>
      </c>
    </row>
    <row r="39" spans="1:53" outlineLevel="1" x14ac:dyDescent="0.3">
      <c r="A39" t="s">
        <v>166</v>
      </c>
      <c r="B39">
        <v>30</v>
      </c>
      <c r="D39" s="40">
        <f>IF(D$6&lt;$B39,0,IF(D$6=$B39,'Growth Engine'!D$10*'Macro &amp; Indexation'!D$19,C39*(1+'Macro &amp; Indexation'!D$16)))</f>
        <v>0</v>
      </c>
      <c r="E39" s="40">
        <f>IF(E$6&lt;$B39,0,IF(E$6=$B39,'Growth Engine'!E$10*'Macro &amp; Indexation'!E$19,D39*(1+'Macro &amp; Indexation'!E$16)))</f>
        <v>0</v>
      </c>
      <c r="F39" s="40">
        <f>IF(F$6&lt;$B39,0,IF(F$6=$B39,'Growth Engine'!F$10*'Macro &amp; Indexation'!F$19,E39*(1+'Macro &amp; Indexation'!F$16)))</f>
        <v>0</v>
      </c>
      <c r="G39" s="40">
        <f>IF(G$6&lt;$B39,0,IF(G$6=$B39,'Growth Engine'!G$10*'Macro &amp; Indexation'!G$19,F39*(1+'Macro &amp; Indexation'!G$16)))</f>
        <v>0</v>
      </c>
      <c r="H39" s="40">
        <f>IF(H$6&lt;$B39,0,IF(H$6=$B39,'Growth Engine'!H$10*'Macro &amp; Indexation'!H$19,G39*(1+'Macro &amp; Indexation'!H$16)))</f>
        <v>0</v>
      </c>
      <c r="I39" s="40">
        <f>IF(I$6&lt;$B39,0,IF(I$6=$B39,'Growth Engine'!I$10*'Macro &amp; Indexation'!I$19,H39*(1+'Macro &amp; Indexation'!I$16)))</f>
        <v>0</v>
      </c>
      <c r="J39" s="40">
        <f>IF(J$6&lt;$B39,0,IF(J$6=$B39,'Growth Engine'!J$10*'Macro &amp; Indexation'!J$19,I39*(1+'Macro &amp; Indexation'!J$16)))</f>
        <v>0</v>
      </c>
      <c r="K39" s="40">
        <f>IF(K$6&lt;$B39,0,IF(K$6=$B39,'Growth Engine'!K$10*'Macro &amp; Indexation'!K$19,J39*(1+'Macro &amp; Indexation'!K$16)))</f>
        <v>0</v>
      </c>
      <c r="L39" s="40">
        <f>IF(L$6&lt;$B39,0,IF(L$6=$B39,'Growth Engine'!L$10*'Macro &amp; Indexation'!L$19,K39*(1+'Macro &amp; Indexation'!L$16)))</f>
        <v>0</v>
      </c>
      <c r="M39" s="40">
        <f>IF(M$6&lt;$B39,0,IF(M$6=$B39,'Growth Engine'!M$10*'Macro &amp; Indexation'!M$19,L39*(1+'Macro &amp; Indexation'!M$16)))</f>
        <v>0</v>
      </c>
      <c r="N39" s="40">
        <f>IF(N$6&lt;$B39,0,IF(N$6=$B39,'Growth Engine'!N$10*'Macro &amp; Indexation'!N$19,M39*(1+'Macro &amp; Indexation'!N$16)))</f>
        <v>0</v>
      </c>
      <c r="O39" s="40">
        <f>IF(O$6&lt;$B39,0,IF(O$6=$B39,'Growth Engine'!O$10*'Macro &amp; Indexation'!O$19,N39*(1+'Macro &amp; Indexation'!O$16)))</f>
        <v>0</v>
      </c>
      <c r="P39" s="40">
        <f>IF(P$6&lt;$B39,0,IF(P$6=$B39,'Growth Engine'!P$10*'Macro &amp; Indexation'!P$19,O39*(1+'Macro &amp; Indexation'!P$16)))</f>
        <v>0</v>
      </c>
      <c r="Q39" s="40">
        <f>IF(Q$6&lt;$B39,0,IF(Q$6=$B39,'Growth Engine'!Q$10*'Macro &amp; Indexation'!Q$19,P39*(1+'Macro &amp; Indexation'!Q$16)))</f>
        <v>0</v>
      </c>
      <c r="R39" s="40">
        <f>IF(R$6&lt;$B39,0,IF(R$6=$B39,'Growth Engine'!R$10*'Macro &amp; Indexation'!R$19,Q39*(1+'Macro &amp; Indexation'!R$16)))</f>
        <v>0</v>
      </c>
      <c r="S39" s="40">
        <f>IF(S$6&lt;$B39,0,IF(S$6=$B39,'Growth Engine'!S$10*'Macro &amp; Indexation'!S$19,R39*(1+'Macro &amp; Indexation'!S$16)))</f>
        <v>0</v>
      </c>
      <c r="T39" s="40">
        <f>IF(T$6&lt;$B39,0,IF(T$6=$B39,'Growth Engine'!T$10*'Macro &amp; Indexation'!T$19,S39*(1+'Macro &amp; Indexation'!T$16)))</f>
        <v>0</v>
      </c>
      <c r="U39" s="40">
        <f>IF(U$6&lt;$B39,0,IF(U$6=$B39,'Growth Engine'!U$10*'Macro &amp; Indexation'!U$19,T39*(1+'Macro &amp; Indexation'!U$16)))</f>
        <v>0</v>
      </c>
      <c r="V39" s="40">
        <f>IF(V$6&lt;$B39,0,IF(V$6=$B39,'Growth Engine'!V$10*'Macro &amp; Indexation'!V$19,U39*(1+'Macro &amp; Indexation'!V$16)))</f>
        <v>0</v>
      </c>
      <c r="W39" s="40">
        <f>IF(W$6&lt;$B39,0,IF(W$6=$B39,'Growth Engine'!W$10*'Macro &amp; Indexation'!W$19,V39*(1+'Macro &amp; Indexation'!W$16)))</f>
        <v>0</v>
      </c>
      <c r="X39" s="40">
        <f>IF(X$6&lt;$B39,0,IF(X$6=$B39,'Growth Engine'!X$10*'Macro &amp; Indexation'!X$19,W39*(1+'Macro &amp; Indexation'!X$16)))</f>
        <v>0</v>
      </c>
      <c r="Y39" s="40">
        <f>IF(Y$6&lt;$B39,0,IF(Y$6=$B39,'Growth Engine'!Y$10*'Macro &amp; Indexation'!Y$19,X39*(1+'Macro &amp; Indexation'!Y$16)))</f>
        <v>0</v>
      </c>
      <c r="Z39" s="40">
        <f>IF(Z$6&lt;$B39,0,IF(Z$6=$B39,'Growth Engine'!Z$10*'Macro &amp; Indexation'!Z$19,Y39*(1+'Macro &amp; Indexation'!Z$16)))</f>
        <v>0</v>
      </c>
      <c r="AA39" s="40">
        <f>IF(AA$6&lt;$B39,0,IF(AA$6=$B39,'Growth Engine'!AA$10*'Macro &amp; Indexation'!AA$19,Z39*(1+'Macro &amp; Indexation'!AA$16)))</f>
        <v>0</v>
      </c>
      <c r="AB39" s="40">
        <f>IF(AB$6&lt;$B39,0,IF(AB$6=$B39,'Growth Engine'!AB$10*'Macro &amp; Indexation'!AB$19,AA39*(1+'Macro &amp; Indexation'!AB$16)))</f>
        <v>0</v>
      </c>
      <c r="AC39" s="40">
        <f>IF(AC$6&lt;$B39,0,IF(AC$6=$B39,'Growth Engine'!AC$10*'Macro &amp; Indexation'!AC$19,AB39*(1+'Macro &amp; Indexation'!AC$16)))</f>
        <v>0</v>
      </c>
      <c r="AD39" s="40">
        <f>IF(AD$6&lt;$B39,0,IF(AD$6=$B39,'Growth Engine'!AD$10*'Macro &amp; Indexation'!AD$19,AC39*(1+'Macro &amp; Indexation'!AD$16)))</f>
        <v>0</v>
      </c>
      <c r="AE39" s="40">
        <f>IF(AE$6&lt;$B39,0,IF(AE$6=$B39,'Growth Engine'!AE$10*'Macro &amp; Indexation'!AE$19,AD39*(1+'Macro &amp; Indexation'!AE$16)))</f>
        <v>0</v>
      </c>
      <c r="AF39" s="40">
        <f>IF(AF$6&lt;$B39,0,IF(AF$6=$B39,'Growth Engine'!AF$10*'Macro &amp; Indexation'!AF$19,AE39*(1+'Macro &amp; Indexation'!AF$16)))</f>
        <v>0</v>
      </c>
      <c r="AG39" s="40">
        <f ca="1">IF(AG$6&lt;$B39,0,IF(AG$6=$B39,'Growth Engine'!AG$10*'Macro &amp; Indexation'!AG$19,AF39*(1+'Macro &amp; Indexation'!AG$16)))</f>
        <v>759325.83315626625</v>
      </c>
      <c r="AH39" s="40">
        <f ca="1">IF(AH$6&lt;$B39,0,IF(AH$6=$B39,'Growth Engine'!AH$10*'Macro &amp; Indexation'!AH$19,AG39*(1+'Macro &amp; Indexation'!AH$16)))</f>
        <v>785902.23731673555</v>
      </c>
      <c r="AI39" s="40">
        <f ca="1">IF(AI$6&lt;$B39,0,IF(AI$6=$B39,'Growth Engine'!AI$10*'Macro &amp; Indexation'!AI$19,AH39*(1+'Macro &amp; Indexation'!AI$16)))</f>
        <v>813408.81562282122</v>
      </c>
      <c r="AJ39" s="40">
        <f ca="1">IF(AJ$6&lt;$B39,0,IF(AJ$6=$B39,'Growth Engine'!AJ$10*'Macro &amp; Indexation'!AJ$19,AI39*(1+'Macro &amp; Indexation'!AJ$16)))</f>
        <v>841878.12416961987</v>
      </c>
      <c r="AK39" s="40">
        <f ca="1">IF(AK$6&lt;$B39,0,IF(AK$6=$B39,'Growth Engine'!AK$10*'Macro &amp; Indexation'!AK$19,AJ39*(1+'Macro &amp; Indexation'!AK$16)))</f>
        <v>871343.85851555655</v>
      </c>
      <c r="AL39" s="40">
        <f ca="1">IF(AL$6&lt;$B39,0,IF(AL$6=$B39,'Growth Engine'!AL$10*'Macro &amp; Indexation'!AL$19,AK39*(1+'Macro &amp; Indexation'!AL$16)))</f>
        <v>901840.89356360096</v>
      </c>
      <c r="AM39" s="40">
        <f ca="1">IF(AM$6&lt;$B39,0,IF(AM$6=$B39,'Growth Engine'!AM$10*'Macro &amp; Indexation'!AM$19,AL39*(1+'Macro &amp; Indexation'!AM$16)))</f>
        <v>933405.32483832689</v>
      </c>
      <c r="AN39" s="40">
        <f ca="1">IF(AN$6&lt;$B39,0,IF(AN$6=$B39,'Growth Engine'!AN$10*'Macro &amp; Indexation'!AN$19,AM39*(1+'Macro &amp; Indexation'!AN$16)))</f>
        <v>966074.51120766823</v>
      </c>
      <c r="AO39" s="40">
        <f ca="1">IF(AO$6&lt;$B39,0,IF(AO$6=$B39,'Growth Engine'!AO$10*'Macro &amp; Indexation'!AO$19,AN39*(1+'Macro &amp; Indexation'!AO$16)))</f>
        <v>999887.11909993656</v>
      </c>
      <c r="AP39" s="40">
        <f ca="1">IF(AP$6&lt;$B39,0,IF(AP$6=$B39,'Growth Engine'!AP$10*'Macro &amp; Indexation'!AP$19,AO39*(1+'Macro &amp; Indexation'!AP$16)))</f>
        <v>1034883.1682684342</v>
      </c>
      <c r="AQ39" s="40">
        <f ca="1">IF(AQ$6&lt;$B39,0,IF(AQ$6=$B39,'Growth Engine'!AQ$10*'Macro &amp; Indexation'!AQ$19,AP39*(1+'Macro &amp; Indexation'!AQ$16)))</f>
        <v>1071104.0791578293</v>
      </c>
      <c r="AR39" s="40">
        <f ca="1">IF(AR$6&lt;$B39,0,IF(AR$6=$B39,'Growth Engine'!AR$10*'Macro &amp; Indexation'!AR$19,AQ39*(1+'Macro &amp; Indexation'!AR$16)))</f>
        <v>1108592.7219283532</v>
      </c>
      <c r="AS39" s="40">
        <f ca="1">IF(AS$6&lt;$B39,0,IF(AS$6=$B39,'Growth Engine'!AS$10*'Macro &amp; Indexation'!AS$19,AR39*(1+'Macro &amp; Indexation'!AS$16)))</f>
        <v>1147393.4671958454</v>
      </c>
      <c r="AT39" s="40">
        <f ca="1">IF(AT$6&lt;$B39,0,IF(AT$6=$B39,'Growth Engine'!AT$10*'Macro &amp; Indexation'!AT$19,AS39*(1+'Macro &amp; Indexation'!AT$16)))</f>
        <v>1187552.2385477</v>
      </c>
      <c r="AU39" s="40">
        <f ca="1">IF(AU$6&lt;$B39,0,IF(AU$6=$B39,'Growth Engine'!AU$10*'Macro &amp; Indexation'!AU$19,AT39*(1+'Macro &amp; Indexation'!AU$16)))</f>
        <v>1229116.5668968693</v>
      </c>
      <c r="AV39" s="40">
        <f ca="1">IF(AV$6&lt;$B39,0,IF(AV$6=$B39,'Growth Engine'!AV$10*'Macro &amp; Indexation'!AV$19,AU39*(1+'Macro &amp; Indexation'!AV$16)))</f>
        <v>1272135.6467382596</v>
      </c>
      <c r="AW39" s="40">
        <f ca="1">IF(AW$6&lt;$B39,0,IF(AW$6=$B39,'Growth Engine'!AW$10*'Macro &amp; Indexation'!AW$19,AV39*(1+'Macro &amp; Indexation'!AW$16)))</f>
        <v>1316660.3943740986</v>
      </c>
      <c r="AX39" s="40">
        <f ca="1">IF(AX$6&lt;$B39,0,IF(AX$6=$B39,'Growth Engine'!AX$10*'Macro &amp; Indexation'!AX$19,AW39*(1+'Macro &amp; Indexation'!AX$16)))</f>
        <v>1362743.508177192</v>
      </c>
      <c r="AY39" s="40">
        <f ca="1">IF(AY$6&lt;$B39,0,IF(AY$6=$B39,'Growth Engine'!AY$10*'Macro &amp; Indexation'!AY$19,AX39*(1+'Macro &amp; Indexation'!AY$16)))</f>
        <v>1410439.5309633936</v>
      </c>
      <c r="AZ39" s="40">
        <f ca="1">IF(AZ$6&lt;$B39,0,IF(AZ$6=$B39,'Growth Engine'!AZ$10*'Macro &amp; Indexation'!AZ$19,AY39*(1+'Macro &amp; Indexation'!AZ$16)))</f>
        <v>1459804.9145471123</v>
      </c>
      <c r="BA39" s="40">
        <f ca="1">IF(BA$6&lt;$B39,0,IF(BA$6=$B39,'Growth Engine'!BA$10*'Macro &amp; Indexation'!BA$19,AZ39*(1+'Macro &amp; Indexation'!BA$16)))</f>
        <v>1510898.0865562612</v>
      </c>
    </row>
    <row r="40" spans="1:53" outlineLevel="1" x14ac:dyDescent="0.3">
      <c r="A40" t="s">
        <v>167</v>
      </c>
      <c r="B40">
        <v>31</v>
      </c>
      <c r="D40" s="40">
        <f>IF(D$6&lt;$B40,0,IF(D$6=$B40,'Growth Engine'!D$10*'Macro &amp; Indexation'!D$19,C40*(1+'Macro &amp; Indexation'!D$16)))</f>
        <v>0</v>
      </c>
      <c r="E40" s="40">
        <f>IF(E$6&lt;$B40,0,IF(E$6=$B40,'Growth Engine'!E$10*'Macro &amp; Indexation'!E$19,D40*(1+'Macro &amp; Indexation'!E$16)))</f>
        <v>0</v>
      </c>
      <c r="F40" s="40">
        <f>IF(F$6&lt;$B40,0,IF(F$6=$B40,'Growth Engine'!F$10*'Macro &amp; Indexation'!F$19,E40*(1+'Macro &amp; Indexation'!F$16)))</f>
        <v>0</v>
      </c>
      <c r="G40" s="40">
        <f>IF(G$6&lt;$B40,0,IF(G$6=$B40,'Growth Engine'!G$10*'Macro &amp; Indexation'!G$19,F40*(1+'Macro &amp; Indexation'!G$16)))</f>
        <v>0</v>
      </c>
      <c r="H40" s="40">
        <f>IF(H$6&lt;$B40,0,IF(H$6=$B40,'Growth Engine'!H$10*'Macro &amp; Indexation'!H$19,G40*(1+'Macro &amp; Indexation'!H$16)))</f>
        <v>0</v>
      </c>
      <c r="I40" s="40">
        <f>IF(I$6&lt;$B40,0,IF(I$6=$B40,'Growth Engine'!I$10*'Macro &amp; Indexation'!I$19,H40*(1+'Macro &amp; Indexation'!I$16)))</f>
        <v>0</v>
      </c>
      <c r="J40" s="40">
        <f>IF(J$6&lt;$B40,0,IF(J$6=$B40,'Growth Engine'!J$10*'Macro &amp; Indexation'!J$19,I40*(1+'Macro &amp; Indexation'!J$16)))</f>
        <v>0</v>
      </c>
      <c r="K40" s="40">
        <f>IF(K$6&lt;$B40,0,IF(K$6=$B40,'Growth Engine'!K$10*'Macro &amp; Indexation'!K$19,J40*(1+'Macro &amp; Indexation'!K$16)))</f>
        <v>0</v>
      </c>
      <c r="L40" s="40">
        <f>IF(L$6&lt;$B40,0,IF(L$6=$B40,'Growth Engine'!L$10*'Macro &amp; Indexation'!L$19,K40*(1+'Macro &amp; Indexation'!L$16)))</f>
        <v>0</v>
      </c>
      <c r="M40" s="40">
        <f>IF(M$6&lt;$B40,0,IF(M$6=$B40,'Growth Engine'!M$10*'Macro &amp; Indexation'!M$19,L40*(1+'Macro &amp; Indexation'!M$16)))</f>
        <v>0</v>
      </c>
      <c r="N40" s="40">
        <f>IF(N$6&lt;$B40,0,IF(N$6=$B40,'Growth Engine'!N$10*'Macro &amp; Indexation'!N$19,M40*(1+'Macro &amp; Indexation'!N$16)))</f>
        <v>0</v>
      </c>
      <c r="O40" s="40">
        <f>IF(O$6&lt;$B40,0,IF(O$6=$B40,'Growth Engine'!O$10*'Macro &amp; Indexation'!O$19,N40*(1+'Macro &amp; Indexation'!O$16)))</f>
        <v>0</v>
      </c>
      <c r="P40" s="40">
        <f>IF(P$6&lt;$B40,0,IF(P$6=$B40,'Growth Engine'!P$10*'Macro &amp; Indexation'!P$19,O40*(1+'Macro &amp; Indexation'!P$16)))</f>
        <v>0</v>
      </c>
      <c r="Q40" s="40">
        <f>IF(Q$6&lt;$B40,0,IF(Q$6=$B40,'Growth Engine'!Q$10*'Macro &amp; Indexation'!Q$19,P40*(1+'Macro &amp; Indexation'!Q$16)))</f>
        <v>0</v>
      </c>
      <c r="R40" s="40">
        <f>IF(R$6&lt;$B40,0,IF(R$6=$B40,'Growth Engine'!R$10*'Macro &amp; Indexation'!R$19,Q40*(1+'Macro &amp; Indexation'!R$16)))</f>
        <v>0</v>
      </c>
      <c r="S40" s="40">
        <f>IF(S$6&lt;$B40,0,IF(S$6=$B40,'Growth Engine'!S$10*'Macro &amp; Indexation'!S$19,R40*(1+'Macro &amp; Indexation'!S$16)))</f>
        <v>0</v>
      </c>
      <c r="T40" s="40">
        <f>IF(T$6&lt;$B40,0,IF(T$6=$B40,'Growth Engine'!T$10*'Macro &amp; Indexation'!T$19,S40*(1+'Macro &amp; Indexation'!T$16)))</f>
        <v>0</v>
      </c>
      <c r="U40" s="40">
        <f>IF(U$6&lt;$B40,0,IF(U$6=$B40,'Growth Engine'!U$10*'Macro &amp; Indexation'!U$19,T40*(1+'Macro &amp; Indexation'!U$16)))</f>
        <v>0</v>
      </c>
      <c r="V40" s="40">
        <f>IF(V$6&lt;$B40,0,IF(V$6=$B40,'Growth Engine'!V$10*'Macro &amp; Indexation'!V$19,U40*(1+'Macro &amp; Indexation'!V$16)))</f>
        <v>0</v>
      </c>
      <c r="W40" s="40">
        <f>IF(W$6&lt;$B40,0,IF(W$6=$B40,'Growth Engine'!W$10*'Macro &amp; Indexation'!W$19,V40*(1+'Macro &amp; Indexation'!W$16)))</f>
        <v>0</v>
      </c>
      <c r="X40" s="40">
        <f>IF(X$6&lt;$B40,0,IF(X$6=$B40,'Growth Engine'!X$10*'Macro &amp; Indexation'!X$19,W40*(1+'Macro &amp; Indexation'!X$16)))</f>
        <v>0</v>
      </c>
      <c r="Y40" s="40">
        <f>IF(Y$6&lt;$B40,0,IF(Y$6=$B40,'Growth Engine'!Y$10*'Macro &amp; Indexation'!Y$19,X40*(1+'Macro &amp; Indexation'!Y$16)))</f>
        <v>0</v>
      </c>
      <c r="Z40" s="40">
        <f>IF(Z$6&lt;$B40,0,IF(Z$6=$B40,'Growth Engine'!Z$10*'Macro &amp; Indexation'!Z$19,Y40*(1+'Macro &amp; Indexation'!Z$16)))</f>
        <v>0</v>
      </c>
      <c r="AA40" s="40">
        <f>IF(AA$6&lt;$B40,0,IF(AA$6=$B40,'Growth Engine'!AA$10*'Macro &amp; Indexation'!AA$19,Z40*(1+'Macro &amp; Indexation'!AA$16)))</f>
        <v>0</v>
      </c>
      <c r="AB40" s="40">
        <f>IF(AB$6&lt;$B40,0,IF(AB$6=$B40,'Growth Engine'!AB$10*'Macro &amp; Indexation'!AB$19,AA40*(1+'Macro &amp; Indexation'!AB$16)))</f>
        <v>0</v>
      </c>
      <c r="AC40" s="40">
        <f>IF(AC$6&lt;$B40,0,IF(AC$6=$B40,'Growth Engine'!AC$10*'Macro &amp; Indexation'!AC$19,AB40*(1+'Macro &amp; Indexation'!AC$16)))</f>
        <v>0</v>
      </c>
      <c r="AD40" s="40">
        <f>IF(AD$6&lt;$B40,0,IF(AD$6=$B40,'Growth Engine'!AD$10*'Macro &amp; Indexation'!AD$19,AC40*(1+'Macro &amp; Indexation'!AD$16)))</f>
        <v>0</v>
      </c>
      <c r="AE40" s="40">
        <f>IF(AE$6&lt;$B40,0,IF(AE$6=$B40,'Growth Engine'!AE$10*'Macro &amp; Indexation'!AE$19,AD40*(1+'Macro &amp; Indexation'!AE$16)))</f>
        <v>0</v>
      </c>
      <c r="AF40" s="40">
        <f>IF(AF$6&lt;$B40,0,IF(AF$6=$B40,'Growth Engine'!AF$10*'Macro &amp; Indexation'!AF$19,AE40*(1+'Macro &amp; Indexation'!AF$16)))</f>
        <v>0</v>
      </c>
      <c r="AG40" s="40">
        <f>IF(AG$6&lt;$B40,0,IF(AG$6=$B40,'Growth Engine'!AG$10*'Macro &amp; Indexation'!AG$19,AF40*(1+'Macro &amp; Indexation'!AG$16)))</f>
        <v>0</v>
      </c>
      <c r="AH40" s="40">
        <f ca="1">IF(AH$6&lt;$B40,0,IF(AH$6=$B40,'Growth Engine'!AH$10*'Macro &amp; Indexation'!AH$19,AG40*(1+'Macro &amp; Indexation'!AH$16)))</f>
        <v>0</v>
      </c>
      <c r="AI40" s="40">
        <f ca="1">IF(AI$6&lt;$B40,0,IF(AI$6=$B40,'Growth Engine'!AI$10*'Macro &amp; Indexation'!AI$19,AH40*(1+'Macro &amp; Indexation'!AI$16)))</f>
        <v>0</v>
      </c>
      <c r="AJ40" s="40">
        <f ca="1">IF(AJ$6&lt;$B40,0,IF(AJ$6=$B40,'Growth Engine'!AJ$10*'Macro &amp; Indexation'!AJ$19,AI40*(1+'Macro &amp; Indexation'!AJ$16)))</f>
        <v>0</v>
      </c>
      <c r="AK40" s="40">
        <f ca="1">IF(AK$6&lt;$B40,0,IF(AK$6=$B40,'Growth Engine'!AK$10*'Macro &amp; Indexation'!AK$19,AJ40*(1+'Macro &amp; Indexation'!AK$16)))</f>
        <v>0</v>
      </c>
      <c r="AL40" s="40">
        <f ca="1">IF(AL$6&lt;$B40,0,IF(AL$6=$B40,'Growth Engine'!AL$10*'Macro &amp; Indexation'!AL$19,AK40*(1+'Macro &amp; Indexation'!AL$16)))</f>
        <v>0</v>
      </c>
      <c r="AM40" s="40">
        <f ca="1">IF(AM$6&lt;$B40,0,IF(AM$6=$B40,'Growth Engine'!AM$10*'Macro &amp; Indexation'!AM$19,AL40*(1+'Macro &amp; Indexation'!AM$16)))</f>
        <v>0</v>
      </c>
      <c r="AN40" s="40">
        <f ca="1">IF(AN$6&lt;$B40,0,IF(AN$6=$B40,'Growth Engine'!AN$10*'Macro &amp; Indexation'!AN$19,AM40*(1+'Macro &amp; Indexation'!AN$16)))</f>
        <v>0</v>
      </c>
      <c r="AO40" s="40">
        <f ca="1">IF(AO$6&lt;$B40,0,IF(AO$6=$B40,'Growth Engine'!AO$10*'Macro &amp; Indexation'!AO$19,AN40*(1+'Macro &amp; Indexation'!AO$16)))</f>
        <v>0</v>
      </c>
      <c r="AP40" s="40">
        <f ca="1">IF(AP$6&lt;$B40,0,IF(AP$6=$B40,'Growth Engine'!AP$10*'Macro &amp; Indexation'!AP$19,AO40*(1+'Macro &amp; Indexation'!AP$16)))</f>
        <v>0</v>
      </c>
      <c r="AQ40" s="40">
        <f ca="1">IF(AQ$6&lt;$B40,0,IF(AQ$6=$B40,'Growth Engine'!AQ$10*'Macro &amp; Indexation'!AQ$19,AP40*(1+'Macro &amp; Indexation'!AQ$16)))</f>
        <v>0</v>
      </c>
      <c r="AR40" s="40">
        <f ca="1">IF(AR$6&lt;$B40,0,IF(AR$6=$B40,'Growth Engine'!AR$10*'Macro &amp; Indexation'!AR$19,AQ40*(1+'Macro &amp; Indexation'!AR$16)))</f>
        <v>0</v>
      </c>
      <c r="AS40" s="40">
        <f ca="1">IF(AS$6&lt;$B40,0,IF(AS$6=$B40,'Growth Engine'!AS$10*'Macro &amp; Indexation'!AS$19,AR40*(1+'Macro &amp; Indexation'!AS$16)))</f>
        <v>0</v>
      </c>
      <c r="AT40" s="40">
        <f ca="1">IF(AT$6&lt;$B40,0,IF(AT$6=$B40,'Growth Engine'!AT$10*'Macro &amp; Indexation'!AT$19,AS40*(1+'Macro &amp; Indexation'!AT$16)))</f>
        <v>0</v>
      </c>
      <c r="AU40" s="40">
        <f ca="1">IF(AU$6&lt;$B40,0,IF(AU$6=$B40,'Growth Engine'!AU$10*'Macro &amp; Indexation'!AU$19,AT40*(1+'Macro &amp; Indexation'!AU$16)))</f>
        <v>0</v>
      </c>
      <c r="AV40" s="40">
        <f ca="1">IF(AV$6&lt;$B40,0,IF(AV$6=$B40,'Growth Engine'!AV$10*'Macro &amp; Indexation'!AV$19,AU40*(1+'Macro &amp; Indexation'!AV$16)))</f>
        <v>0</v>
      </c>
      <c r="AW40" s="40">
        <f ca="1">IF(AW$6&lt;$B40,0,IF(AW$6=$B40,'Growth Engine'!AW$10*'Macro &amp; Indexation'!AW$19,AV40*(1+'Macro &amp; Indexation'!AW$16)))</f>
        <v>0</v>
      </c>
      <c r="AX40" s="40">
        <f ca="1">IF(AX$6&lt;$B40,0,IF(AX$6=$B40,'Growth Engine'!AX$10*'Macro &amp; Indexation'!AX$19,AW40*(1+'Macro &amp; Indexation'!AX$16)))</f>
        <v>0</v>
      </c>
      <c r="AY40" s="40">
        <f ca="1">IF(AY$6&lt;$B40,0,IF(AY$6=$B40,'Growth Engine'!AY$10*'Macro &amp; Indexation'!AY$19,AX40*(1+'Macro &amp; Indexation'!AY$16)))</f>
        <v>0</v>
      </c>
      <c r="AZ40" s="40">
        <f ca="1">IF(AZ$6&lt;$B40,0,IF(AZ$6=$B40,'Growth Engine'!AZ$10*'Macro &amp; Indexation'!AZ$19,AY40*(1+'Macro &amp; Indexation'!AZ$16)))</f>
        <v>0</v>
      </c>
      <c r="BA40" s="40">
        <f ca="1">IF(BA$6&lt;$B40,0,IF(BA$6=$B40,'Growth Engine'!BA$10*'Macro &amp; Indexation'!BA$19,AZ40*(1+'Macro &amp; Indexation'!BA$16)))</f>
        <v>0</v>
      </c>
    </row>
    <row r="41" spans="1:53" outlineLevel="1" x14ac:dyDescent="0.3">
      <c r="A41" t="s">
        <v>168</v>
      </c>
      <c r="B41">
        <v>32</v>
      </c>
      <c r="D41" s="40">
        <f>IF(D$6&lt;$B41,0,IF(D$6=$B41,'Growth Engine'!D$10*'Macro &amp; Indexation'!D$19,C41*(1+'Macro &amp; Indexation'!D$16)))</f>
        <v>0</v>
      </c>
      <c r="E41" s="40">
        <f>IF(E$6&lt;$B41,0,IF(E$6=$B41,'Growth Engine'!E$10*'Macro &amp; Indexation'!E$19,D41*(1+'Macro &amp; Indexation'!E$16)))</f>
        <v>0</v>
      </c>
      <c r="F41" s="40">
        <f>IF(F$6&lt;$B41,0,IF(F$6=$B41,'Growth Engine'!F$10*'Macro &amp; Indexation'!F$19,E41*(1+'Macro &amp; Indexation'!F$16)))</f>
        <v>0</v>
      </c>
      <c r="G41" s="40">
        <f>IF(G$6&lt;$B41,0,IF(G$6=$B41,'Growth Engine'!G$10*'Macro &amp; Indexation'!G$19,F41*(1+'Macro &amp; Indexation'!G$16)))</f>
        <v>0</v>
      </c>
      <c r="H41" s="40">
        <f>IF(H$6&lt;$B41,0,IF(H$6=$B41,'Growth Engine'!H$10*'Macro &amp; Indexation'!H$19,G41*(1+'Macro &amp; Indexation'!H$16)))</f>
        <v>0</v>
      </c>
      <c r="I41" s="40">
        <f>IF(I$6&lt;$B41,0,IF(I$6=$B41,'Growth Engine'!I$10*'Macro &amp; Indexation'!I$19,H41*(1+'Macro &amp; Indexation'!I$16)))</f>
        <v>0</v>
      </c>
      <c r="J41" s="40">
        <f>IF(J$6&lt;$B41,0,IF(J$6=$B41,'Growth Engine'!J$10*'Macro &amp; Indexation'!J$19,I41*(1+'Macro &amp; Indexation'!J$16)))</f>
        <v>0</v>
      </c>
      <c r="K41" s="40">
        <f>IF(K$6&lt;$B41,0,IF(K$6=$B41,'Growth Engine'!K$10*'Macro &amp; Indexation'!K$19,J41*(1+'Macro &amp; Indexation'!K$16)))</f>
        <v>0</v>
      </c>
      <c r="L41" s="40">
        <f>IF(L$6&lt;$B41,0,IF(L$6=$B41,'Growth Engine'!L$10*'Macro &amp; Indexation'!L$19,K41*(1+'Macro &amp; Indexation'!L$16)))</f>
        <v>0</v>
      </c>
      <c r="M41" s="40">
        <f>IF(M$6&lt;$B41,0,IF(M$6=$B41,'Growth Engine'!M$10*'Macro &amp; Indexation'!M$19,L41*(1+'Macro &amp; Indexation'!M$16)))</f>
        <v>0</v>
      </c>
      <c r="N41" s="40">
        <f>IF(N$6&lt;$B41,0,IF(N$6=$B41,'Growth Engine'!N$10*'Macro &amp; Indexation'!N$19,M41*(1+'Macro &amp; Indexation'!N$16)))</f>
        <v>0</v>
      </c>
      <c r="O41" s="40">
        <f>IF(O$6&lt;$B41,0,IF(O$6=$B41,'Growth Engine'!O$10*'Macro &amp; Indexation'!O$19,N41*(1+'Macro &amp; Indexation'!O$16)))</f>
        <v>0</v>
      </c>
      <c r="P41" s="40">
        <f>IF(P$6&lt;$B41,0,IF(P$6=$B41,'Growth Engine'!P$10*'Macro &amp; Indexation'!P$19,O41*(1+'Macro &amp; Indexation'!P$16)))</f>
        <v>0</v>
      </c>
      <c r="Q41" s="40">
        <f>IF(Q$6&lt;$B41,0,IF(Q$6=$B41,'Growth Engine'!Q$10*'Macro &amp; Indexation'!Q$19,P41*(1+'Macro &amp; Indexation'!Q$16)))</f>
        <v>0</v>
      </c>
      <c r="R41" s="40">
        <f>IF(R$6&lt;$B41,0,IF(R$6=$B41,'Growth Engine'!R$10*'Macro &amp; Indexation'!R$19,Q41*(1+'Macro &amp; Indexation'!R$16)))</f>
        <v>0</v>
      </c>
      <c r="S41" s="40">
        <f>IF(S$6&lt;$B41,0,IF(S$6=$B41,'Growth Engine'!S$10*'Macro &amp; Indexation'!S$19,R41*(1+'Macro &amp; Indexation'!S$16)))</f>
        <v>0</v>
      </c>
      <c r="T41" s="40">
        <f>IF(T$6&lt;$B41,0,IF(T$6=$B41,'Growth Engine'!T$10*'Macro &amp; Indexation'!T$19,S41*(1+'Macro &amp; Indexation'!T$16)))</f>
        <v>0</v>
      </c>
      <c r="U41" s="40">
        <f>IF(U$6&lt;$B41,0,IF(U$6=$B41,'Growth Engine'!U$10*'Macro &amp; Indexation'!U$19,T41*(1+'Macro &amp; Indexation'!U$16)))</f>
        <v>0</v>
      </c>
      <c r="V41" s="40">
        <f>IF(V$6&lt;$B41,0,IF(V$6=$B41,'Growth Engine'!V$10*'Macro &amp; Indexation'!V$19,U41*(1+'Macro &amp; Indexation'!V$16)))</f>
        <v>0</v>
      </c>
      <c r="W41" s="40">
        <f>IF(W$6&lt;$B41,0,IF(W$6=$B41,'Growth Engine'!W$10*'Macro &amp; Indexation'!W$19,V41*(1+'Macro &amp; Indexation'!W$16)))</f>
        <v>0</v>
      </c>
      <c r="X41" s="40">
        <f>IF(X$6&lt;$B41,0,IF(X$6=$B41,'Growth Engine'!X$10*'Macro &amp; Indexation'!X$19,W41*(1+'Macro &amp; Indexation'!X$16)))</f>
        <v>0</v>
      </c>
      <c r="Y41" s="40">
        <f>IF(Y$6&lt;$B41,0,IF(Y$6=$B41,'Growth Engine'!Y$10*'Macro &amp; Indexation'!Y$19,X41*(1+'Macro &amp; Indexation'!Y$16)))</f>
        <v>0</v>
      </c>
      <c r="Z41" s="40">
        <f>IF(Z$6&lt;$B41,0,IF(Z$6=$B41,'Growth Engine'!Z$10*'Macro &amp; Indexation'!Z$19,Y41*(1+'Macro &amp; Indexation'!Z$16)))</f>
        <v>0</v>
      </c>
      <c r="AA41" s="40">
        <f>IF(AA$6&lt;$B41,0,IF(AA$6=$B41,'Growth Engine'!AA$10*'Macro &amp; Indexation'!AA$19,Z41*(1+'Macro &amp; Indexation'!AA$16)))</f>
        <v>0</v>
      </c>
      <c r="AB41" s="40">
        <f>IF(AB$6&lt;$B41,0,IF(AB$6=$B41,'Growth Engine'!AB$10*'Macro &amp; Indexation'!AB$19,AA41*(1+'Macro &amp; Indexation'!AB$16)))</f>
        <v>0</v>
      </c>
      <c r="AC41" s="40">
        <f>IF(AC$6&lt;$B41,0,IF(AC$6=$B41,'Growth Engine'!AC$10*'Macro &amp; Indexation'!AC$19,AB41*(1+'Macro &amp; Indexation'!AC$16)))</f>
        <v>0</v>
      </c>
      <c r="AD41" s="40">
        <f>IF(AD$6&lt;$B41,0,IF(AD$6=$B41,'Growth Engine'!AD$10*'Macro &amp; Indexation'!AD$19,AC41*(1+'Macro &amp; Indexation'!AD$16)))</f>
        <v>0</v>
      </c>
      <c r="AE41" s="40">
        <f>IF(AE$6&lt;$B41,0,IF(AE$6=$B41,'Growth Engine'!AE$10*'Macro &amp; Indexation'!AE$19,AD41*(1+'Macro &amp; Indexation'!AE$16)))</f>
        <v>0</v>
      </c>
      <c r="AF41" s="40">
        <f>IF(AF$6&lt;$B41,0,IF(AF$6=$B41,'Growth Engine'!AF$10*'Macro &amp; Indexation'!AF$19,AE41*(1+'Macro &amp; Indexation'!AF$16)))</f>
        <v>0</v>
      </c>
      <c r="AG41" s="40">
        <f>IF(AG$6&lt;$B41,0,IF(AG$6=$B41,'Growth Engine'!AG$10*'Macro &amp; Indexation'!AG$19,AF41*(1+'Macro &amp; Indexation'!AG$16)))</f>
        <v>0</v>
      </c>
      <c r="AH41" s="40">
        <f>IF(AH$6&lt;$B41,0,IF(AH$6=$B41,'Growth Engine'!AH$10*'Macro &amp; Indexation'!AH$19,AG41*(1+'Macro &amp; Indexation'!AH$16)))</f>
        <v>0</v>
      </c>
      <c r="AI41" s="40">
        <f ca="1">IF(AI$6&lt;$B41,0,IF(AI$6=$B41,'Growth Engine'!AI$10*'Macro &amp; Indexation'!AI$19,AH41*(1+'Macro &amp; Indexation'!AI$16)))</f>
        <v>813408.81562282122</v>
      </c>
      <c r="AJ41" s="40">
        <f ca="1">IF(AJ$6&lt;$B41,0,IF(AJ$6=$B41,'Growth Engine'!AJ$10*'Macro &amp; Indexation'!AJ$19,AI41*(1+'Macro &amp; Indexation'!AJ$16)))</f>
        <v>841878.12416961987</v>
      </c>
      <c r="AK41" s="40">
        <f ca="1">IF(AK$6&lt;$B41,0,IF(AK$6=$B41,'Growth Engine'!AK$10*'Macro &amp; Indexation'!AK$19,AJ41*(1+'Macro &amp; Indexation'!AK$16)))</f>
        <v>871343.85851555655</v>
      </c>
      <c r="AL41" s="40">
        <f ca="1">IF(AL$6&lt;$B41,0,IF(AL$6=$B41,'Growth Engine'!AL$10*'Macro &amp; Indexation'!AL$19,AK41*(1+'Macro &amp; Indexation'!AL$16)))</f>
        <v>901840.89356360096</v>
      </c>
      <c r="AM41" s="40">
        <f ca="1">IF(AM$6&lt;$B41,0,IF(AM$6=$B41,'Growth Engine'!AM$10*'Macro &amp; Indexation'!AM$19,AL41*(1+'Macro &amp; Indexation'!AM$16)))</f>
        <v>933405.32483832689</v>
      </c>
      <c r="AN41" s="40">
        <f ca="1">IF(AN$6&lt;$B41,0,IF(AN$6=$B41,'Growth Engine'!AN$10*'Macro &amp; Indexation'!AN$19,AM41*(1+'Macro &amp; Indexation'!AN$16)))</f>
        <v>966074.51120766823</v>
      </c>
      <c r="AO41" s="40">
        <f ca="1">IF(AO$6&lt;$B41,0,IF(AO$6=$B41,'Growth Engine'!AO$10*'Macro &amp; Indexation'!AO$19,AN41*(1+'Macro &amp; Indexation'!AO$16)))</f>
        <v>999887.11909993656</v>
      </c>
      <c r="AP41" s="40">
        <f ca="1">IF(AP$6&lt;$B41,0,IF(AP$6=$B41,'Growth Engine'!AP$10*'Macro &amp; Indexation'!AP$19,AO41*(1+'Macro &amp; Indexation'!AP$16)))</f>
        <v>1034883.1682684342</v>
      </c>
      <c r="AQ41" s="40">
        <f ca="1">IF(AQ$6&lt;$B41,0,IF(AQ$6=$B41,'Growth Engine'!AQ$10*'Macro &amp; Indexation'!AQ$19,AP41*(1+'Macro &amp; Indexation'!AQ$16)))</f>
        <v>1071104.0791578293</v>
      </c>
      <c r="AR41" s="40">
        <f ca="1">IF(AR$6&lt;$B41,0,IF(AR$6=$B41,'Growth Engine'!AR$10*'Macro &amp; Indexation'!AR$19,AQ41*(1+'Macro &amp; Indexation'!AR$16)))</f>
        <v>1108592.7219283532</v>
      </c>
      <c r="AS41" s="40">
        <f ca="1">IF(AS$6&lt;$B41,0,IF(AS$6=$B41,'Growth Engine'!AS$10*'Macro &amp; Indexation'!AS$19,AR41*(1+'Macro &amp; Indexation'!AS$16)))</f>
        <v>1147393.4671958454</v>
      </c>
      <c r="AT41" s="40">
        <f ca="1">IF(AT$6&lt;$B41,0,IF(AT$6=$B41,'Growth Engine'!AT$10*'Macro &amp; Indexation'!AT$19,AS41*(1+'Macro &amp; Indexation'!AT$16)))</f>
        <v>1187552.2385477</v>
      </c>
      <c r="AU41" s="40">
        <f ca="1">IF(AU$6&lt;$B41,0,IF(AU$6=$B41,'Growth Engine'!AU$10*'Macro &amp; Indexation'!AU$19,AT41*(1+'Macro &amp; Indexation'!AU$16)))</f>
        <v>1229116.5668968693</v>
      </c>
      <c r="AV41" s="40">
        <f ca="1">IF(AV$6&lt;$B41,0,IF(AV$6=$B41,'Growth Engine'!AV$10*'Macro &amp; Indexation'!AV$19,AU41*(1+'Macro &amp; Indexation'!AV$16)))</f>
        <v>1272135.6467382596</v>
      </c>
      <c r="AW41" s="40">
        <f ca="1">IF(AW$6&lt;$B41,0,IF(AW$6=$B41,'Growth Engine'!AW$10*'Macro &amp; Indexation'!AW$19,AV41*(1+'Macro &amp; Indexation'!AW$16)))</f>
        <v>1316660.3943740986</v>
      </c>
      <c r="AX41" s="40">
        <f ca="1">IF(AX$6&lt;$B41,0,IF(AX$6=$B41,'Growth Engine'!AX$10*'Macro &amp; Indexation'!AX$19,AW41*(1+'Macro &amp; Indexation'!AX$16)))</f>
        <v>1362743.508177192</v>
      </c>
      <c r="AY41" s="40">
        <f ca="1">IF(AY$6&lt;$B41,0,IF(AY$6=$B41,'Growth Engine'!AY$10*'Macro &amp; Indexation'!AY$19,AX41*(1+'Macro &amp; Indexation'!AY$16)))</f>
        <v>1410439.5309633936</v>
      </c>
      <c r="AZ41" s="40">
        <f ca="1">IF(AZ$6&lt;$B41,0,IF(AZ$6=$B41,'Growth Engine'!AZ$10*'Macro &amp; Indexation'!AZ$19,AY41*(1+'Macro &amp; Indexation'!AZ$16)))</f>
        <v>1459804.9145471123</v>
      </c>
      <c r="BA41" s="40">
        <f ca="1">IF(BA$6&lt;$B41,0,IF(BA$6=$B41,'Growth Engine'!BA$10*'Macro &amp; Indexation'!BA$19,AZ41*(1+'Macro &amp; Indexation'!BA$16)))</f>
        <v>1510898.0865562612</v>
      </c>
    </row>
    <row r="42" spans="1:53" outlineLevel="1" x14ac:dyDescent="0.3">
      <c r="A42" t="s">
        <v>169</v>
      </c>
      <c r="B42">
        <v>33</v>
      </c>
      <c r="D42" s="40">
        <f>IF(D$6&lt;$B42,0,IF(D$6=$B42,'Growth Engine'!D$10*'Macro &amp; Indexation'!D$19,C42*(1+'Macro &amp; Indexation'!D$16)))</f>
        <v>0</v>
      </c>
      <c r="E42" s="40">
        <f>IF(E$6&lt;$B42,0,IF(E$6=$B42,'Growth Engine'!E$10*'Macro &amp; Indexation'!E$19,D42*(1+'Macro &amp; Indexation'!E$16)))</f>
        <v>0</v>
      </c>
      <c r="F42" s="40">
        <f>IF(F$6&lt;$B42,0,IF(F$6=$B42,'Growth Engine'!F$10*'Macro &amp; Indexation'!F$19,E42*(1+'Macro &amp; Indexation'!F$16)))</f>
        <v>0</v>
      </c>
      <c r="G42" s="40">
        <f>IF(G$6&lt;$B42,0,IF(G$6=$B42,'Growth Engine'!G$10*'Macro &amp; Indexation'!G$19,F42*(1+'Macro &amp; Indexation'!G$16)))</f>
        <v>0</v>
      </c>
      <c r="H42" s="40">
        <f>IF(H$6&lt;$B42,0,IF(H$6=$B42,'Growth Engine'!H$10*'Macro &amp; Indexation'!H$19,G42*(1+'Macro &amp; Indexation'!H$16)))</f>
        <v>0</v>
      </c>
      <c r="I42" s="40">
        <f>IF(I$6&lt;$B42,0,IF(I$6=$B42,'Growth Engine'!I$10*'Macro &amp; Indexation'!I$19,H42*(1+'Macro &amp; Indexation'!I$16)))</f>
        <v>0</v>
      </c>
      <c r="J42" s="40">
        <f>IF(J$6&lt;$B42,0,IF(J$6=$B42,'Growth Engine'!J$10*'Macro &amp; Indexation'!J$19,I42*(1+'Macro &amp; Indexation'!J$16)))</f>
        <v>0</v>
      </c>
      <c r="K42" s="40">
        <f>IF(K$6&lt;$B42,0,IF(K$6=$B42,'Growth Engine'!K$10*'Macro &amp; Indexation'!K$19,J42*(1+'Macro &amp; Indexation'!K$16)))</f>
        <v>0</v>
      </c>
      <c r="L42" s="40">
        <f>IF(L$6&lt;$B42,0,IF(L$6=$B42,'Growth Engine'!L$10*'Macro &amp; Indexation'!L$19,K42*(1+'Macro &amp; Indexation'!L$16)))</f>
        <v>0</v>
      </c>
      <c r="M42" s="40">
        <f>IF(M$6&lt;$B42,0,IF(M$6=$B42,'Growth Engine'!M$10*'Macro &amp; Indexation'!M$19,L42*(1+'Macro &amp; Indexation'!M$16)))</f>
        <v>0</v>
      </c>
      <c r="N42" s="40">
        <f>IF(N$6&lt;$B42,0,IF(N$6=$B42,'Growth Engine'!N$10*'Macro &amp; Indexation'!N$19,M42*(1+'Macro &amp; Indexation'!N$16)))</f>
        <v>0</v>
      </c>
      <c r="O42" s="40">
        <f>IF(O$6&lt;$B42,0,IF(O$6=$B42,'Growth Engine'!O$10*'Macro &amp; Indexation'!O$19,N42*(1+'Macro &amp; Indexation'!O$16)))</f>
        <v>0</v>
      </c>
      <c r="P42" s="40">
        <f>IF(P$6&lt;$B42,0,IF(P$6=$B42,'Growth Engine'!P$10*'Macro &amp; Indexation'!P$19,O42*(1+'Macro &amp; Indexation'!P$16)))</f>
        <v>0</v>
      </c>
      <c r="Q42" s="40">
        <f>IF(Q$6&lt;$B42,0,IF(Q$6=$B42,'Growth Engine'!Q$10*'Macro &amp; Indexation'!Q$19,P42*(1+'Macro &amp; Indexation'!Q$16)))</f>
        <v>0</v>
      </c>
      <c r="R42" s="40">
        <f>IF(R$6&lt;$B42,0,IF(R$6=$B42,'Growth Engine'!R$10*'Macro &amp; Indexation'!R$19,Q42*(1+'Macro &amp; Indexation'!R$16)))</f>
        <v>0</v>
      </c>
      <c r="S42" s="40">
        <f>IF(S$6&lt;$B42,0,IF(S$6=$B42,'Growth Engine'!S$10*'Macro &amp; Indexation'!S$19,R42*(1+'Macro &amp; Indexation'!S$16)))</f>
        <v>0</v>
      </c>
      <c r="T42" s="40">
        <f>IF(T$6&lt;$B42,0,IF(T$6=$B42,'Growth Engine'!T$10*'Macro &amp; Indexation'!T$19,S42*(1+'Macro &amp; Indexation'!T$16)))</f>
        <v>0</v>
      </c>
      <c r="U42" s="40">
        <f>IF(U$6&lt;$B42,0,IF(U$6=$B42,'Growth Engine'!U$10*'Macro &amp; Indexation'!U$19,T42*(1+'Macro &amp; Indexation'!U$16)))</f>
        <v>0</v>
      </c>
      <c r="V42" s="40">
        <f>IF(V$6&lt;$B42,0,IF(V$6=$B42,'Growth Engine'!V$10*'Macro &amp; Indexation'!V$19,U42*(1+'Macro &amp; Indexation'!V$16)))</f>
        <v>0</v>
      </c>
      <c r="W42" s="40">
        <f>IF(W$6&lt;$B42,0,IF(W$6=$B42,'Growth Engine'!W$10*'Macro &amp; Indexation'!W$19,V42*(1+'Macro &amp; Indexation'!W$16)))</f>
        <v>0</v>
      </c>
      <c r="X42" s="40">
        <f>IF(X$6&lt;$B42,0,IF(X$6=$B42,'Growth Engine'!X$10*'Macro &amp; Indexation'!X$19,W42*(1+'Macro &amp; Indexation'!X$16)))</f>
        <v>0</v>
      </c>
      <c r="Y42" s="40">
        <f>IF(Y$6&lt;$B42,0,IF(Y$6=$B42,'Growth Engine'!Y$10*'Macro &amp; Indexation'!Y$19,X42*(1+'Macro &amp; Indexation'!Y$16)))</f>
        <v>0</v>
      </c>
      <c r="Z42" s="40">
        <f>IF(Z$6&lt;$B42,0,IF(Z$6=$B42,'Growth Engine'!Z$10*'Macro &amp; Indexation'!Z$19,Y42*(1+'Macro &amp; Indexation'!Z$16)))</f>
        <v>0</v>
      </c>
      <c r="AA42" s="40">
        <f>IF(AA$6&lt;$B42,0,IF(AA$6=$B42,'Growth Engine'!AA$10*'Macro &amp; Indexation'!AA$19,Z42*(1+'Macro &amp; Indexation'!AA$16)))</f>
        <v>0</v>
      </c>
      <c r="AB42" s="40">
        <f>IF(AB$6&lt;$B42,0,IF(AB$6=$B42,'Growth Engine'!AB$10*'Macro &amp; Indexation'!AB$19,AA42*(1+'Macro &amp; Indexation'!AB$16)))</f>
        <v>0</v>
      </c>
      <c r="AC42" s="40">
        <f>IF(AC$6&lt;$B42,0,IF(AC$6=$B42,'Growth Engine'!AC$10*'Macro &amp; Indexation'!AC$19,AB42*(1+'Macro &amp; Indexation'!AC$16)))</f>
        <v>0</v>
      </c>
      <c r="AD42" s="40">
        <f>IF(AD$6&lt;$B42,0,IF(AD$6=$B42,'Growth Engine'!AD$10*'Macro &amp; Indexation'!AD$19,AC42*(1+'Macro &amp; Indexation'!AD$16)))</f>
        <v>0</v>
      </c>
      <c r="AE42" s="40">
        <f>IF(AE$6&lt;$B42,0,IF(AE$6=$B42,'Growth Engine'!AE$10*'Macro &amp; Indexation'!AE$19,AD42*(1+'Macro &amp; Indexation'!AE$16)))</f>
        <v>0</v>
      </c>
      <c r="AF42" s="40">
        <f>IF(AF$6&lt;$B42,0,IF(AF$6=$B42,'Growth Engine'!AF$10*'Macro &amp; Indexation'!AF$19,AE42*(1+'Macro &amp; Indexation'!AF$16)))</f>
        <v>0</v>
      </c>
      <c r="AG42" s="40">
        <f>IF(AG$6&lt;$B42,0,IF(AG$6=$B42,'Growth Engine'!AG$10*'Macro &amp; Indexation'!AG$19,AF42*(1+'Macro &amp; Indexation'!AG$16)))</f>
        <v>0</v>
      </c>
      <c r="AH42" s="40">
        <f>IF(AH$6&lt;$B42,0,IF(AH$6=$B42,'Growth Engine'!AH$10*'Macro &amp; Indexation'!AH$19,AG42*(1+'Macro &amp; Indexation'!AH$16)))</f>
        <v>0</v>
      </c>
      <c r="AI42" s="40">
        <f>IF(AI$6&lt;$B42,0,IF(AI$6=$B42,'Growth Engine'!AI$10*'Macro &amp; Indexation'!AI$19,AH42*(1+'Macro &amp; Indexation'!AI$16)))</f>
        <v>0</v>
      </c>
      <c r="AJ42" s="40">
        <f ca="1">IF(AJ$6&lt;$B42,0,IF(AJ$6=$B42,'Growth Engine'!AJ$10*'Macro &amp; Indexation'!AJ$19,AI42*(1+'Macro &amp; Indexation'!AJ$16)))</f>
        <v>841878.12416961975</v>
      </c>
      <c r="AK42" s="40">
        <f ca="1">IF(AK$6&lt;$B42,0,IF(AK$6=$B42,'Growth Engine'!AK$10*'Macro &amp; Indexation'!AK$19,AJ42*(1+'Macro &amp; Indexation'!AK$16)))</f>
        <v>871343.85851555644</v>
      </c>
      <c r="AL42" s="40">
        <f ca="1">IF(AL$6&lt;$B42,0,IF(AL$6=$B42,'Growth Engine'!AL$10*'Macro &amp; Indexation'!AL$19,AK42*(1+'Macro &amp; Indexation'!AL$16)))</f>
        <v>901840.89356360084</v>
      </c>
      <c r="AM42" s="40">
        <f ca="1">IF(AM$6&lt;$B42,0,IF(AM$6=$B42,'Growth Engine'!AM$10*'Macro &amp; Indexation'!AM$19,AL42*(1+'Macro &amp; Indexation'!AM$16)))</f>
        <v>933405.32483832678</v>
      </c>
      <c r="AN42" s="40">
        <f ca="1">IF(AN$6&lt;$B42,0,IF(AN$6=$B42,'Growth Engine'!AN$10*'Macro &amp; Indexation'!AN$19,AM42*(1+'Macro &amp; Indexation'!AN$16)))</f>
        <v>966074.51120766811</v>
      </c>
      <c r="AO42" s="40">
        <f ca="1">IF(AO$6&lt;$B42,0,IF(AO$6=$B42,'Growth Engine'!AO$10*'Macro &amp; Indexation'!AO$19,AN42*(1+'Macro &amp; Indexation'!AO$16)))</f>
        <v>999887.11909993645</v>
      </c>
      <c r="AP42" s="40">
        <f ca="1">IF(AP$6&lt;$B42,0,IF(AP$6=$B42,'Growth Engine'!AP$10*'Macro &amp; Indexation'!AP$19,AO42*(1+'Macro &amp; Indexation'!AP$16)))</f>
        <v>1034883.1682684341</v>
      </c>
      <c r="AQ42" s="40">
        <f ca="1">IF(AQ$6&lt;$B42,0,IF(AQ$6=$B42,'Growth Engine'!AQ$10*'Macro &amp; Indexation'!AQ$19,AP42*(1+'Macro &amp; Indexation'!AQ$16)))</f>
        <v>1071104.0791578293</v>
      </c>
      <c r="AR42" s="40">
        <f ca="1">IF(AR$6&lt;$B42,0,IF(AR$6=$B42,'Growth Engine'!AR$10*'Macro &amp; Indexation'!AR$19,AQ42*(1+'Macro &amp; Indexation'!AR$16)))</f>
        <v>1108592.7219283532</v>
      </c>
      <c r="AS42" s="40">
        <f ca="1">IF(AS$6&lt;$B42,0,IF(AS$6=$B42,'Growth Engine'!AS$10*'Macro &amp; Indexation'!AS$19,AR42*(1+'Macro &amp; Indexation'!AS$16)))</f>
        <v>1147393.4671958454</v>
      </c>
      <c r="AT42" s="40">
        <f ca="1">IF(AT$6&lt;$B42,0,IF(AT$6=$B42,'Growth Engine'!AT$10*'Macro &amp; Indexation'!AT$19,AS42*(1+'Macro &amp; Indexation'!AT$16)))</f>
        <v>1187552.2385477</v>
      </c>
      <c r="AU42" s="40">
        <f ca="1">IF(AU$6&lt;$B42,0,IF(AU$6=$B42,'Growth Engine'!AU$10*'Macro &amp; Indexation'!AU$19,AT42*(1+'Macro &amp; Indexation'!AU$16)))</f>
        <v>1229116.5668968693</v>
      </c>
      <c r="AV42" s="40">
        <f ca="1">IF(AV$6&lt;$B42,0,IF(AV$6=$B42,'Growth Engine'!AV$10*'Macro &amp; Indexation'!AV$19,AU42*(1+'Macro &amp; Indexation'!AV$16)))</f>
        <v>1272135.6467382596</v>
      </c>
      <c r="AW42" s="40">
        <f ca="1">IF(AW$6&lt;$B42,0,IF(AW$6=$B42,'Growth Engine'!AW$10*'Macro &amp; Indexation'!AW$19,AV42*(1+'Macro &amp; Indexation'!AW$16)))</f>
        <v>1316660.3943740986</v>
      </c>
      <c r="AX42" s="40">
        <f ca="1">IF(AX$6&lt;$B42,0,IF(AX$6=$B42,'Growth Engine'!AX$10*'Macro &amp; Indexation'!AX$19,AW42*(1+'Macro &amp; Indexation'!AX$16)))</f>
        <v>1362743.508177192</v>
      </c>
      <c r="AY42" s="40">
        <f ca="1">IF(AY$6&lt;$B42,0,IF(AY$6=$B42,'Growth Engine'!AY$10*'Macro &amp; Indexation'!AY$19,AX42*(1+'Macro &amp; Indexation'!AY$16)))</f>
        <v>1410439.5309633936</v>
      </c>
      <c r="AZ42" s="40">
        <f ca="1">IF(AZ$6&lt;$B42,0,IF(AZ$6=$B42,'Growth Engine'!AZ$10*'Macro &amp; Indexation'!AZ$19,AY42*(1+'Macro &amp; Indexation'!AZ$16)))</f>
        <v>1459804.9145471123</v>
      </c>
      <c r="BA42" s="40">
        <f ca="1">IF(BA$6&lt;$B42,0,IF(BA$6=$B42,'Growth Engine'!BA$10*'Macro &amp; Indexation'!BA$19,AZ42*(1+'Macro &amp; Indexation'!BA$16)))</f>
        <v>1510898.0865562612</v>
      </c>
    </row>
    <row r="43" spans="1:53" outlineLevel="1" x14ac:dyDescent="0.3">
      <c r="A43" t="s">
        <v>170</v>
      </c>
      <c r="B43">
        <v>34</v>
      </c>
      <c r="D43" s="40">
        <f>IF(D$6&lt;$B43,0,IF(D$6=$B43,'Growth Engine'!D$10*'Macro &amp; Indexation'!D$19,C43*(1+'Macro &amp; Indexation'!D$16)))</f>
        <v>0</v>
      </c>
      <c r="E43" s="40">
        <f>IF(E$6&lt;$B43,0,IF(E$6=$B43,'Growth Engine'!E$10*'Macro &amp; Indexation'!E$19,D43*(1+'Macro &amp; Indexation'!E$16)))</f>
        <v>0</v>
      </c>
      <c r="F43" s="40">
        <f>IF(F$6&lt;$B43,0,IF(F$6=$B43,'Growth Engine'!F$10*'Macro &amp; Indexation'!F$19,E43*(1+'Macro &amp; Indexation'!F$16)))</f>
        <v>0</v>
      </c>
      <c r="G43" s="40">
        <f>IF(G$6&lt;$B43,0,IF(G$6=$B43,'Growth Engine'!G$10*'Macro &amp; Indexation'!G$19,F43*(1+'Macro &amp; Indexation'!G$16)))</f>
        <v>0</v>
      </c>
      <c r="H43" s="40">
        <f>IF(H$6&lt;$B43,0,IF(H$6=$B43,'Growth Engine'!H$10*'Macro &amp; Indexation'!H$19,G43*(1+'Macro &amp; Indexation'!H$16)))</f>
        <v>0</v>
      </c>
      <c r="I43" s="40">
        <f>IF(I$6&lt;$B43,0,IF(I$6=$B43,'Growth Engine'!I$10*'Macro &amp; Indexation'!I$19,H43*(1+'Macro &amp; Indexation'!I$16)))</f>
        <v>0</v>
      </c>
      <c r="J43" s="40">
        <f>IF(J$6&lt;$B43,0,IF(J$6=$B43,'Growth Engine'!J$10*'Macro &amp; Indexation'!J$19,I43*(1+'Macro &amp; Indexation'!J$16)))</f>
        <v>0</v>
      </c>
      <c r="K43" s="40">
        <f>IF(K$6&lt;$B43,0,IF(K$6=$B43,'Growth Engine'!K$10*'Macro &amp; Indexation'!K$19,J43*(1+'Macro &amp; Indexation'!K$16)))</f>
        <v>0</v>
      </c>
      <c r="L43" s="40">
        <f>IF(L$6&lt;$B43,0,IF(L$6=$B43,'Growth Engine'!L$10*'Macro &amp; Indexation'!L$19,K43*(1+'Macro &amp; Indexation'!L$16)))</f>
        <v>0</v>
      </c>
      <c r="M43" s="40">
        <f>IF(M$6&lt;$B43,0,IF(M$6=$B43,'Growth Engine'!M$10*'Macro &amp; Indexation'!M$19,L43*(1+'Macro &amp; Indexation'!M$16)))</f>
        <v>0</v>
      </c>
      <c r="N43" s="40">
        <f>IF(N$6&lt;$B43,0,IF(N$6=$B43,'Growth Engine'!N$10*'Macro &amp; Indexation'!N$19,M43*(1+'Macro &amp; Indexation'!N$16)))</f>
        <v>0</v>
      </c>
      <c r="O43" s="40">
        <f>IF(O$6&lt;$B43,0,IF(O$6=$B43,'Growth Engine'!O$10*'Macro &amp; Indexation'!O$19,N43*(1+'Macro &amp; Indexation'!O$16)))</f>
        <v>0</v>
      </c>
      <c r="P43" s="40">
        <f>IF(P$6&lt;$B43,0,IF(P$6=$B43,'Growth Engine'!P$10*'Macro &amp; Indexation'!P$19,O43*(1+'Macro &amp; Indexation'!P$16)))</f>
        <v>0</v>
      </c>
      <c r="Q43" s="40">
        <f>IF(Q$6&lt;$B43,0,IF(Q$6=$B43,'Growth Engine'!Q$10*'Macro &amp; Indexation'!Q$19,P43*(1+'Macro &amp; Indexation'!Q$16)))</f>
        <v>0</v>
      </c>
      <c r="R43" s="40">
        <f>IF(R$6&lt;$B43,0,IF(R$6=$B43,'Growth Engine'!R$10*'Macro &amp; Indexation'!R$19,Q43*(1+'Macro &amp; Indexation'!R$16)))</f>
        <v>0</v>
      </c>
      <c r="S43" s="40">
        <f>IF(S$6&lt;$B43,0,IF(S$6=$B43,'Growth Engine'!S$10*'Macro &amp; Indexation'!S$19,R43*(1+'Macro &amp; Indexation'!S$16)))</f>
        <v>0</v>
      </c>
      <c r="T43" s="40">
        <f>IF(T$6&lt;$B43,0,IF(T$6=$B43,'Growth Engine'!T$10*'Macro &amp; Indexation'!T$19,S43*(1+'Macro &amp; Indexation'!T$16)))</f>
        <v>0</v>
      </c>
      <c r="U43" s="40">
        <f>IF(U$6&lt;$B43,0,IF(U$6=$B43,'Growth Engine'!U$10*'Macro &amp; Indexation'!U$19,T43*(1+'Macro &amp; Indexation'!U$16)))</f>
        <v>0</v>
      </c>
      <c r="V43" s="40">
        <f>IF(V$6&lt;$B43,0,IF(V$6=$B43,'Growth Engine'!V$10*'Macro &amp; Indexation'!V$19,U43*(1+'Macro &amp; Indexation'!V$16)))</f>
        <v>0</v>
      </c>
      <c r="W43" s="40">
        <f>IF(W$6&lt;$B43,0,IF(W$6=$B43,'Growth Engine'!W$10*'Macro &amp; Indexation'!W$19,V43*(1+'Macro &amp; Indexation'!W$16)))</f>
        <v>0</v>
      </c>
      <c r="X43" s="40">
        <f>IF(X$6&lt;$B43,0,IF(X$6=$B43,'Growth Engine'!X$10*'Macro &amp; Indexation'!X$19,W43*(1+'Macro &amp; Indexation'!X$16)))</f>
        <v>0</v>
      </c>
      <c r="Y43" s="40">
        <f>IF(Y$6&lt;$B43,0,IF(Y$6=$B43,'Growth Engine'!Y$10*'Macro &amp; Indexation'!Y$19,X43*(1+'Macro &amp; Indexation'!Y$16)))</f>
        <v>0</v>
      </c>
      <c r="Z43" s="40">
        <f>IF(Z$6&lt;$B43,0,IF(Z$6=$B43,'Growth Engine'!Z$10*'Macro &amp; Indexation'!Z$19,Y43*(1+'Macro &amp; Indexation'!Z$16)))</f>
        <v>0</v>
      </c>
      <c r="AA43" s="40">
        <f>IF(AA$6&lt;$B43,0,IF(AA$6=$B43,'Growth Engine'!AA$10*'Macro &amp; Indexation'!AA$19,Z43*(1+'Macro &amp; Indexation'!AA$16)))</f>
        <v>0</v>
      </c>
      <c r="AB43" s="40">
        <f>IF(AB$6&lt;$B43,0,IF(AB$6=$B43,'Growth Engine'!AB$10*'Macro &amp; Indexation'!AB$19,AA43*(1+'Macro &amp; Indexation'!AB$16)))</f>
        <v>0</v>
      </c>
      <c r="AC43" s="40">
        <f>IF(AC$6&lt;$B43,0,IF(AC$6=$B43,'Growth Engine'!AC$10*'Macro &amp; Indexation'!AC$19,AB43*(1+'Macro &amp; Indexation'!AC$16)))</f>
        <v>0</v>
      </c>
      <c r="AD43" s="40">
        <f>IF(AD$6&lt;$B43,0,IF(AD$6=$B43,'Growth Engine'!AD$10*'Macro &amp; Indexation'!AD$19,AC43*(1+'Macro &amp; Indexation'!AD$16)))</f>
        <v>0</v>
      </c>
      <c r="AE43" s="40">
        <f>IF(AE$6&lt;$B43,0,IF(AE$6=$B43,'Growth Engine'!AE$10*'Macro &amp; Indexation'!AE$19,AD43*(1+'Macro &amp; Indexation'!AE$16)))</f>
        <v>0</v>
      </c>
      <c r="AF43" s="40">
        <f>IF(AF$6&lt;$B43,0,IF(AF$6=$B43,'Growth Engine'!AF$10*'Macro &amp; Indexation'!AF$19,AE43*(1+'Macro &amp; Indexation'!AF$16)))</f>
        <v>0</v>
      </c>
      <c r="AG43" s="40">
        <f>IF(AG$6&lt;$B43,0,IF(AG$6=$B43,'Growth Engine'!AG$10*'Macro &amp; Indexation'!AG$19,AF43*(1+'Macro &amp; Indexation'!AG$16)))</f>
        <v>0</v>
      </c>
      <c r="AH43" s="40">
        <f>IF(AH$6&lt;$B43,0,IF(AH$6=$B43,'Growth Engine'!AH$10*'Macro &amp; Indexation'!AH$19,AG43*(1+'Macro &amp; Indexation'!AH$16)))</f>
        <v>0</v>
      </c>
      <c r="AI43" s="40">
        <f>IF(AI$6&lt;$B43,0,IF(AI$6=$B43,'Growth Engine'!AI$10*'Macro &amp; Indexation'!AI$19,AH43*(1+'Macro &amp; Indexation'!AI$16)))</f>
        <v>0</v>
      </c>
      <c r="AJ43" s="40">
        <f>IF(AJ$6&lt;$B43,0,IF(AJ$6=$B43,'Growth Engine'!AJ$10*'Macro &amp; Indexation'!AJ$19,AI43*(1+'Macro &amp; Indexation'!AJ$16)))</f>
        <v>0</v>
      </c>
      <c r="AK43" s="40">
        <f ca="1">IF(AK$6&lt;$B43,0,IF(AK$6=$B43,'Growth Engine'!AK$10*'Macro &amp; Indexation'!AK$19,AJ43*(1+'Macro &amp; Indexation'!AK$16)))</f>
        <v>0</v>
      </c>
      <c r="AL43" s="40">
        <f ca="1">IF(AL$6&lt;$B43,0,IF(AL$6=$B43,'Growth Engine'!AL$10*'Macro &amp; Indexation'!AL$19,AK43*(1+'Macro &amp; Indexation'!AL$16)))</f>
        <v>0</v>
      </c>
      <c r="AM43" s="40">
        <f ca="1">IF(AM$6&lt;$B43,0,IF(AM$6=$B43,'Growth Engine'!AM$10*'Macro &amp; Indexation'!AM$19,AL43*(1+'Macro &amp; Indexation'!AM$16)))</f>
        <v>0</v>
      </c>
      <c r="AN43" s="40">
        <f ca="1">IF(AN$6&lt;$B43,0,IF(AN$6=$B43,'Growth Engine'!AN$10*'Macro &amp; Indexation'!AN$19,AM43*(1+'Macro &amp; Indexation'!AN$16)))</f>
        <v>0</v>
      </c>
      <c r="AO43" s="40">
        <f ca="1">IF(AO$6&lt;$B43,0,IF(AO$6=$B43,'Growth Engine'!AO$10*'Macro &amp; Indexation'!AO$19,AN43*(1+'Macro &amp; Indexation'!AO$16)))</f>
        <v>0</v>
      </c>
      <c r="AP43" s="40">
        <f ca="1">IF(AP$6&lt;$B43,0,IF(AP$6=$B43,'Growth Engine'!AP$10*'Macro &amp; Indexation'!AP$19,AO43*(1+'Macro &amp; Indexation'!AP$16)))</f>
        <v>0</v>
      </c>
      <c r="AQ43" s="40">
        <f ca="1">IF(AQ$6&lt;$B43,0,IF(AQ$6=$B43,'Growth Engine'!AQ$10*'Macro &amp; Indexation'!AQ$19,AP43*(1+'Macro &amp; Indexation'!AQ$16)))</f>
        <v>0</v>
      </c>
      <c r="AR43" s="40">
        <f ca="1">IF(AR$6&lt;$B43,0,IF(AR$6=$B43,'Growth Engine'!AR$10*'Macro &amp; Indexation'!AR$19,AQ43*(1+'Macro &amp; Indexation'!AR$16)))</f>
        <v>0</v>
      </c>
      <c r="AS43" s="40">
        <f ca="1">IF(AS$6&lt;$B43,0,IF(AS$6=$B43,'Growth Engine'!AS$10*'Macro &amp; Indexation'!AS$19,AR43*(1+'Macro &amp; Indexation'!AS$16)))</f>
        <v>0</v>
      </c>
      <c r="AT43" s="40">
        <f ca="1">IF(AT$6&lt;$B43,0,IF(AT$6=$B43,'Growth Engine'!AT$10*'Macro &amp; Indexation'!AT$19,AS43*(1+'Macro &amp; Indexation'!AT$16)))</f>
        <v>0</v>
      </c>
      <c r="AU43" s="40">
        <f ca="1">IF(AU$6&lt;$B43,0,IF(AU$6=$B43,'Growth Engine'!AU$10*'Macro &amp; Indexation'!AU$19,AT43*(1+'Macro &amp; Indexation'!AU$16)))</f>
        <v>0</v>
      </c>
      <c r="AV43" s="40">
        <f ca="1">IF(AV$6&lt;$B43,0,IF(AV$6=$B43,'Growth Engine'!AV$10*'Macro &amp; Indexation'!AV$19,AU43*(1+'Macro &amp; Indexation'!AV$16)))</f>
        <v>0</v>
      </c>
      <c r="AW43" s="40">
        <f ca="1">IF(AW$6&lt;$B43,0,IF(AW$6=$B43,'Growth Engine'!AW$10*'Macro &amp; Indexation'!AW$19,AV43*(1+'Macro &amp; Indexation'!AW$16)))</f>
        <v>0</v>
      </c>
      <c r="AX43" s="40">
        <f ca="1">IF(AX$6&lt;$B43,0,IF(AX$6=$B43,'Growth Engine'!AX$10*'Macro &amp; Indexation'!AX$19,AW43*(1+'Macro &amp; Indexation'!AX$16)))</f>
        <v>0</v>
      </c>
      <c r="AY43" s="40">
        <f ca="1">IF(AY$6&lt;$B43,0,IF(AY$6=$B43,'Growth Engine'!AY$10*'Macro &amp; Indexation'!AY$19,AX43*(1+'Macro &amp; Indexation'!AY$16)))</f>
        <v>0</v>
      </c>
      <c r="AZ43" s="40">
        <f ca="1">IF(AZ$6&lt;$B43,0,IF(AZ$6=$B43,'Growth Engine'!AZ$10*'Macro &amp; Indexation'!AZ$19,AY43*(1+'Macro &amp; Indexation'!AZ$16)))</f>
        <v>0</v>
      </c>
      <c r="BA43" s="40">
        <f ca="1">IF(BA$6&lt;$B43,0,IF(BA$6=$B43,'Growth Engine'!BA$10*'Macro &amp; Indexation'!BA$19,AZ43*(1+'Macro &amp; Indexation'!BA$16)))</f>
        <v>0</v>
      </c>
    </row>
    <row r="44" spans="1:53" outlineLevel="1" x14ac:dyDescent="0.3">
      <c r="A44" t="s">
        <v>171</v>
      </c>
      <c r="B44">
        <v>35</v>
      </c>
      <c r="D44" s="40">
        <f>IF(D$6&lt;$B44,0,IF(D$6=$B44,'Growth Engine'!D$10*'Macro &amp; Indexation'!D$19,C44*(1+'Macro &amp; Indexation'!D$16)))</f>
        <v>0</v>
      </c>
      <c r="E44" s="40">
        <f>IF(E$6&lt;$B44,0,IF(E$6=$B44,'Growth Engine'!E$10*'Macro &amp; Indexation'!E$19,D44*(1+'Macro &amp; Indexation'!E$16)))</f>
        <v>0</v>
      </c>
      <c r="F44" s="40">
        <f>IF(F$6&lt;$B44,0,IF(F$6=$B44,'Growth Engine'!F$10*'Macro &amp; Indexation'!F$19,E44*(1+'Macro &amp; Indexation'!F$16)))</f>
        <v>0</v>
      </c>
      <c r="G44" s="40">
        <f>IF(G$6&lt;$B44,0,IF(G$6=$B44,'Growth Engine'!G$10*'Macro &amp; Indexation'!G$19,F44*(1+'Macro &amp; Indexation'!G$16)))</f>
        <v>0</v>
      </c>
      <c r="H44" s="40">
        <f>IF(H$6&lt;$B44,0,IF(H$6=$B44,'Growth Engine'!H$10*'Macro &amp; Indexation'!H$19,G44*(1+'Macro &amp; Indexation'!H$16)))</f>
        <v>0</v>
      </c>
      <c r="I44" s="40">
        <f>IF(I$6&lt;$B44,0,IF(I$6=$B44,'Growth Engine'!I$10*'Macro &amp; Indexation'!I$19,H44*(1+'Macro &amp; Indexation'!I$16)))</f>
        <v>0</v>
      </c>
      <c r="J44" s="40">
        <f>IF(J$6&lt;$B44,0,IF(J$6=$B44,'Growth Engine'!J$10*'Macro &amp; Indexation'!J$19,I44*(1+'Macro &amp; Indexation'!J$16)))</f>
        <v>0</v>
      </c>
      <c r="K44" s="40">
        <f>IF(K$6&lt;$B44,0,IF(K$6=$B44,'Growth Engine'!K$10*'Macro &amp; Indexation'!K$19,J44*(1+'Macro &amp; Indexation'!K$16)))</f>
        <v>0</v>
      </c>
      <c r="L44" s="40">
        <f>IF(L$6&lt;$B44,0,IF(L$6=$B44,'Growth Engine'!L$10*'Macro &amp; Indexation'!L$19,K44*(1+'Macro &amp; Indexation'!L$16)))</f>
        <v>0</v>
      </c>
      <c r="M44" s="40">
        <f>IF(M$6&lt;$B44,0,IF(M$6=$B44,'Growth Engine'!M$10*'Macro &amp; Indexation'!M$19,L44*(1+'Macro &amp; Indexation'!M$16)))</f>
        <v>0</v>
      </c>
      <c r="N44" s="40">
        <f>IF(N$6&lt;$B44,0,IF(N$6=$B44,'Growth Engine'!N$10*'Macro &amp; Indexation'!N$19,M44*(1+'Macro &amp; Indexation'!N$16)))</f>
        <v>0</v>
      </c>
      <c r="O44" s="40">
        <f>IF(O$6&lt;$B44,0,IF(O$6=$B44,'Growth Engine'!O$10*'Macro &amp; Indexation'!O$19,N44*(1+'Macro &amp; Indexation'!O$16)))</f>
        <v>0</v>
      </c>
      <c r="P44" s="40">
        <f>IF(P$6&lt;$B44,0,IF(P$6=$B44,'Growth Engine'!P$10*'Macro &amp; Indexation'!P$19,O44*(1+'Macro &amp; Indexation'!P$16)))</f>
        <v>0</v>
      </c>
      <c r="Q44" s="40">
        <f>IF(Q$6&lt;$B44,0,IF(Q$6=$B44,'Growth Engine'!Q$10*'Macro &amp; Indexation'!Q$19,P44*(1+'Macro &amp; Indexation'!Q$16)))</f>
        <v>0</v>
      </c>
      <c r="R44" s="40">
        <f>IF(R$6&lt;$B44,0,IF(R$6=$B44,'Growth Engine'!R$10*'Macro &amp; Indexation'!R$19,Q44*(1+'Macro &amp; Indexation'!R$16)))</f>
        <v>0</v>
      </c>
      <c r="S44" s="40">
        <f>IF(S$6&lt;$B44,0,IF(S$6=$B44,'Growth Engine'!S$10*'Macro &amp; Indexation'!S$19,R44*(1+'Macro &amp; Indexation'!S$16)))</f>
        <v>0</v>
      </c>
      <c r="T44" s="40">
        <f>IF(T$6&lt;$B44,0,IF(T$6=$B44,'Growth Engine'!T$10*'Macro &amp; Indexation'!T$19,S44*(1+'Macro &amp; Indexation'!T$16)))</f>
        <v>0</v>
      </c>
      <c r="U44" s="40">
        <f>IF(U$6&lt;$B44,0,IF(U$6=$B44,'Growth Engine'!U$10*'Macro &amp; Indexation'!U$19,T44*(1+'Macro &amp; Indexation'!U$16)))</f>
        <v>0</v>
      </c>
      <c r="V44" s="40">
        <f>IF(V$6&lt;$B44,0,IF(V$6=$B44,'Growth Engine'!V$10*'Macro &amp; Indexation'!V$19,U44*(1+'Macro &amp; Indexation'!V$16)))</f>
        <v>0</v>
      </c>
      <c r="W44" s="40">
        <f>IF(W$6&lt;$B44,0,IF(W$6=$B44,'Growth Engine'!W$10*'Macro &amp; Indexation'!W$19,V44*(1+'Macro &amp; Indexation'!W$16)))</f>
        <v>0</v>
      </c>
      <c r="X44" s="40">
        <f>IF(X$6&lt;$B44,0,IF(X$6=$B44,'Growth Engine'!X$10*'Macro &amp; Indexation'!X$19,W44*(1+'Macro &amp; Indexation'!X$16)))</f>
        <v>0</v>
      </c>
      <c r="Y44" s="40">
        <f>IF(Y$6&lt;$B44,0,IF(Y$6=$B44,'Growth Engine'!Y$10*'Macro &amp; Indexation'!Y$19,X44*(1+'Macro &amp; Indexation'!Y$16)))</f>
        <v>0</v>
      </c>
      <c r="Z44" s="40">
        <f>IF(Z$6&lt;$B44,0,IF(Z$6=$B44,'Growth Engine'!Z$10*'Macro &amp; Indexation'!Z$19,Y44*(1+'Macro &amp; Indexation'!Z$16)))</f>
        <v>0</v>
      </c>
      <c r="AA44" s="40">
        <f>IF(AA$6&lt;$B44,0,IF(AA$6=$B44,'Growth Engine'!AA$10*'Macro &amp; Indexation'!AA$19,Z44*(1+'Macro &amp; Indexation'!AA$16)))</f>
        <v>0</v>
      </c>
      <c r="AB44" s="40">
        <f>IF(AB$6&lt;$B44,0,IF(AB$6=$B44,'Growth Engine'!AB$10*'Macro &amp; Indexation'!AB$19,AA44*(1+'Macro &amp; Indexation'!AB$16)))</f>
        <v>0</v>
      </c>
      <c r="AC44" s="40">
        <f>IF(AC$6&lt;$B44,0,IF(AC$6=$B44,'Growth Engine'!AC$10*'Macro &amp; Indexation'!AC$19,AB44*(1+'Macro &amp; Indexation'!AC$16)))</f>
        <v>0</v>
      </c>
      <c r="AD44" s="40">
        <f>IF(AD$6&lt;$B44,0,IF(AD$6=$B44,'Growth Engine'!AD$10*'Macro &amp; Indexation'!AD$19,AC44*(1+'Macro &amp; Indexation'!AD$16)))</f>
        <v>0</v>
      </c>
      <c r="AE44" s="40">
        <f>IF(AE$6&lt;$B44,0,IF(AE$6=$B44,'Growth Engine'!AE$10*'Macro &amp; Indexation'!AE$19,AD44*(1+'Macro &amp; Indexation'!AE$16)))</f>
        <v>0</v>
      </c>
      <c r="AF44" s="40">
        <f>IF(AF$6&lt;$B44,0,IF(AF$6=$B44,'Growth Engine'!AF$10*'Macro &amp; Indexation'!AF$19,AE44*(1+'Macro &amp; Indexation'!AF$16)))</f>
        <v>0</v>
      </c>
      <c r="AG44" s="40">
        <f>IF(AG$6&lt;$B44,0,IF(AG$6=$B44,'Growth Engine'!AG$10*'Macro &amp; Indexation'!AG$19,AF44*(1+'Macro &amp; Indexation'!AG$16)))</f>
        <v>0</v>
      </c>
      <c r="AH44" s="40">
        <f>IF(AH$6&lt;$B44,0,IF(AH$6=$B44,'Growth Engine'!AH$10*'Macro &amp; Indexation'!AH$19,AG44*(1+'Macro &amp; Indexation'!AH$16)))</f>
        <v>0</v>
      </c>
      <c r="AI44" s="40">
        <f>IF(AI$6&lt;$B44,0,IF(AI$6=$B44,'Growth Engine'!AI$10*'Macro &amp; Indexation'!AI$19,AH44*(1+'Macro &amp; Indexation'!AI$16)))</f>
        <v>0</v>
      </c>
      <c r="AJ44" s="40">
        <f>IF(AJ$6&lt;$B44,0,IF(AJ$6=$B44,'Growth Engine'!AJ$10*'Macro &amp; Indexation'!AJ$19,AI44*(1+'Macro &amp; Indexation'!AJ$16)))</f>
        <v>0</v>
      </c>
      <c r="AK44" s="40">
        <f>IF(AK$6&lt;$B44,0,IF(AK$6=$B44,'Growth Engine'!AK$10*'Macro &amp; Indexation'!AK$19,AJ44*(1+'Macro &amp; Indexation'!AK$16)))</f>
        <v>0</v>
      </c>
      <c r="AL44" s="40">
        <f ca="1">IF(AL$6&lt;$B44,0,IF(AL$6=$B44,'Growth Engine'!AL$10*'Macro &amp; Indexation'!AL$19,AK44*(1+'Macro &amp; Indexation'!AL$16)))</f>
        <v>901840.89356360084</v>
      </c>
      <c r="AM44" s="40">
        <f ca="1">IF(AM$6&lt;$B44,0,IF(AM$6=$B44,'Growth Engine'!AM$10*'Macro &amp; Indexation'!AM$19,AL44*(1+'Macro &amp; Indexation'!AM$16)))</f>
        <v>933405.32483832678</v>
      </c>
      <c r="AN44" s="40">
        <f ca="1">IF(AN$6&lt;$B44,0,IF(AN$6=$B44,'Growth Engine'!AN$10*'Macro &amp; Indexation'!AN$19,AM44*(1+'Macro &amp; Indexation'!AN$16)))</f>
        <v>966074.51120766811</v>
      </c>
      <c r="AO44" s="40">
        <f ca="1">IF(AO$6&lt;$B44,0,IF(AO$6=$B44,'Growth Engine'!AO$10*'Macro &amp; Indexation'!AO$19,AN44*(1+'Macro &amp; Indexation'!AO$16)))</f>
        <v>999887.11909993645</v>
      </c>
      <c r="AP44" s="40">
        <f ca="1">IF(AP$6&lt;$B44,0,IF(AP$6=$B44,'Growth Engine'!AP$10*'Macro &amp; Indexation'!AP$19,AO44*(1+'Macro &amp; Indexation'!AP$16)))</f>
        <v>1034883.1682684341</v>
      </c>
      <c r="AQ44" s="40">
        <f ca="1">IF(AQ$6&lt;$B44,0,IF(AQ$6=$B44,'Growth Engine'!AQ$10*'Macro &amp; Indexation'!AQ$19,AP44*(1+'Macro &amp; Indexation'!AQ$16)))</f>
        <v>1071104.0791578293</v>
      </c>
      <c r="AR44" s="40">
        <f ca="1">IF(AR$6&lt;$B44,0,IF(AR$6=$B44,'Growth Engine'!AR$10*'Macro &amp; Indexation'!AR$19,AQ44*(1+'Macro &amp; Indexation'!AR$16)))</f>
        <v>1108592.7219283532</v>
      </c>
      <c r="AS44" s="40">
        <f ca="1">IF(AS$6&lt;$B44,0,IF(AS$6=$B44,'Growth Engine'!AS$10*'Macro &amp; Indexation'!AS$19,AR44*(1+'Macro &amp; Indexation'!AS$16)))</f>
        <v>1147393.4671958454</v>
      </c>
      <c r="AT44" s="40">
        <f ca="1">IF(AT$6&lt;$B44,0,IF(AT$6=$B44,'Growth Engine'!AT$10*'Macro &amp; Indexation'!AT$19,AS44*(1+'Macro &amp; Indexation'!AT$16)))</f>
        <v>1187552.2385477</v>
      </c>
      <c r="AU44" s="40">
        <f ca="1">IF(AU$6&lt;$B44,0,IF(AU$6=$B44,'Growth Engine'!AU$10*'Macro &amp; Indexation'!AU$19,AT44*(1+'Macro &amp; Indexation'!AU$16)))</f>
        <v>1229116.5668968693</v>
      </c>
      <c r="AV44" s="40">
        <f ca="1">IF(AV$6&lt;$B44,0,IF(AV$6=$B44,'Growth Engine'!AV$10*'Macro &amp; Indexation'!AV$19,AU44*(1+'Macro &amp; Indexation'!AV$16)))</f>
        <v>1272135.6467382596</v>
      </c>
      <c r="AW44" s="40">
        <f ca="1">IF(AW$6&lt;$B44,0,IF(AW$6=$B44,'Growth Engine'!AW$10*'Macro &amp; Indexation'!AW$19,AV44*(1+'Macro &amp; Indexation'!AW$16)))</f>
        <v>1316660.3943740986</v>
      </c>
      <c r="AX44" s="40">
        <f ca="1">IF(AX$6&lt;$B44,0,IF(AX$6=$B44,'Growth Engine'!AX$10*'Macro &amp; Indexation'!AX$19,AW44*(1+'Macro &amp; Indexation'!AX$16)))</f>
        <v>1362743.508177192</v>
      </c>
      <c r="AY44" s="40">
        <f ca="1">IF(AY$6&lt;$B44,0,IF(AY$6=$B44,'Growth Engine'!AY$10*'Macro &amp; Indexation'!AY$19,AX44*(1+'Macro &amp; Indexation'!AY$16)))</f>
        <v>1410439.5309633936</v>
      </c>
      <c r="AZ44" s="40">
        <f ca="1">IF(AZ$6&lt;$B44,0,IF(AZ$6=$B44,'Growth Engine'!AZ$10*'Macro &amp; Indexation'!AZ$19,AY44*(1+'Macro &amp; Indexation'!AZ$16)))</f>
        <v>1459804.9145471123</v>
      </c>
      <c r="BA44" s="40">
        <f ca="1">IF(BA$6&lt;$B44,0,IF(BA$6=$B44,'Growth Engine'!BA$10*'Macro &amp; Indexation'!BA$19,AZ44*(1+'Macro &amp; Indexation'!BA$16)))</f>
        <v>1510898.0865562612</v>
      </c>
    </row>
    <row r="45" spans="1:53" outlineLevel="1" x14ac:dyDescent="0.3">
      <c r="A45" t="s">
        <v>172</v>
      </c>
      <c r="B45">
        <v>36</v>
      </c>
      <c r="D45" s="40">
        <f>IF(D$6&lt;$B45,0,IF(D$6=$B45,'Growth Engine'!D$10*'Macro &amp; Indexation'!D$19,C45*(1+'Macro &amp; Indexation'!D$16)))</f>
        <v>0</v>
      </c>
      <c r="E45" s="40">
        <f>IF(E$6&lt;$B45,0,IF(E$6=$B45,'Growth Engine'!E$10*'Macro &amp; Indexation'!E$19,D45*(1+'Macro &amp; Indexation'!E$16)))</f>
        <v>0</v>
      </c>
      <c r="F45" s="40">
        <f>IF(F$6&lt;$B45,0,IF(F$6=$B45,'Growth Engine'!F$10*'Macro &amp; Indexation'!F$19,E45*(1+'Macro &amp; Indexation'!F$16)))</f>
        <v>0</v>
      </c>
      <c r="G45" s="40">
        <f>IF(G$6&lt;$B45,0,IF(G$6=$B45,'Growth Engine'!G$10*'Macro &amp; Indexation'!G$19,F45*(1+'Macro &amp; Indexation'!G$16)))</f>
        <v>0</v>
      </c>
      <c r="H45" s="40">
        <f>IF(H$6&lt;$B45,0,IF(H$6=$B45,'Growth Engine'!H$10*'Macro &amp; Indexation'!H$19,G45*(1+'Macro &amp; Indexation'!H$16)))</f>
        <v>0</v>
      </c>
      <c r="I45" s="40">
        <f>IF(I$6&lt;$B45,0,IF(I$6=$B45,'Growth Engine'!I$10*'Macro &amp; Indexation'!I$19,H45*(1+'Macro &amp; Indexation'!I$16)))</f>
        <v>0</v>
      </c>
      <c r="J45" s="40">
        <f>IF(J$6&lt;$B45,0,IF(J$6=$B45,'Growth Engine'!J$10*'Macro &amp; Indexation'!J$19,I45*(1+'Macro &amp; Indexation'!J$16)))</f>
        <v>0</v>
      </c>
      <c r="K45" s="40">
        <f>IF(K$6&lt;$B45,0,IF(K$6=$B45,'Growth Engine'!K$10*'Macro &amp; Indexation'!K$19,J45*(1+'Macro &amp; Indexation'!K$16)))</f>
        <v>0</v>
      </c>
      <c r="L45" s="40">
        <f>IF(L$6&lt;$B45,0,IF(L$6=$B45,'Growth Engine'!L$10*'Macro &amp; Indexation'!L$19,K45*(1+'Macro &amp; Indexation'!L$16)))</f>
        <v>0</v>
      </c>
      <c r="M45" s="40">
        <f>IF(M$6&lt;$B45,0,IF(M$6=$B45,'Growth Engine'!M$10*'Macro &amp; Indexation'!M$19,L45*(1+'Macro &amp; Indexation'!M$16)))</f>
        <v>0</v>
      </c>
      <c r="N45" s="40">
        <f>IF(N$6&lt;$B45,0,IF(N$6=$B45,'Growth Engine'!N$10*'Macro &amp; Indexation'!N$19,M45*(1+'Macro &amp; Indexation'!N$16)))</f>
        <v>0</v>
      </c>
      <c r="O45" s="40">
        <f>IF(O$6&lt;$B45,0,IF(O$6=$B45,'Growth Engine'!O$10*'Macro &amp; Indexation'!O$19,N45*(1+'Macro &amp; Indexation'!O$16)))</f>
        <v>0</v>
      </c>
      <c r="P45" s="40">
        <f>IF(P$6&lt;$B45,0,IF(P$6=$B45,'Growth Engine'!P$10*'Macro &amp; Indexation'!P$19,O45*(1+'Macro &amp; Indexation'!P$16)))</f>
        <v>0</v>
      </c>
      <c r="Q45" s="40">
        <f>IF(Q$6&lt;$B45,0,IF(Q$6=$B45,'Growth Engine'!Q$10*'Macro &amp; Indexation'!Q$19,P45*(1+'Macro &amp; Indexation'!Q$16)))</f>
        <v>0</v>
      </c>
      <c r="R45" s="40">
        <f>IF(R$6&lt;$B45,0,IF(R$6=$B45,'Growth Engine'!R$10*'Macro &amp; Indexation'!R$19,Q45*(1+'Macro &amp; Indexation'!R$16)))</f>
        <v>0</v>
      </c>
      <c r="S45" s="40">
        <f>IF(S$6&lt;$B45,0,IF(S$6=$B45,'Growth Engine'!S$10*'Macro &amp; Indexation'!S$19,R45*(1+'Macro &amp; Indexation'!S$16)))</f>
        <v>0</v>
      </c>
      <c r="T45" s="40">
        <f>IF(T$6&lt;$B45,0,IF(T$6=$B45,'Growth Engine'!T$10*'Macro &amp; Indexation'!T$19,S45*(1+'Macro &amp; Indexation'!T$16)))</f>
        <v>0</v>
      </c>
      <c r="U45" s="40">
        <f>IF(U$6&lt;$B45,0,IF(U$6=$B45,'Growth Engine'!U$10*'Macro &amp; Indexation'!U$19,T45*(1+'Macro &amp; Indexation'!U$16)))</f>
        <v>0</v>
      </c>
      <c r="V45" s="40">
        <f>IF(V$6&lt;$B45,0,IF(V$6=$B45,'Growth Engine'!V$10*'Macro &amp; Indexation'!V$19,U45*(1+'Macro &amp; Indexation'!V$16)))</f>
        <v>0</v>
      </c>
      <c r="W45" s="40">
        <f>IF(W$6&lt;$B45,0,IF(W$6=$B45,'Growth Engine'!W$10*'Macro &amp; Indexation'!W$19,V45*(1+'Macro &amp; Indexation'!W$16)))</f>
        <v>0</v>
      </c>
      <c r="X45" s="40">
        <f>IF(X$6&lt;$B45,0,IF(X$6=$B45,'Growth Engine'!X$10*'Macro &amp; Indexation'!X$19,W45*(1+'Macro &amp; Indexation'!X$16)))</f>
        <v>0</v>
      </c>
      <c r="Y45" s="40">
        <f>IF(Y$6&lt;$B45,0,IF(Y$6=$B45,'Growth Engine'!Y$10*'Macro &amp; Indexation'!Y$19,X45*(1+'Macro &amp; Indexation'!Y$16)))</f>
        <v>0</v>
      </c>
      <c r="Z45" s="40">
        <f>IF(Z$6&lt;$B45,0,IF(Z$6=$B45,'Growth Engine'!Z$10*'Macro &amp; Indexation'!Z$19,Y45*(1+'Macro &amp; Indexation'!Z$16)))</f>
        <v>0</v>
      </c>
      <c r="AA45" s="40">
        <f>IF(AA$6&lt;$B45,0,IF(AA$6=$B45,'Growth Engine'!AA$10*'Macro &amp; Indexation'!AA$19,Z45*(1+'Macro &amp; Indexation'!AA$16)))</f>
        <v>0</v>
      </c>
      <c r="AB45" s="40">
        <f>IF(AB$6&lt;$B45,0,IF(AB$6=$B45,'Growth Engine'!AB$10*'Macro &amp; Indexation'!AB$19,AA45*(1+'Macro &amp; Indexation'!AB$16)))</f>
        <v>0</v>
      </c>
      <c r="AC45" s="40">
        <f>IF(AC$6&lt;$B45,0,IF(AC$6=$B45,'Growth Engine'!AC$10*'Macro &amp; Indexation'!AC$19,AB45*(1+'Macro &amp; Indexation'!AC$16)))</f>
        <v>0</v>
      </c>
      <c r="AD45" s="40">
        <f>IF(AD$6&lt;$B45,0,IF(AD$6=$B45,'Growth Engine'!AD$10*'Macro &amp; Indexation'!AD$19,AC45*(1+'Macro &amp; Indexation'!AD$16)))</f>
        <v>0</v>
      </c>
      <c r="AE45" s="40">
        <f>IF(AE$6&lt;$B45,0,IF(AE$6=$B45,'Growth Engine'!AE$10*'Macro &amp; Indexation'!AE$19,AD45*(1+'Macro &amp; Indexation'!AE$16)))</f>
        <v>0</v>
      </c>
      <c r="AF45" s="40">
        <f>IF(AF$6&lt;$B45,0,IF(AF$6=$B45,'Growth Engine'!AF$10*'Macro &amp; Indexation'!AF$19,AE45*(1+'Macro &amp; Indexation'!AF$16)))</f>
        <v>0</v>
      </c>
      <c r="AG45" s="40">
        <f>IF(AG$6&lt;$B45,0,IF(AG$6=$B45,'Growth Engine'!AG$10*'Macro &amp; Indexation'!AG$19,AF45*(1+'Macro &amp; Indexation'!AG$16)))</f>
        <v>0</v>
      </c>
      <c r="AH45" s="40">
        <f>IF(AH$6&lt;$B45,0,IF(AH$6=$B45,'Growth Engine'!AH$10*'Macro &amp; Indexation'!AH$19,AG45*(1+'Macro &amp; Indexation'!AH$16)))</f>
        <v>0</v>
      </c>
      <c r="AI45" s="40">
        <f>IF(AI$6&lt;$B45,0,IF(AI$6=$B45,'Growth Engine'!AI$10*'Macro &amp; Indexation'!AI$19,AH45*(1+'Macro &amp; Indexation'!AI$16)))</f>
        <v>0</v>
      </c>
      <c r="AJ45" s="40">
        <f>IF(AJ$6&lt;$B45,0,IF(AJ$6=$B45,'Growth Engine'!AJ$10*'Macro &amp; Indexation'!AJ$19,AI45*(1+'Macro &amp; Indexation'!AJ$16)))</f>
        <v>0</v>
      </c>
      <c r="AK45" s="40">
        <f>IF(AK$6&lt;$B45,0,IF(AK$6=$B45,'Growth Engine'!AK$10*'Macro &amp; Indexation'!AK$19,AJ45*(1+'Macro &amp; Indexation'!AK$16)))</f>
        <v>0</v>
      </c>
      <c r="AL45" s="40">
        <f>IF(AL$6&lt;$B45,0,IF(AL$6=$B45,'Growth Engine'!AL$10*'Macro &amp; Indexation'!AL$19,AK45*(1+'Macro &amp; Indexation'!AL$16)))</f>
        <v>0</v>
      </c>
      <c r="AM45" s="40">
        <f ca="1">IF(AM$6&lt;$B45,0,IF(AM$6=$B45,'Growth Engine'!AM$10*'Macro &amp; Indexation'!AM$19,AL45*(1+'Macro &amp; Indexation'!AM$16)))</f>
        <v>933405.32483832678</v>
      </c>
      <c r="AN45" s="40">
        <f ca="1">IF(AN$6&lt;$B45,0,IF(AN$6=$B45,'Growth Engine'!AN$10*'Macro &amp; Indexation'!AN$19,AM45*(1+'Macro &amp; Indexation'!AN$16)))</f>
        <v>966074.51120766811</v>
      </c>
      <c r="AO45" s="40">
        <f ca="1">IF(AO$6&lt;$B45,0,IF(AO$6=$B45,'Growth Engine'!AO$10*'Macro &amp; Indexation'!AO$19,AN45*(1+'Macro &amp; Indexation'!AO$16)))</f>
        <v>999887.11909993645</v>
      </c>
      <c r="AP45" s="40">
        <f ca="1">IF(AP$6&lt;$B45,0,IF(AP$6=$B45,'Growth Engine'!AP$10*'Macro &amp; Indexation'!AP$19,AO45*(1+'Macro &amp; Indexation'!AP$16)))</f>
        <v>1034883.1682684341</v>
      </c>
      <c r="AQ45" s="40">
        <f ca="1">IF(AQ$6&lt;$B45,0,IF(AQ$6=$B45,'Growth Engine'!AQ$10*'Macro &amp; Indexation'!AQ$19,AP45*(1+'Macro &amp; Indexation'!AQ$16)))</f>
        <v>1071104.0791578293</v>
      </c>
      <c r="AR45" s="40">
        <f ca="1">IF(AR$6&lt;$B45,0,IF(AR$6=$B45,'Growth Engine'!AR$10*'Macro &amp; Indexation'!AR$19,AQ45*(1+'Macro &amp; Indexation'!AR$16)))</f>
        <v>1108592.7219283532</v>
      </c>
      <c r="AS45" s="40">
        <f ca="1">IF(AS$6&lt;$B45,0,IF(AS$6=$B45,'Growth Engine'!AS$10*'Macro &amp; Indexation'!AS$19,AR45*(1+'Macro &amp; Indexation'!AS$16)))</f>
        <v>1147393.4671958454</v>
      </c>
      <c r="AT45" s="40">
        <f ca="1">IF(AT$6&lt;$B45,0,IF(AT$6=$B45,'Growth Engine'!AT$10*'Macro &amp; Indexation'!AT$19,AS45*(1+'Macro &amp; Indexation'!AT$16)))</f>
        <v>1187552.2385477</v>
      </c>
      <c r="AU45" s="40">
        <f ca="1">IF(AU$6&lt;$B45,0,IF(AU$6=$B45,'Growth Engine'!AU$10*'Macro &amp; Indexation'!AU$19,AT45*(1+'Macro &amp; Indexation'!AU$16)))</f>
        <v>1229116.5668968693</v>
      </c>
      <c r="AV45" s="40">
        <f ca="1">IF(AV$6&lt;$B45,0,IF(AV$6=$B45,'Growth Engine'!AV$10*'Macro &amp; Indexation'!AV$19,AU45*(1+'Macro &amp; Indexation'!AV$16)))</f>
        <v>1272135.6467382596</v>
      </c>
      <c r="AW45" s="40">
        <f ca="1">IF(AW$6&lt;$B45,0,IF(AW$6=$B45,'Growth Engine'!AW$10*'Macro &amp; Indexation'!AW$19,AV45*(1+'Macro &amp; Indexation'!AW$16)))</f>
        <v>1316660.3943740986</v>
      </c>
      <c r="AX45" s="40">
        <f ca="1">IF(AX$6&lt;$B45,0,IF(AX$6=$B45,'Growth Engine'!AX$10*'Macro &amp; Indexation'!AX$19,AW45*(1+'Macro &amp; Indexation'!AX$16)))</f>
        <v>1362743.508177192</v>
      </c>
      <c r="AY45" s="40">
        <f ca="1">IF(AY$6&lt;$B45,0,IF(AY$6=$B45,'Growth Engine'!AY$10*'Macro &amp; Indexation'!AY$19,AX45*(1+'Macro &amp; Indexation'!AY$16)))</f>
        <v>1410439.5309633936</v>
      </c>
      <c r="AZ45" s="40">
        <f ca="1">IF(AZ$6&lt;$B45,0,IF(AZ$6=$B45,'Growth Engine'!AZ$10*'Macro &amp; Indexation'!AZ$19,AY45*(1+'Macro &amp; Indexation'!AZ$16)))</f>
        <v>1459804.9145471123</v>
      </c>
      <c r="BA45" s="40">
        <f ca="1">IF(BA$6&lt;$B45,0,IF(BA$6=$B45,'Growth Engine'!BA$10*'Macro &amp; Indexation'!BA$19,AZ45*(1+'Macro &amp; Indexation'!BA$16)))</f>
        <v>1510898.0865562612</v>
      </c>
    </row>
    <row r="46" spans="1:53" outlineLevel="1" x14ac:dyDescent="0.3">
      <c r="A46" t="s">
        <v>173</v>
      </c>
      <c r="B46">
        <v>37</v>
      </c>
      <c r="D46" s="40">
        <f>IF(D$6&lt;$B46,0,IF(D$6=$B46,'Growth Engine'!D$10*'Macro &amp; Indexation'!D$19,C46*(1+'Macro &amp; Indexation'!D$16)))</f>
        <v>0</v>
      </c>
      <c r="E46" s="40">
        <f>IF(E$6&lt;$B46,0,IF(E$6=$B46,'Growth Engine'!E$10*'Macro &amp; Indexation'!E$19,D46*(1+'Macro &amp; Indexation'!E$16)))</f>
        <v>0</v>
      </c>
      <c r="F46" s="40">
        <f>IF(F$6&lt;$B46,0,IF(F$6=$B46,'Growth Engine'!F$10*'Macro &amp; Indexation'!F$19,E46*(1+'Macro &amp; Indexation'!F$16)))</f>
        <v>0</v>
      </c>
      <c r="G46" s="40">
        <f>IF(G$6&lt;$B46,0,IF(G$6=$B46,'Growth Engine'!G$10*'Macro &amp; Indexation'!G$19,F46*(1+'Macro &amp; Indexation'!G$16)))</f>
        <v>0</v>
      </c>
      <c r="H46" s="40">
        <f>IF(H$6&lt;$B46,0,IF(H$6=$B46,'Growth Engine'!H$10*'Macro &amp; Indexation'!H$19,G46*(1+'Macro &amp; Indexation'!H$16)))</f>
        <v>0</v>
      </c>
      <c r="I46" s="40">
        <f>IF(I$6&lt;$B46,0,IF(I$6=$B46,'Growth Engine'!I$10*'Macro &amp; Indexation'!I$19,H46*(1+'Macro &amp; Indexation'!I$16)))</f>
        <v>0</v>
      </c>
      <c r="J46" s="40">
        <f>IF(J$6&lt;$B46,0,IF(J$6=$B46,'Growth Engine'!J$10*'Macro &amp; Indexation'!J$19,I46*(1+'Macro &amp; Indexation'!J$16)))</f>
        <v>0</v>
      </c>
      <c r="K46" s="40">
        <f>IF(K$6&lt;$B46,0,IF(K$6=$B46,'Growth Engine'!K$10*'Macro &amp; Indexation'!K$19,J46*(1+'Macro &amp; Indexation'!K$16)))</f>
        <v>0</v>
      </c>
      <c r="L46" s="40">
        <f>IF(L$6&lt;$B46,0,IF(L$6=$B46,'Growth Engine'!L$10*'Macro &amp; Indexation'!L$19,K46*(1+'Macro &amp; Indexation'!L$16)))</f>
        <v>0</v>
      </c>
      <c r="M46" s="40">
        <f>IF(M$6&lt;$B46,0,IF(M$6=$B46,'Growth Engine'!M$10*'Macro &amp; Indexation'!M$19,L46*(1+'Macro &amp; Indexation'!M$16)))</f>
        <v>0</v>
      </c>
      <c r="N46" s="40">
        <f>IF(N$6&lt;$B46,0,IF(N$6=$B46,'Growth Engine'!N$10*'Macro &amp; Indexation'!N$19,M46*(1+'Macro &amp; Indexation'!N$16)))</f>
        <v>0</v>
      </c>
      <c r="O46" s="40">
        <f>IF(O$6&lt;$B46,0,IF(O$6=$B46,'Growth Engine'!O$10*'Macro &amp; Indexation'!O$19,N46*(1+'Macro &amp; Indexation'!O$16)))</f>
        <v>0</v>
      </c>
      <c r="P46" s="40">
        <f>IF(P$6&lt;$B46,0,IF(P$6=$B46,'Growth Engine'!P$10*'Macro &amp; Indexation'!P$19,O46*(1+'Macro &amp; Indexation'!P$16)))</f>
        <v>0</v>
      </c>
      <c r="Q46" s="40">
        <f>IF(Q$6&lt;$B46,0,IF(Q$6=$B46,'Growth Engine'!Q$10*'Macro &amp; Indexation'!Q$19,P46*(1+'Macro &amp; Indexation'!Q$16)))</f>
        <v>0</v>
      </c>
      <c r="R46" s="40">
        <f>IF(R$6&lt;$B46,0,IF(R$6=$B46,'Growth Engine'!R$10*'Macro &amp; Indexation'!R$19,Q46*(1+'Macro &amp; Indexation'!R$16)))</f>
        <v>0</v>
      </c>
      <c r="S46" s="40">
        <f>IF(S$6&lt;$B46,0,IF(S$6=$B46,'Growth Engine'!S$10*'Macro &amp; Indexation'!S$19,R46*(1+'Macro &amp; Indexation'!S$16)))</f>
        <v>0</v>
      </c>
      <c r="T46" s="40">
        <f>IF(T$6&lt;$B46,0,IF(T$6=$B46,'Growth Engine'!T$10*'Macro &amp; Indexation'!T$19,S46*(1+'Macro &amp; Indexation'!T$16)))</f>
        <v>0</v>
      </c>
      <c r="U46" s="40">
        <f>IF(U$6&lt;$B46,0,IF(U$6=$B46,'Growth Engine'!U$10*'Macro &amp; Indexation'!U$19,T46*(1+'Macro &amp; Indexation'!U$16)))</f>
        <v>0</v>
      </c>
      <c r="V46" s="40">
        <f>IF(V$6&lt;$B46,0,IF(V$6=$B46,'Growth Engine'!V$10*'Macro &amp; Indexation'!V$19,U46*(1+'Macro &amp; Indexation'!V$16)))</f>
        <v>0</v>
      </c>
      <c r="W46" s="40">
        <f>IF(W$6&lt;$B46,0,IF(W$6=$B46,'Growth Engine'!W$10*'Macro &amp; Indexation'!W$19,V46*(1+'Macro &amp; Indexation'!W$16)))</f>
        <v>0</v>
      </c>
      <c r="X46" s="40">
        <f>IF(X$6&lt;$B46,0,IF(X$6=$B46,'Growth Engine'!X$10*'Macro &amp; Indexation'!X$19,W46*(1+'Macro &amp; Indexation'!X$16)))</f>
        <v>0</v>
      </c>
      <c r="Y46" s="40">
        <f>IF(Y$6&lt;$B46,0,IF(Y$6=$B46,'Growth Engine'!Y$10*'Macro &amp; Indexation'!Y$19,X46*(1+'Macro &amp; Indexation'!Y$16)))</f>
        <v>0</v>
      </c>
      <c r="Z46" s="40">
        <f>IF(Z$6&lt;$B46,0,IF(Z$6=$B46,'Growth Engine'!Z$10*'Macro &amp; Indexation'!Z$19,Y46*(1+'Macro &amp; Indexation'!Z$16)))</f>
        <v>0</v>
      </c>
      <c r="AA46" s="40">
        <f>IF(AA$6&lt;$B46,0,IF(AA$6=$B46,'Growth Engine'!AA$10*'Macro &amp; Indexation'!AA$19,Z46*(1+'Macro &amp; Indexation'!AA$16)))</f>
        <v>0</v>
      </c>
      <c r="AB46" s="40">
        <f>IF(AB$6&lt;$B46,0,IF(AB$6=$B46,'Growth Engine'!AB$10*'Macro &amp; Indexation'!AB$19,AA46*(1+'Macro &amp; Indexation'!AB$16)))</f>
        <v>0</v>
      </c>
      <c r="AC46" s="40">
        <f>IF(AC$6&lt;$B46,0,IF(AC$6=$B46,'Growth Engine'!AC$10*'Macro &amp; Indexation'!AC$19,AB46*(1+'Macro &amp; Indexation'!AC$16)))</f>
        <v>0</v>
      </c>
      <c r="AD46" s="40">
        <f>IF(AD$6&lt;$B46,0,IF(AD$6=$B46,'Growth Engine'!AD$10*'Macro &amp; Indexation'!AD$19,AC46*(1+'Macro &amp; Indexation'!AD$16)))</f>
        <v>0</v>
      </c>
      <c r="AE46" s="40">
        <f>IF(AE$6&lt;$B46,0,IF(AE$6=$B46,'Growth Engine'!AE$10*'Macro &amp; Indexation'!AE$19,AD46*(1+'Macro &amp; Indexation'!AE$16)))</f>
        <v>0</v>
      </c>
      <c r="AF46" s="40">
        <f>IF(AF$6&lt;$B46,0,IF(AF$6=$B46,'Growth Engine'!AF$10*'Macro &amp; Indexation'!AF$19,AE46*(1+'Macro &amp; Indexation'!AF$16)))</f>
        <v>0</v>
      </c>
      <c r="AG46" s="40">
        <f>IF(AG$6&lt;$B46,0,IF(AG$6=$B46,'Growth Engine'!AG$10*'Macro &amp; Indexation'!AG$19,AF46*(1+'Macro &amp; Indexation'!AG$16)))</f>
        <v>0</v>
      </c>
      <c r="AH46" s="40">
        <f>IF(AH$6&lt;$B46,0,IF(AH$6=$B46,'Growth Engine'!AH$10*'Macro &amp; Indexation'!AH$19,AG46*(1+'Macro &amp; Indexation'!AH$16)))</f>
        <v>0</v>
      </c>
      <c r="AI46" s="40">
        <f>IF(AI$6&lt;$B46,0,IF(AI$6=$B46,'Growth Engine'!AI$10*'Macro &amp; Indexation'!AI$19,AH46*(1+'Macro &amp; Indexation'!AI$16)))</f>
        <v>0</v>
      </c>
      <c r="AJ46" s="40">
        <f>IF(AJ$6&lt;$B46,0,IF(AJ$6=$B46,'Growth Engine'!AJ$10*'Macro &amp; Indexation'!AJ$19,AI46*(1+'Macro &amp; Indexation'!AJ$16)))</f>
        <v>0</v>
      </c>
      <c r="AK46" s="40">
        <f>IF(AK$6&lt;$B46,0,IF(AK$6=$B46,'Growth Engine'!AK$10*'Macro &amp; Indexation'!AK$19,AJ46*(1+'Macro &amp; Indexation'!AK$16)))</f>
        <v>0</v>
      </c>
      <c r="AL46" s="40">
        <f>IF(AL$6&lt;$B46,0,IF(AL$6=$B46,'Growth Engine'!AL$10*'Macro &amp; Indexation'!AL$19,AK46*(1+'Macro &amp; Indexation'!AL$16)))</f>
        <v>0</v>
      </c>
      <c r="AM46" s="40">
        <f>IF(AM$6&lt;$B46,0,IF(AM$6=$B46,'Growth Engine'!AM$10*'Macro &amp; Indexation'!AM$19,AL46*(1+'Macro &amp; Indexation'!AM$16)))</f>
        <v>0</v>
      </c>
      <c r="AN46" s="40">
        <f ca="1">IF(AN$6&lt;$B46,0,IF(AN$6=$B46,'Growth Engine'!AN$10*'Macro &amp; Indexation'!AN$19,AM46*(1+'Macro &amp; Indexation'!AN$16)))</f>
        <v>0</v>
      </c>
      <c r="AO46" s="40">
        <f ca="1">IF(AO$6&lt;$B46,0,IF(AO$6=$B46,'Growth Engine'!AO$10*'Macro &amp; Indexation'!AO$19,AN46*(1+'Macro &amp; Indexation'!AO$16)))</f>
        <v>0</v>
      </c>
      <c r="AP46" s="40">
        <f ca="1">IF(AP$6&lt;$B46,0,IF(AP$6=$B46,'Growth Engine'!AP$10*'Macro &amp; Indexation'!AP$19,AO46*(1+'Macro &amp; Indexation'!AP$16)))</f>
        <v>0</v>
      </c>
      <c r="AQ46" s="40">
        <f ca="1">IF(AQ$6&lt;$B46,0,IF(AQ$6=$B46,'Growth Engine'!AQ$10*'Macro &amp; Indexation'!AQ$19,AP46*(1+'Macro &amp; Indexation'!AQ$16)))</f>
        <v>0</v>
      </c>
      <c r="AR46" s="40">
        <f ca="1">IF(AR$6&lt;$B46,0,IF(AR$6=$B46,'Growth Engine'!AR$10*'Macro &amp; Indexation'!AR$19,AQ46*(1+'Macro &amp; Indexation'!AR$16)))</f>
        <v>0</v>
      </c>
      <c r="AS46" s="40">
        <f ca="1">IF(AS$6&lt;$B46,0,IF(AS$6=$B46,'Growth Engine'!AS$10*'Macro &amp; Indexation'!AS$19,AR46*(1+'Macro &amp; Indexation'!AS$16)))</f>
        <v>0</v>
      </c>
      <c r="AT46" s="40">
        <f ca="1">IF(AT$6&lt;$B46,0,IF(AT$6=$B46,'Growth Engine'!AT$10*'Macro &amp; Indexation'!AT$19,AS46*(1+'Macro &amp; Indexation'!AT$16)))</f>
        <v>0</v>
      </c>
      <c r="AU46" s="40">
        <f ca="1">IF(AU$6&lt;$B46,0,IF(AU$6=$B46,'Growth Engine'!AU$10*'Macro &amp; Indexation'!AU$19,AT46*(1+'Macro &amp; Indexation'!AU$16)))</f>
        <v>0</v>
      </c>
      <c r="AV46" s="40">
        <f ca="1">IF(AV$6&lt;$B46,0,IF(AV$6=$B46,'Growth Engine'!AV$10*'Macro &amp; Indexation'!AV$19,AU46*(1+'Macro &amp; Indexation'!AV$16)))</f>
        <v>0</v>
      </c>
      <c r="AW46" s="40">
        <f ca="1">IF(AW$6&lt;$B46,0,IF(AW$6=$B46,'Growth Engine'!AW$10*'Macro &amp; Indexation'!AW$19,AV46*(1+'Macro &amp; Indexation'!AW$16)))</f>
        <v>0</v>
      </c>
      <c r="AX46" s="40">
        <f ca="1">IF(AX$6&lt;$B46,0,IF(AX$6=$B46,'Growth Engine'!AX$10*'Macro &amp; Indexation'!AX$19,AW46*(1+'Macro &amp; Indexation'!AX$16)))</f>
        <v>0</v>
      </c>
      <c r="AY46" s="40">
        <f ca="1">IF(AY$6&lt;$B46,0,IF(AY$6=$B46,'Growth Engine'!AY$10*'Macro &amp; Indexation'!AY$19,AX46*(1+'Macro &amp; Indexation'!AY$16)))</f>
        <v>0</v>
      </c>
      <c r="AZ46" s="40">
        <f ca="1">IF(AZ$6&lt;$B46,0,IF(AZ$6=$B46,'Growth Engine'!AZ$10*'Macro &amp; Indexation'!AZ$19,AY46*(1+'Macro &amp; Indexation'!AZ$16)))</f>
        <v>0</v>
      </c>
      <c r="BA46" s="40">
        <f ca="1">IF(BA$6&lt;$B46,0,IF(BA$6=$B46,'Growth Engine'!BA$10*'Macro &amp; Indexation'!BA$19,AZ46*(1+'Macro &amp; Indexation'!BA$16)))</f>
        <v>0</v>
      </c>
    </row>
    <row r="47" spans="1:53" outlineLevel="1" x14ac:dyDescent="0.3">
      <c r="A47" t="s">
        <v>174</v>
      </c>
      <c r="B47">
        <v>38</v>
      </c>
      <c r="D47" s="40">
        <f>IF(D$6&lt;$B47,0,IF(D$6=$B47,'Growth Engine'!D$10*'Macro &amp; Indexation'!D$19,C47*(1+'Macro &amp; Indexation'!D$16)))</f>
        <v>0</v>
      </c>
      <c r="E47" s="40">
        <f>IF(E$6&lt;$B47,0,IF(E$6=$B47,'Growth Engine'!E$10*'Macro &amp; Indexation'!E$19,D47*(1+'Macro &amp; Indexation'!E$16)))</f>
        <v>0</v>
      </c>
      <c r="F47" s="40">
        <f>IF(F$6&lt;$B47,0,IF(F$6=$B47,'Growth Engine'!F$10*'Macro &amp; Indexation'!F$19,E47*(1+'Macro &amp; Indexation'!F$16)))</f>
        <v>0</v>
      </c>
      <c r="G47" s="40">
        <f>IF(G$6&lt;$B47,0,IF(G$6=$B47,'Growth Engine'!G$10*'Macro &amp; Indexation'!G$19,F47*(1+'Macro &amp; Indexation'!G$16)))</f>
        <v>0</v>
      </c>
      <c r="H47" s="40">
        <f>IF(H$6&lt;$B47,0,IF(H$6=$B47,'Growth Engine'!H$10*'Macro &amp; Indexation'!H$19,G47*(1+'Macro &amp; Indexation'!H$16)))</f>
        <v>0</v>
      </c>
      <c r="I47" s="40">
        <f>IF(I$6&lt;$B47,0,IF(I$6=$B47,'Growth Engine'!I$10*'Macro &amp; Indexation'!I$19,H47*(1+'Macro &amp; Indexation'!I$16)))</f>
        <v>0</v>
      </c>
      <c r="J47" s="40">
        <f>IF(J$6&lt;$B47,0,IF(J$6=$B47,'Growth Engine'!J$10*'Macro &amp; Indexation'!J$19,I47*(1+'Macro &amp; Indexation'!J$16)))</f>
        <v>0</v>
      </c>
      <c r="K47" s="40">
        <f>IF(K$6&lt;$B47,0,IF(K$6=$B47,'Growth Engine'!K$10*'Macro &amp; Indexation'!K$19,J47*(1+'Macro &amp; Indexation'!K$16)))</f>
        <v>0</v>
      </c>
      <c r="L47" s="40">
        <f>IF(L$6&lt;$B47,0,IF(L$6=$B47,'Growth Engine'!L$10*'Macro &amp; Indexation'!L$19,K47*(1+'Macro &amp; Indexation'!L$16)))</f>
        <v>0</v>
      </c>
      <c r="M47" s="40">
        <f>IF(M$6&lt;$B47,0,IF(M$6=$B47,'Growth Engine'!M$10*'Macro &amp; Indexation'!M$19,L47*(1+'Macro &amp; Indexation'!M$16)))</f>
        <v>0</v>
      </c>
      <c r="N47" s="40">
        <f>IF(N$6&lt;$B47,0,IF(N$6=$B47,'Growth Engine'!N$10*'Macro &amp; Indexation'!N$19,M47*(1+'Macro &amp; Indexation'!N$16)))</f>
        <v>0</v>
      </c>
      <c r="O47" s="40">
        <f>IF(O$6&lt;$B47,0,IF(O$6=$B47,'Growth Engine'!O$10*'Macro &amp; Indexation'!O$19,N47*(1+'Macro &amp; Indexation'!O$16)))</f>
        <v>0</v>
      </c>
      <c r="P47" s="40">
        <f>IF(P$6&lt;$B47,0,IF(P$6=$B47,'Growth Engine'!P$10*'Macro &amp; Indexation'!P$19,O47*(1+'Macro &amp; Indexation'!P$16)))</f>
        <v>0</v>
      </c>
      <c r="Q47" s="40">
        <f>IF(Q$6&lt;$B47,0,IF(Q$6=$B47,'Growth Engine'!Q$10*'Macro &amp; Indexation'!Q$19,P47*(1+'Macro &amp; Indexation'!Q$16)))</f>
        <v>0</v>
      </c>
      <c r="R47" s="40">
        <f>IF(R$6&lt;$B47,0,IF(R$6=$B47,'Growth Engine'!R$10*'Macro &amp; Indexation'!R$19,Q47*(1+'Macro &amp; Indexation'!R$16)))</f>
        <v>0</v>
      </c>
      <c r="S47" s="40">
        <f>IF(S$6&lt;$B47,0,IF(S$6=$B47,'Growth Engine'!S$10*'Macro &amp; Indexation'!S$19,R47*(1+'Macro &amp; Indexation'!S$16)))</f>
        <v>0</v>
      </c>
      <c r="T47" s="40">
        <f>IF(T$6&lt;$B47,0,IF(T$6=$B47,'Growth Engine'!T$10*'Macro &amp; Indexation'!T$19,S47*(1+'Macro &amp; Indexation'!T$16)))</f>
        <v>0</v>
      </c>
      <c r="U47" s="40">
        <f>IF(U$6&lt;$B47,0,IF(U$6=$B47,'Growth Engine'!U$10*'Macro &amp; Indexation'!U$19,T47*(1+'Macro &amp; Indexation'!U$16)))</f>
        <v>0</v>
      </c>
      <c r="V47" s="40">
        <f>IF(V$6&lt;$B47,0,IF(V$6=$B47,'Growth Engine'!V$10*'Macro &amp; Indexation'!V$19,U47*(1+'Macro &amp; Indexation'!V$16)))</f>
        <v>0</v>
      </c>
      <c r="W47" s="40">
        <f>IF(W$6&lt;$B47,0,IF(W$6=$B47,'Growth Engine'!W$10*'Macro &amp; Indexation'!W$19,V47*(1+'Macro &amp; Indexation'!W$16)))</f>
        <v>0</v>
      </c>
      <c r="X47" s="40">
        <f>IF(X$6&lt;$B47,0,IF(X$6=$B47,'Growth Engine'!X$10*'Macro &amp; Indexation'!X$19,W47*(1+'Macro &amp; Indexation'!X$16)))</f>
        <v>0</v>
      </c>
      <c r="Y47" s="40">
        <f>IF(Y$6&lt;$B47,0,IF(Y$6=$B47,'Growth Engine'!Y$10*'Macro &amp; Indexation'!Y$19,X47*(1+'Macro &amp; Indexation'!Y$16)))</f>
        <v>0</v>
      </c>
      <c r="Z47" s="40">
        <f>IF(Z$6&lt;$B47,0,IF(Z$6=$B47,'Growth Engine'!Z$10*'Macro &amp; Indexation'!Z$19,Y47*(1+'Macro &amp; Indexation'!Z$16)))</f>
        <v>0</v>
      </c>
      <c r="AA47" s="40">
        <f>IF(AA$6&lt;$B47,0,IF(AA$6=$B47,'Growth Engine'!AA$10*'Macro &amp; Indexation'!AA$19,Z47*(1+'Macro &amp; Indexation'!AA$16)))</f>
        <v>0</v>
      </c>
      <c r="AB47" s="40">
        <f>IF(AB$6&lt;$B47,0,IF(AB$6=$B47,'Growth Engine'!AB$10*'Macro &amp; Indexation'!AB$19,AA47*(1+'Macro &amp; Indexation'!AB$16)))</f>
        <v>0</v>
      </c>
      <c r="AC47" s="40">
        <f>IF(AC$6&lt;$B47,0,IF(AC$6=$B47,'Growth Engine'!AC$10*'Macro &amp; Indexation'!AC$19,AB47*(1+'Macro &amp; Indexation'!AC$16)))</f>
        <v>0</v>
      </c>
      <c r="AD47" s="40">
        <f>IF(AD$6&lt;$B47,0,IF(AD$6=$B47,'Growth Engine'!AD$10*'Macro &amp; Indexation'!AD$19,AC47*(1+'Macro &amp; Indexation'!AD$16)))</f>
        <v>0</v>
      </c>
      <c r="AE47" s="40">
        <f>IF(AE$6&lt;$B47,0,IF(AE$6=$B47,'Growth Engine'!AE$10*'Macro &amp; Indexation'!AE$19,AD47*(1+'Macro &amp; Indexation'!AE$16)))</f>
        <v>0</v>
      </c>
      <c r="AF47" s="40">
        <f>IF(AF$6&lt;$B47,0,IF(AF$6=$B47,'Growth Engine'!AF$10*'Macro &amp; Indexation'!AF$19,AE47*(1+'Macro &amp; Indexation'!AF$16)))</f>
        <v>0</v>
      </c>
      <c r="AG47" s="40">
        <f>IF(AG$6&lt;$B47,0,IF(AG$6=$B47,'Growth Engine'!AG$10*'Macro &amp; Indexation'!AG$19,AF47*(1+'Macro &amp; Indexation'!AG$16)))</f>
        <v>0</v>
      </c>
      <c r="AH47" s="40">
        <f>IF(AH$6&lt;$B47,0,IF(AH$6=$B47,'Growth Engine'!AH$10*'Macro &amp; Indexation'!AH$19,AG47*(1+'Macro &amp; Indexation'!AH$16)))</f>
        <v>0</v>
      </c>
      <c r="AI47" s="40">
        <f>IF(AI$6&lt;$B47,0,IF(AI$6=$B47,'Growth Engine'!AI$10*'Macro &amp; Indexation'!AI$19,AH47*(1+'Macro &amp; Indexation'!AI$16)))</f>
        <v>0</v>
      </c>
      <c r="AJ47" s="40">
        <f>IF(AJ$6&lt;$B47,0,IF(AJ$6=$B47,'Growth Engine'!AJ$10*'Macro &amp; Indexation'!AJ$19,AI47*(1+'Macro &amp; Indexation'!AJ$16)))</f>
        <v>0</v>
      </c>
      <c r="AK47" s="40">
        <f>IF(AK$6&lt;$B47,0,IF(AK$6=$B47,'Growth Engine'!AK$10*'Macro &amp; Indexation'!AK$19,AJ47*(1+'Macro &amp; Indexation'!AK$16)))</f>
        <v>0</v>
      </c>
      <c r="AL47" s="40">
        <f>IF(AL$6&lt;$B47,0,IF(AL$6=$B47,'Growth Engine'!AL$10*'Macro &amp; Indexation'!AL$19,AK47*(1+'Macro &amp; Indexation'!AL$16)))</f>
        <v>0</v>
      </c>
      <c r="AM47" s="40">
        <f>IF(AM$6&lt;$B47,0,IF(AM$6=$B47,'Growth Engine'!AM$10*'Macro &amp; Indexation'!AM$19,AL47*(1+'Macro &amp; Indexation'!AM$16)))</f>
        <v>0</v>
      </c>
      <c r="AN47" s="40">
        <f>IF(AN$6&lt;$B47,0,IF(AN$6=$B47,'Growth Engine'!AN$10*'Macro &amp; Indexation'!AN$19,AM47*(1+'Macro &amp; Indexation'!AN$16)))</f>
        <v>0</v>
      </c>
      <c r="AO47" s="40">
        <f ca="1">IF(AO$6&lt;$B47,0,IF(AO$6=$B47,'Growth Engine'!AO$10*'Macro &amp; Indexation'!AO$19,AN47*(1+'Macro &amp; Indexation'!AO$16)))</f>
        <v>999887.11909993645</v>
      </c>
      <c r="AP47" s="40">
        <f ca="1">IF(AP$6&lt;$B47,0,IF(AP$6=$B47,'Growth Engine'!AP$10*'Macro &amp; Indexation'!AP$19,AO47*(1+'Macro &amp; Indexation'!AP$16)))</f>
        <v>1034883.1682684341</v>
      </c>
      <c r="AQ47" s="40">
        <f ca="1">IF(AQ$6&lt;$B47,0,IF(AQ$6=$B47,'Growth Engine'!AQ$10*'Macro &amp; Indexation'!AQ$19,AP47*(1+'Macro &amp; Indexation'!AQ$16)))</f>
        <v>1071104.0791578293</v>
      </c>
      <c r="AR47" s="40">
        <f ca="1">IF(AR$6&lt;$B47,0,IF(AR$6=$B47,'Growth Engine'!AR$10*'Macro &amp; Indexation'!AR$19,AQ47*(1+'Macro &amp; Indexation'!AR$16)))</f>
        <v>1108592.7219283532</v>
      </c>
      <c r="AS47" s="40">
        <f ca="1">IF(AS$6&lt;$B47,0,IF(AS$6=$B47,'Growth Engine'!AS$10*'Macro &amp; Indexation'!AS$19,AR47*(1+'Macro &amp; Indexation'!AS$16)))</f>
        <v>1147393.4671958454</v>
      </c>
      <c r="AT47" s="40">
        <f ca="1">IF(AT$6&lt;$B47,0,IF(AT$6=$B47,'Growth Engine'!AT$10*'Macro &amp; Indexation'!AT$19,AS47*(1+'Macro &amp; Indexation'!AT$16)))</f>
        <v>1187552.2385477</v>
      </c>
      <c r="AU47" s="40">
        <f ca="1">IF(AU$6&lt;$B47,0,IF(AU$6=$B47,'Growth Engine'!AU$10*'Macro &amp; Indexation'!AU$19,AT47*(1+'Macro &amp; Indexation'!AU$16)))</f>
        <v>1229116.5668968693</v>
      </c>
      <c r="AV47" s="40">
        <f ca="1">IF(AV$6&lt;$B47,0,IF(AV$6=$B47,'Growth Engine'!AV$10*'Macro &amp; Indexation'!AV$19,AU47*(1+'Macro &amp; Indexation'!AV$16)))</f>
        <v>1272135.6467382596</v>
      </c>
      <c r="AW47" s="40">
        <f ca="1">IF(AW$6&lt;$B47,0,IF(AW$6=$B47,'Growth Engine'!AW$10*'Macro &amp; Indexation'!AW$19,AV47*(1+'Macro &amp; Indexation'!AW$16)))</f>
        <v>1316660.3943740986</v>
      </c>
      <c r="AX47" s="40">
        <f ca="1">IF(AX$6&lt;$B47,0,IF(AX$6=$B47,'Growth Engine'!AX$10*'Macro &amp; Indexation'!AX$19,AW47*(1+'Macro &amp; Indexation'!AX$16)))</f>
        <v>1362743.508177192</v>
      </c>
      <c r="AY47" s="40">
        <f ca="1">IF(AY$6&lt;$B47,0,IF(AY$6=$B47,'Growth Engine'!AY$10*'Macro &amp; Indexation'!AY$19,AX47*(1+'Macro &amp; Indexation'!AY$16)))</f>
        <v>1410439.5309633936</v>
      </c>
      <c r="AZ47" s="40">
        <f ca="1">IF(AZ$6&lt;$B47,0,IF(AZ$6=$B47,'Growth Engine'!AZ$10*'Macro &amp; Indexation'!AZ$19,AY47*(1+'Macro &amp; Indexation'!AZ$16)))</f>
        <v>1459804.9145471123</v>
      </c>
      <c r="BA47" s="40">
        <f ca="1">IF(BA$6&lt;$B47,0,IF(BA$6=$B47,'Growth Engine'!BA$10*'Macro &amp; Indexation'!BA$19,AZ47*(1+'Macro &amp; Indexation'!BA$16)))</f>
        <v>1510898.0865562612</v>
      </c>
    </row>
    <row r="48" spans="1:53" outlineLevel="1" x14ac:dyDescent="0.3">
      <c r="A48" t="s">
        <v>175</v>
      </c>
      <c r="B48">
        <v>39</v>
      </c>
      <c r="D48" s="40">
        <f>IF(D$6&lt;$B48,0,IF(D$6=$B48,'Growth Engine'!D$10*'Macro &amp; Indexation'!D$19,C48*(1+'Macro &amp; Indexation'!D$16)))</f>
        <v>0</v>
      </c>
      <c r="E48" s="40">
        <f>IF(E$6&lt;$B48,0,IF(E$6=$B48,'Growth Engine'!E$10*'Macro &amp; Indexation'!E$19,D48*(1+'Macro &amp; Indexation'!E$16)))</f>
        <v>0</v>
      </c>
      <c r="F48" s="40">
        <f>IF(F$6&lt;$B48,0,IF(F$6=$B48,'Growth Engine'!F$10*'Macro &amp; Indexation'!F$19,E48*(1+'Macro &amp; Indexation'!F$16)))</f>
        <v>0</v>
      </c>
      <c r="G48" s="40">
        <f>IF(G$6&lt;$B48,0,IF(G$6=$B48,'Growth Engine'!G$10*'Macro &amp; Indexation'!G$19,F48*(1+'Macro &amp; Indexation'!G$16)))</f>
        <v>0</v>
      </c>
      <c r="H48" s="40">
        <f>IF(H$6&lt;$B48,0,IF(H$6=$B48,'Growth Engine'!H$10*'Macro &amp; Indexation'!H$19,G48*(1+'Macro &amp; Indexation'!H$16)))</f>
        <v>0</v>
      </c>
      <c r="I48" s="40">
        <f>IF(I$6&lt;$B48,0,IF(I$6=$B48,'Growth Engine'!I$10*'Macro &amp; Indexation'!I$19,H48*(1+'Macro &amp; Indexation'!I$16)))</f>
        <v>0</v>
      </c>
      <c r="J48" s="40">
        <f>IF(J$6&lt;$B48,0,IF(J$6=$B48,'Growth Engine'!J$10*'Macro &amp; Indexation'!J$19,I48*(1+'Macro &amp; Indexation'!J$16)))</f>
        <v>0</v>
      </c>
      <c r="K48" s="40">
        <f>IF(K$6&lt;$B48,0,IF(K$6=$B48,'Growth Engine'!K$10*'Macro &amp; Indexation'!K$19,J48*(1+'Macro &amp; Indexation'!K$16)))</f>
        <v>0</v>
      </c>
      <c r="L48" s="40">
        <f>IF(L$6&lt;$B48,0,IF(L$6=$B48,'Growth Engine'!L$10*'Macro &amp; Indexation'!L$19,K48*(1+'Macro &amp; Indexation'!L$16)))</f>
        <v>0</v>
      </c>
      <c r="M48" s="40">
        <f>IF(M$6&lt;$B48,0,IF(M$6=$B48,'Growth Engine'!M$10*'Macro &amp; Indexation'!M$19,L48*(1+'Macro &amp; Indexation'!M$16)))</f>
        <v>0</v>
      </c>
      <c r="N48" s="40">
        <f>IF(N$6&lt;$B48,0,IF(N$6=$B48,'Growth Engine'!N$10*'Macro &amp; Indexation'!N$19,M48*(1+'Macro &amp; Indexation'!N$16)))</f>
        <v>0</v>
      </c>
      <c r="O48" s="40">
        <f>IF(O$6&lt;$B48,0,IF(O$6=$B48,'Growth Engine'!O$10*'Macro &amp; Indexation'!O$19,N48*(1+'Macro &amp; Indexation'!O$16)))</f>
        <v>0</v>
      </c>
      <c r="P48" s="40">
        <f>IF(P$6&lt;$B48,0,IF(P$6=$B48,'Growth Engine'!P$10*'Macro &amp; Indexation'!P$19,O48*(1+'Macro &amp; Indexation'!P$16)))</f>
        <v>0</v>
      </c>
      <c r="Q48" s="40">
        <f>IF(Q$6&lt;$B48,0,IF(Q$6=$B48,'Growth Engine'!Q$10*'Macro &amp; Indexation'!Q$19,P48*(1+'Macro &amp; Indexation'!Q$16)))</f>
        <v>0</v>
      </c>
      <c r="R48" s="40">
        <f>IF(R$6&lt;$B48,0,IF(R$6=$B48,'Growth Engine'!R$10*'Macro &amp; Indexation'!R$19,Q48*(1+'Macro &amp; Indexation'!R$16)))</f>
        <v>0</v>
      </c>
      <c r="S48" s="40">
        <f>IF(S$6&lt;$B48,0,IF(S$6=$B48,'Growth Engine'!S$10*'Macro &amp; Indexation'!S$19,R48*(1+'Macro &amp; Indexation'!S$16)))</f>
        <v>0</v>
      </c>
      <c r="T48" s="40">
        <f>IF(T$6&lt;$B48,0,IF(T$6=$B48,'Growth Engine'!T$10*'Macro &amp; Indexation'!T$19,S48*(1+'Macro &amp; Indexation'!T$16)))</f>
        <v>0</v>
      </c>
      <c r="U48" s="40">
        <f>IF(U$6&lt;$B48,0,IF(U$6=$B48,'Growth Engine'!U$10*'Macro &amp; Indexation'!U$19,T48*(1+'Macro &amp; Indexation'!U$16)))</f>
        <v>0</v>
      </c>
      <c r="V48" s="40">
        <f>IF(V$6&lt;$B48,0,IF(V$6=$B48,'Growth Engine'!V$10*'Macro &amp; Indexation'!V$19,U48*(1+'Macro &amp; Indexation'!V$16)))</f>
        <v>0</v>
      </c>
      <c r="W48" s="40">
        <f>IF(W$6&lt;$B48,0,IF(W$6=$B48,'Growth Engine'!W$10*'Macro &amp; Indexation'!W$19,V48*(1+'Macro &amp; Indexation'!W$16)))</f>
        <v>0</v>
      </c>
      <c r="X48" s="40">
        <f>IF(X$6&lt;$B48,0,IF(X$6=$B48,'Growth Engine'!X$10*'Macro &amp; Indexation'!X$19,W48*(1+'Macro &amp; Indexation'!X$16)))</f>
        <v>0</v>
      </c>
      <c r="Y48" s="40">
        <f>IF(Y$6&lt;$B48,0,IF(Y$6=$B48,'Growth Engine'!Y$10*'Macro &amp; Indexation'!Y$19,X48*(1+'Macro &amp; Indexation'!Y$16)))</f>
        <v>0</v>
      </c>
      <c r="Z48" s="40">
        <f>IF(Z$6&lt;$B48,0,IF(Z$6=$B48,'Growth Engine'!Z$10*'Macro &amp; Indexation'!Z$19,Y48*(1+'Macro &amp; Indexation'!Z$16)))</f>
        <v>0</v>
      </c>
      <c r="AA48" s="40">
        <f>IF(AA$6&lt;$B48,0,IF(AA$6=$B48,'Growth Engine'!AA$10*'Macro &amp; Indexation'!AA$19,Z48*(1+'Macro &amp; Indexation'!AA$16)))</f>
        <v>0</v>
      </c>
      <c r="AB48" s="40">
        <f>IF(AB$6&lt;$B48,0,IF(AB$6=$B48,'Growth Engine'!AB$10*'Macro &amp; Indexation'!AB$19,AA48*(1+'Macro &amp; Indexation'!AB$16)))</f>
        <v>0</v>
      </c>
      <c r="AC48" s="40">
        <f>IF(AC$6&lt;$B48,0,IF(AC$6=$B48,'Growth Engine'!AC$10*'Macro &amp; Indexation'!AC$19,AB48*(1+'Macro &amp; Indexation'!AC$16)))</f>
        <v>0</v>
      </c>
      <c r="AD48" s="40">
        <f>IF(AD$6&lt;$B48,0,IF(AD$6=$B48,'Growth Engine'!AD$10*'Macro &amp; Indexation'!AD$19,AC48*(1+'Macro &amp; Indexation'!AD$16)))</f>
        <v>0</v>
      </c>
      <c r="AE48" s="40">
        <f>IF(AE$6&lt;$B48,0,IF(AE$6=$B48,'Growth Engine'!AE$10*'Macro &amp; Indexation'!AE$19,AD48*(1+'Macro &amp; Indexation'!AE$16)))</f>
        <v>0</v>
      </c>
      <c r="AF48" s="40">
        <f>IF(AF$6&lt;$B48,0,IF(AF$6=$B48,'Growth Engine'!AF$10*'Macro &amp; Indexation'!AF$19,AE48*(1+'Macro &amp; Indexation'!AF$16)))</f>
        <v>0</v>
      </c>
      <c r="AG48" s="40">
        <f>IF(AG$6&lt;$B48,0,IF(AG$6=$B48,'Growth Engine'!AG$10*'Macro &amp; Indexation'!AG$19,AF48*(1+'Macro &amp; Indexation'!AG$16)))</f>
        <v>0</v>
      </c>
      <c r="AH48" s="40">
        <f>IF(AH$6&lt;$B48,0,IF(AH$6=$B48,'Growth Engine'!AH$10*'Macro &amp; Indexation'!AH$19,AG48*(1+'Macro &amp; Indexation'!AH$16)))</f>
        <v>0</v>
      </c>
      <c r="AI48" s="40">
        <f>IF(AI$6&lt;$B48,0,IF(AI$6=$B48,'Growth Engine'!AI$10*'Macro &amp; Indexation'!AI$19,AH48*(1+'Macro &amp; Indexation'!AI$16)))</f>
        <v>0</v>
      </c>
      <c r="AJ48" s="40">
        <f>IF(AJ$6&lt;$B48,0,IF(AJ$6=$B48,'Growth Engine'!AJ$10*'Macro &amp; Indexation'!AJ$19,AI48*(1+'Macro &amp; Indexation'!AJ$16)))</f>
        <v>0</v>
      </c>
      <c r="AK48" s="40">
        <f>IF(AK$6&lt;$B48,0,IF(AK$6=$B48,'Growth Engine'!AK$10*'Macro &amp; Indexation'!AK$19,AJ48*(1+'Macro &amp; Indexation'!AK$16)))</f>
        <v>0</v>
      </c>
      <c r="AL48" s="40">
        <f>IF(AL$6&lt;$B48,0,IF(AL$6=$B48,'Growth Engine'!AL$10*'Macro &amp; Indexation'!AL$19,AK48*(1+'Macro &amp; Indexation'!AL$16)))</f>
        <v>0</v>
      </c>
      <c r="AM48" s="40">
        <f>IF(AM$6&lt;$B48,0,IF(AM$6=$B48,'Growth Engine'!AM$10*'Macro &amp; Indexation'!AM$19,AL48*(1+'Macro &amp; Indexation'!AM$16)))</f>
        <v>0</v>
      </c>
      <c r="AN48" s="40">
        <f>IF(AN$6&lt;$B48,0,IF(AN$6=$B48,'Growth Engine'!AN$10*'Macro &amp; Indexation'!AN$19,AM48*(1+'Macro &amp; Indexation'!AN$16)))</f>
        <v>0</v>
      </c>
      <c r="AO48" s="40">
        <f>IF(AO$6&lt;$B48,0,IF(AO$6=$B48,'Growth Engine'!AO$10*'Macro &amp; Indexation'!AO$19,AN48*(1+'Macro &amp; Indexation'!AO$16)))</f>
        <v>0</v>
      </c>
      <c r="AP48" s="40">
        <f ca="1">IF(AP$6&lt;$B48,0,IF(AP$6=$B48,'Growth Engine'!AP$10*'Macro &amp; Indexation'!AP$19,AO48*(1+'Macro &amp; Indexation'!AP$16)))</f>
        <v>1034883.1682684342</v>
      </c>
      <c r="AQ48" s="40">
        <f ca="1">IF(AQ$6&lt;$B48,0,IF(AQ$6=$B48,'Growth Engine'!AQ$10*'Macro &amp; Indexation'!AQ$19,AP48*(1+'Macro &amp; Indexation'!AQ$16)))</f>
        <v>1071104.0791578293</v>
      </c>
      <c r="AR48" s="40">
        <f ca="1">IF(AR$6&lt;$B48,0,IF(AR$6=$B48,'Growth Engine'!AR$10*'Macro &amp; Indexation'!AR$19,AQ48*(1+'Macro &amp; Indexation'!AR$16)))</f>
        <v>1108592.7219283532</v>
      </c>
      <c r="AS48" s="40">
        <f ca="1">IF(AS$6&lt;$B48,0,IF(AS$6=$B48,'Growth Engine'!AS$10*'Macro &amp; Indexation'!AS$19,AR48*(1+'Macro &amp; Indexation'!AS$16)))</f>
        <v>1147393.4671958454</v>
      </c>
      <c r="AT48" s="40">
        <f ca="1">IF(AT$6&lt;$B48,0,IF(AT$6=$B48,'Growth Engine'!AT$10*'Macro &amp; Indexation'!AT$19,AS48*(1+'Macro &amp; Indexation'!AT$16)))</f>
        <v>1187552.2385477</v>
      </c>
      <c r="AU48" s="40">
        <f ca="1">IF(AU$6&lt;$B48,0,IF(AU$6=$B48,'Growth Engine'!AU$10*'Macro &amp; Indexation'!AU$19,AT48*(1+'Macro &amp; Indexation'!AU$16)))</f>
        <v>1229116.5668968693</v>
      </c>
      <c r="AV48" s="40">
        <f ca="1">IF(AV$6&lt;$B48,0,IF(AV$6=$B48,'Growth Engine'!AV$10*'Macro &amp; Indexation'!AV$19,AU48*(1+'Macro &amp; Indexation'!AV$16)))</f>
        <v>1272135.6467382596</v>
      </c>
      <c r="AW48" s="40">
        <f ca="1">IF(AW$6&lt;$B48,0,IF(AW$6=$B48,'Growth Engine'!AW$10*'Macro &amp; Indexation'!AW$19,AV48*(1+'Macro &amp; Indexation'!AW$16)))</f>
        <v>1316660.3943740986</v>
      </c>
      <c r="AX48" s="40">
        <f ca="1">IF(AX$6&lt;$B48,0,IF(AX$6=$B48,'Growth Engine'!AX$10*'Macro &amp; Indexation'!AX$19,AW48*(1+'Macro &amp; Indexation'!AX$16)))</f>
        <v>1362743.508177192</v>
      </c>
      <c r="AY48" s="40">
        <f ca="1">IF(AY$6&lt;$B48,0,IF(AY$6=$B48,'Growth Engine'!AY$10*'Macro &amp; Indexation'!AY$19,AX48*(1+'Macro &amp; Indexation'!AY$16)))</f>
        <v>1410439.5309633936</v>
      </c>
      <c r="AZ48" s="40">
        <f ca="1">IF(AZ$6&lt;$B48,0,IF(AZ$6=$B48,'Growth Engine'!AZ$10*'Macro &amp; Indexation'!AZ$19,AY48*(1+'Macro &amp; Indexation'!AZ$16)))</f>
        <v>1459804.9145471123</v>
      </c>
      <c r="BA48" s="40">
        <f ca="1">IF(BA$6&lt;$B48,0,IF(BA$6=$B48,'Growth Engine'!BA$10*'Macro &amp; Indexation'!BA$19,AZ48*(1+'Macro &amp; Indexation'!BA$16)))</f>
        <v>1510898.0865562612</v>
      </c>
    </row>
    <row r="49" spans="1:53" outlineLevel="1" x14ac:dyDescent="0.3">
      <c r="A49" t="s">
        <v>176</v>
      </c>
      <c r="B49">
        <v>40</v>
      </c>
      <c r="D49" s="40">
        <f>IF(D$6&lt;$B49,0,IF(D$6=$B49,'Growth Engine'!D$10*'Macro &amp; Indexation'!D$19,C49*(1+'Macro &amp; Indexation'!D$16)))</f>
        <v>0</v>
      </c>
      <c r="E49" s="40">
        <f>IF(E$6&lt;$B49,0,IF(E$6=$B49,'Growth Engine'!E$10*'Macro &amp; Indexation'!E$19,D49*(1+'Macro &amp; Indexation'!E$16)))</f>
        <v>0</v>
      </c>
      <c r="F49" s="40">
        <f>IF(F$6&lt;$B49,0,IF(F$6=$B49,'Growth Engine'!F$10*'Macro &amp; Indexation'!F$19,E49*(1+'Macro &amp; Indexation'!F$16)))</f>
        <v>0</v>
      </c>
      <c r="G49" s="40">
        <f>IF(G$6&lt;$B49,0,IF(G$6=$B49,'Growth Engine'!G$10*'Macro &amp; Indexation'!G$19,F49*(1+'Macro &amp; Indexation'!G$16)))</f>
        <v>0</v>
      </c>
      <c r="H49" s="40">
        <f>IF(H$6&lt;$B49,0,IF(H$6=$B49,'Growth Engine'!H$10*'Macro &amp; Indexation'!H$19,G49*(1+'Macro &amp; Indexation'!H$16)))</f>
        <v>0</v>
      </c>
      <c r="I49" s="40">
        <f>IF(I$6&lt;$B49,0,IF(I$6=$B49,'Growth Engine'!I$10*'Macro &amp; Indexation'!I$19,H49*(1+'Macro &amp; Indexation'!I$16)))</f>
        <v>0</v>
      </c>
      <c r="J49" s="40">
        <f>IF(J$6&lt;$B49,0,IF(J$6=$B49,'Growth Engine'!J$10*'Macro &amp; Indexation'!J$19,I49*(1+'Macro &amp; Indexation'!J$16)))</f>
        <v>0</v>
      </c>
      <c r="K49" s="40">
        <f>IF(K$6&lt;$B49,0,IF(K$6=$B49,'Growth Engine'!K$10*'Macro &amp; Indexation'!K$19,J49*(1+'Macro &amp; Indexation'!K$16)))</f>
        <v>0</v>
      </c>
      <c r="L49" s="40">
        <f>IF(L$6&lt;$B49,0,IF(L$6=$B49,'Growth Engine'!L$10*'Macro &amp; Indexation'!L$19,K49*(1+'Macro &amp; Indexation'!L$16)))</f>
        <v>0</v>
      </c>
      <c r="M49" s="40">
        <f>IF(M$6&lt;$B49,0,IF(M$6=$B49,'Growth Engine'!M$10*'Macro &amp; Indexation'!M$19,L49*(1+'Macro &amp; Indexation'!M$16)))</f>
        <v>0</v>
      </c>
      <c r="N49" s="40">
        <f>IF(N$6&lt;$B49,0,IF(N$6=$B49,'Growth Engine'!N$10*'Macro &amp; Indexation'!N$19,M49*(1+'Macro &amp; Indexation'!N$16)))</f>
        <v>0</v>
      </c>
      <c r="O49" s="40">
        <f>IF(O$6&lt;$B49,0,IF(O$6=$B49,'Growth Engine'!O$10*'Macro &amp; Indexation'!O$19,N49*(1+'Macro &amp; Indexation'!O$16)))</f>
        <v>0</v>
      </c>
      <c r="P49" s="40">
        <f>IF(P$6&lt;$B49,0,IF(P$6=$B49,'Growth Engine'!P$10*'Macro &amp; Indexation'!P$19,O49*(1+'Macro &amp; Indexation'!P$16)))</f>
        <v>0</v>
      </c>
      <c r="Q49" s="40">
        <f>IF(Q$6&lt;$B49,0,IF(Q$6=$B49,'Growth Engine'!Q$10*'Macro &amp; Indexation'!Q$19,P49*(1+'Macro &amp; Indexation'!Q$16)))</f>
        <v>0</v>
      </c>
      <c r="R49" s="40">
        <f>IF(R$6&lt;$B49,0,IF(R$6=$B49,'Growth Engine'!R$10*'Macro &amp; Indexation'!R$19,Q49*(1+'Macro &amp; Indexation'!R$16)))</f>
        <v>0</v>
      </c>
      <c r="S49" s="40">
        <f>IF(S$6&lt;$B49,0,IF(S$6=$B49,'Growth Engine'!S$10*'Macro &amp; Indexation'!S$19,R49*(1+'Macro &amp; Indexation'!S$16)))</f>
        <v>0</v>
      </c>
      <c r="T49" s="40">
        <f>IF(T$6&lt;$B49,0,IF(T$6=$B49,'Growth Engine'!T$10*'Macro &amp; Indexation'!T$19,S49*(1+'Macro &amp; Indexation'!T$16)))</f>
        <v>0</v>
      </c>
      <c r="U49" s="40">
        <f>IF(U$6&lt;$B49,0,IF(U$6=$B49,'Growth Engine'!U$10*'Macro &amp; Indexation'!U$19,T49*(1+'Macro &amp; Indexation'!U$16)))</f>
        <v>0</v>
      </c>
      <c r="V49" s="40">
        <f>IF(V$6&lt;$B49,0,IF(V$6=$B49,'Growth Engine'!V$10*'Macro &amp; Indexation'!V$19,U49*(1+'Macro &amp; Indexation'!V$16)))</f>
        <v>0</v>
      </c>
      <c r="W49" s="40">
        <f>IF(W$6&lt;$B49,0,IF(W$6=$B49,'Growth Engine'!W$10*'Macro &amp; Indexation'!W$19,V49*(1+'Macro &amp; Indexation'!W$16)))</f>
        <v>0</v>
      </c>
      <c r="X49" s="40">
        <f>IF(X$6&lt;$B49,0,IF(X$6=$B49,'Growth Engine'!X$10*'Macro &amp; Indexation'!X$19,W49*(1+'Macro &amp; Indexation'!X$16)))</f>
        <v>0</v>
      </c>
      <c r="Y49" s="40">
        <f>IF(Y$6&lt;$B49,0,IF(Y$6=$B49,'Growth Engine'!Y$10*'Macro &amp; Indexation'!Y$19,X49*(1+'Macro &amp; Indexation'!Y$16)))</f>
        <v>0</v>
      </c>
      <c r="Z49" s="40">
        <f>IF(Z$6&lt;$B49,0,IF(Z$6=$B49,'Growth Engine'!Z$10*'Macro &amp; Indexation'!Z$19,Y49*(1+'Macro &amp; Indexation'!Z$16)))</f>
        <v>0</v>
      </c>
      <c r="AA49" s="40">
        <f>IF(AA$6&lt;$B49,0,IF(AA$6=$B49,'Growth Engine'!AA$10*'Macro &amp; Indexation'!AA$19,Z49*(1+'Macro &amp; Indexation'!AA$16)))</f>
        <v>0</v>
      </c>
      <c r="AB49" s="40">
        <f>IF(AB$6&lt;$B49,0,IF(AB$6=$B49,'Growth Engine'!AB$10*'Macro &amp; Indexation'!AB$19,AA49*(1+'Macro &amp; Indexation'!AB$16)))</f>
        <v>0</v>
      </c>
      <c r="AC49" s="40">
        <f>IF(AC$6&lt;$B49,0,IF(AC$6=$B49,'Growth Engine'!AC$10*'Macro &amp; Indexation'!AC$19,AB49*(1+'Macro &amp; Indexation'!AC$16)))</f>
        <v>0</v>
      </c>
      <c r="AD49" s="40">
        <f>IF(AD$6&lt;$B49,0,IF(AD$6=$B49,'Growth Engine'!AD$10*'Macro &amp; Indexation'!AD$19,AC49*(1+'Macro &amp; Indexation'!AD$16)))</f>
        <v>0</v>
      </c>
      <c r="AE49" s="40">
        <f>IF(AE$6&lt;$B49,0,IF(AE$6=$B49,'Growth Engine'!AE$10*'Macro &amp; Indexation'!AE$19,AD49*(1+'Macro &amp; Indexation'!AE$16)))</f>
        <v>0</v>
      </c>
      <c r="AF49" s="40">
        <f>IF(AF$6&lt;$B49,0,IF(AF$6=$B49,'Growth Engine'!AF$10*'Macro &amp; Indexation'!AF$19,AE49*(1+'Macro &amp; Indexation'!AF$16)))</f>
        <v>0</v>
      </c>
      <c r="AG49" s="40">
        <f>IF(AG$6&lt;$B49,0,IF(AG$6=$B49,'Growth Engine'!AG$10*'Macro &amp; Indexation'!AG$19,AF49*(1+'Macro &amp; Indexation'!AG$16)))</f>
        <v>0</v>
      </c>
      <c r="AH49" s="40">
        <f>IF(AH$6&lt;$B49,0,IF(AH$6=$B49,'Growth Engine'!AH$10*'Macro &amp; Indexation'!AH$19,AG49*(1+'Macro &amp; Indexation'!AH$16)))</f>
        <v>0</v>
      </c>
      <c r="AI49" s="40">
        <f>IF(AI$6&lt;$B49,0,IF(AI$6=$B49,'Growth Engine'!AI$10*'Macro &amp; Indexation'!AI$19,AH49*(1+'Macro &amp; Indexation'!AI$16)))</f>
        <v>0</v>
      </c>
      <c r="AJ49" s="40">
        <f>IF(AJ$6&lt;$B49,0,IF(AJ$6=$B49,'Growth Engine'!AJ$10*'Macro &amp; Indexation'!AJ$19,AI49*(1+'Macro &amp; Indexation'!AJ$16)))</f>
        <v>0</v>
      </c>
      <c r="AK49" s="40">
        <f>IF(AK$6&lt;$B49,0,IF(AK$6=$B49,'Growth Engine'!AK$10*'Macro &amp; Indexation'!AK$19,AJ49*(1+'Macro &amp; Indexation'!AK$16)))</f>
        <v>0</v>
      </c>
      <c r="AL49" s="40">
        <f>IF(AL$6&lt;$B49,0,IF(AL$6=$B49,'Growth Engine'!AL$10*'Macro &amp; Indexation'!AL$19,AK49*(1+'Macro &amp; Indexation'!AL$16)))</f>
        <v>0</v>
      </c>
      <c r="AM49" s="40">
        <f>IF(AM$6&lt;$B49,0,IF(AM$6=$B49,'Growth Engine'!AM$10*'Macro &amp; Indexation'!AM$19,AL49*(1+'Macro &amp; Indexation'!AM$16)))</f>
        <v>0</v>
      </c>
      <c r="AN49" s="40">
        <f>IF(AN$6&lt;$B49,0,IF(AN$6=$B49,'Growth Engine'!AN$10*'Macro &amp; Indexation'!AN$19,AM49*(1+'Macro &amp; Indexation'!AN$16)))</f>
        <v>0</v>
      </c>
      <c r="AO49" s="40">
        <f>IF(AO$6&lt;$B49,0,IF(AO$6=$B49,'Growth Engine'!AO$10*'Macro &amp; Indexation'!AO$19,AN49*(1+'Macro &amp; Indexation'!AO$16)))</f>
        <v>0</v>
      </c>
      <c r="AP49" s="40">
        <f>IF(AP$6&lt;$B49,0,IF(AP$6=$B49,'Growth Engine'!AP$10*'Macro &amp; Indexation'!AP$19,AO49*(1+'Macro &amp; Indexation'!AP$16)))</f>
        <v>0</v>
      </c>
      <c r="AQ49" s="40">
        <f ca="1">IF(AQ$6&lt;$B49,0,IF(AQ$6=$B49,'Growth Engine'!AQ$10*'Macro &amp; Indexation'!AQ$19,AP49*(1+'Macro &amp; Indexation'!AQ$16)))</f>
        <v>1071104.0791578293</v>
      </c>
      <c r="AR49" s="40">
        <f ca="1">IF(AR$6&lt;$B49,0,IF(AR$6=$B49,'Growth Engine'!AR$10*'Macro &amp; Indexation'!AR$19,AQ49*(1+'Macro &amp; Indexation'!AR$16)))</f>
        <v>1108592.7219283532</v>
      </c>
      <c r="AS49" s="40">
        <f ca="1">IF(AS$6&lt;$B49,0,IF(AS$6=$B49,'Growth Engine'!AS$10*'Macro &amp; Indexation'!AS$19,AR49*(1+'Macro &amp; Indexation'!AS$16)))</f>
        <v>1147393.4671958454</v>
      </c>
      <c r="AT49" s="40">
        <f ca="1">IF(AT$6&lt;$B49,0,IF(AT$6=$B49,'Growth Engine'!AT$10*'Macro &amp; Indexation'!AT$19,AS49*(1+'Macro &amp; Indexation'!AT$16)))</f>
        <v>1187552.2385477</v>
      </c>
      <c r="AU49" s="40">
        <f ca="1">IF(AU$6&lt;$B49,0,IF(AU$6=$B49,'Growth Engine'!AU$10*'Macro &amp; Indexation'!AU$19,AT49*(1+'Macro &amp; Indexation'!AU$16)))</f>
        <v>1229116.5668968693</v>
      </c>
      <c r="AV49" s="40">
        <f ca="1">IF(AV$6&lt;$B49,0,IF(AV$6=$B49,'Growth Engine'!AV$10*'Macro &amp; Indexation'!AV$19,AU49*(1+'Macro &amp; Indexation'!AV$16)))</f>
        <v>1272135.6467382596</v>
      </c>
      <c r="AW49" s="40">
        <f ca="1">IF(AW$6&lt;$B49,0,IF(AW$6=$B49,'Growth Engine'!AW$10*'Macro &amp; Indexation'!AW$19,AV49*(1+'Macro &amp; Indexation'!AW$16)))</f>
        <v>1316660.3943740986</v>
      </c>
      <c r="AX49" s="40">
        <f ca="1">IF(AX$6&lt;$B49,0,IF(AX$6=$B49,'Growth Engine'!AX$10*'Macro &amp; Indexation'!AX$19,AW49*(1+'Macro &amp; Indexation'!AX$16)))</f>
        <v>1362743.508177192</v>
      </c>
      <c r="AY49" s="40">
        <f ca="1">IF(AY$6&lt;$B49,0,IF(AY$6=$B49,'Growth Engine'!AY$10*'Macro &amp; Indexation'!AY$19,AX49*(1+'Macro &amp; Indexation'!AY$16)))</f>
        <v>1410439.5309633936</v>
      </c>
      <c r="AZ49" s="40">
        <f ca="1">IF(AZ$6&lt;$B49,0,IF(AZ$6=$B49,'Growth Engine'!AZ$10*'Macro &amp; Indexation'!AZ$19,AY49*(1+'Macro &amp; Indexation'!AZ$16)))</f>
        <v>1459804.9145471123</v>
      </c>
      <c r="BA49" s="40">
        <f ca="1">IF(BA$6&lt;$B49,0,IF(BA$6=$B49,'Growth Engine'!BA$10*'Macro &amp; Indexation'!BA$19,AZ49*(1+'Macro &amp; Indexation'!BA$16)))</f>
        <v>1510898.0865562612</v>
      </c>
    </row>
    <row r="50" spans="1:53" outlineLevel="1" x14ac:dyDescent="0.3">
      <c r="A50" t="s">
        <v>177</v>
      </c>
      <c r="B50">
        <v>41</v>
      </c>
      <c r="D50" s="40">
        <f>IF(D$6&lt;$B50,0,IF(D$6=$B50,'Growth Engine'!D$10*'Macro &amp; Indexation'!D$19,C50*(1+'Macro &amp; Indexation'!D$16)))</f>
        <v>0</v>
      </c>
      <c r="E50" s="40">
        <f>IF(E$6&lt;$B50,0,IF(E$6=$B50,'Growth Engine'!E$10*'Macro &amp; Indexation'!E$19,D50*(1+'Macro &amp; Indexation'!E$16)))</f>
        <v>0</v>
      </c>
      <c r="F50" s="40">
        <f>IF(F$6&lt;$B50,0,IF(F$6=$B50,'Growth Engine'!F$10*'Macro &amp; Indexation'!F$19,E50*(1+'Macro &amp; Indexation'!F$16)))</f>
        <v>0</v>
      </c>
      <c r="G50" s="40">
        <f>IF(G$6&lt;$B50,0,IF(G$6=$B50,'Growth Engine'!G$10*'Macro &amp; Indexation'!G$19,F50*(1+'Macro &amp; Indexation'!G$16)))</f>
        <v>0</v>
      </c>
      <c r="H50" s="40">
        <f>IF(H$6&lt;$B50,0,IF(H$6=$B50,'Growth Engine'!H$10*'Macro &amp; Indexation'!H$19,G50*(1+'Macro &amp; Indexation'!H$16)))</f>
        <v>0</v>
      </c>
      <c r="I50" s="40">
        <f>IF(I$6&lt;$B50,0,IF(I$6=$B50,'Growth Engine'!I$10*'Macro &amp; Indexation'!I$19,H50*(1+'Macro &amp; Indexation'!I$16)))</f>
        <v>0</v>
      </c>
      <c r="J50" s="40">
        <f>IF(J$6&lt;$B50,0,IF(J$6=$B50,'Growth Engine'!J$10*'Macro &amp; Indexation'!J$19,I50*(1+'Macro &amp; Indexation'!J$16)))</f>
        <v>0</v>
      </c>
      <c r="K50" s="40">
        <f>IF(K$6&lt;$B50,0,IF(K$6=$B50,'Growth Engine'!K$10*'Macro &amp; Indexation'!K$19,J50*(1+'Macro &amp; Indexation'!K$16)))</f>
        <v>0</v>
      </c>
      <c r="L50" s="40">
        <f>IF(L$6&lt;$B50,0,IF(L$6=$B50,'Growth Engine'!L$10*'Macro &amp; Indexation'!L$19,K50*(1+'Macro &amp; Indexation'!L$16)))</f>
        <v>0</v>
      </c>
      <c r="M50" s="40">
        <f>IF(M$6&lt;$B50,0,IF(M$6=$B50,'Growth Engine'!M$10*'Macro &amp; Indexation'!M$19,L50*(1+'Macro &amp; Indexation'!M$16)))</f>
        <v>0</v>
      </c>
      <c r="N50" s="40">
        <f>IF(N$6&lt;$B50,0,IF(N$6=$B50,'Growth Engine'!N$10*'Macro &amp; Indexation'!N$19,M50*(1+'Macro &amp; Indexation'!N$16)))</f>
        <v>0</v>
      </c>
      <c r="O50" s="40">
        <f>IF(O$6&lt;$B50,0,IF(O$6=$B50,'Growth Engine'!O$10*'Macro &amp; Indexation'!O$19,N50*(1+'Macro &amp; Indexation'!O$16)))</f>
        <v>0</v>
      </c>
      <c r="P50" s="40">
        <f>IF(P$6&lt;$B50,0,IF(P$6=$B50,'Growth Engine'!P$10*'Macro &amp; Indexation'!P$19,O50*(1+'Macro &amp; Indexation'!P$16)))</f>
        <v>0</v>
      </c>
      <c r="Q50" s="40">
        <f>IF(Q$6&lt;$B50,0,IF(Q$6=$B50,'Growth Engine'!Q$10*'Macro &amp; Indexation'!Q$19,P50*(1+'Macro &amp; Indexation'!Q$16)))</f>
        <v>0</v>
      </c>
      <c r="R50" s="40">
        <f>IF(R$6&lt;$B50,0,IF(R$6=$B50,'Growth Engine'!R$10*'Macro &amp; Indexation'!R$19,Q50*(1+'Macro &amp; Indexation'!R$16)))</f>
        <v>0</v>
      </c>
      <c r="S50" s="40">
        <f>IF(S$6&lt;$B50,0,IF(S$6=$B50,'Growth Engine'!S$10*'Macro &amp; Indexation'!S$19,R50*(1+'Macro &amp; Indexation'!S$16)))</f>
        <v>0</v>
      </c>
      <c r="T50" s="40">
        <f>IF(T$6&lt;$B50,0,IF(T$6=$B50,'Growth Engine'!T$10*'Macro &amp; Indexation'!T$19,S50*(1+'Macro &amp; Indexation'!T$16)))</f>
        <v>0</v>
      </c>
      <c r="U50" s="40">
        <f>IF(U$6&lt;$B50,0,IF(U$6=$B50,'Growth Engine'!U$10*'Macro &amp; Indexation'!U$19,T50*(1+'Macro &amp; Indexation'!U$16)))</f>
        <v>0</v>
      </c>
      <c r="V50" s="40">
        <f>IF(V$6&lt;$B50,0,IF(V$6=$B50,'Growth Engine'!V$10*'Macro &amp; Indexation'!V$19,U50*(1+'Macro &amp; Indexation'!V$16)))</f>
        <v>0</v>
      </c>
      <c r="W50" s="40">
        <f>IF(W$6&lt;$B50,0,IF(W$6=$B50,'Growth Engine'!W$10*'Macro &amp; Indexation'!W$19,V50*(1+'Macro &amp; Indexation'!W$16)))</f>
        <v>0</v>
      </c>
      <c r="X50" s="40">
        <f>IF(X$6&lt;$B50,0,IF(X$6=$B50,'Growth Engine'!X$10*'Macro &amp; Indexation'!X$19,W50*(1+'Macro &amp; Indexation'!X$16)))</f>
        <v>0</v>
      </c>
      <c r="Y50" s="40">
        <f>IF(Y$6&lt;$B50,0,IF(Y$6=$B50,'Growth Engine'!Y$10*'Macro &amp; Indexation'!Y$19,X50*(1+'Macro &amp; Indexation'!Y$16)))</f>
        <v>0</v>
      </c>
      <c r="Z50" s="40">
        <f>IF(Z$6&lt;$B50,0,IF(Z$6=$B50,'Growth Engine'!Z$10*'Macro &amp; Indexation'!Z$19,Y50*(1+'Macro &amp; Indexation'!Z$16)))</f>
        <v>0</v>
      </c>
      <c r="AA50" s="40">
        <f>IF(AA$6&lt;$B50,0,IF(AA$6=$B50,'Growth Engine'!AA$10*'Macro &amp; Indexation'!AA$19,Z50*(1+'Macro &amp; Indexation'!AA$16)))</f>
        <v>0</v>
      </c>
      <c r="AB50" s="40">
        <f>IF(AB$6&lt;$B50,0,IF(AB$6=$B50,'Growth Engine'!AB$10*'Macro &amp; Indexation'!AB$19,AA50*(1+'Macro &amp; Indexation'!AB$16)))</f>
        <v>0</v>
      </c>
      <c r="AC50" s="40">
        <f>IF(AC$6&lt;$B50,0,IF(AC$6=$B50,'Growth Engine'!AC$10*'Macro &amp; Indexation'!AC$19,AB50*(1+'Macro &amp; Indexation'!AC$16)))</f>
        <v>0</v>
      </c>
      <c r="AD50" s="40">
        <f>IF(AD$6&lt;$B50,0,IF(AD$6=$B50,'Growth Engine'!AD$10*'Macro &amp; Indexation'!AD$19,AC50*(1+'Macro &amp; Indexation'!AD$16)))</f>
        <v>0</v>
      </c>
      <c r="AE50" s="40">
        <f>IF(AE$6&lt;$B50,0,IF(AE$6=$B50,'Growth Engine'!AE$10*'Macro &amp; Indexation'!AE$19,AD50*(1+'Macro &amp; Indexation'!AE$16)))</f>
        <v>0</v>
      </c>
      <c r="AF50" s="40">
        <f>IF(AF$6&lt;$B50,0,IF(AF$6=$B50,'Growth Engine'!AF$10*'Macro &amp; Indexation'!AF$19,AE50*(1+'Macro &amp; Indexation'!AF$16)))</f>
        <v>0</v>
      </c>
      <c r="AG50" s="40">
        <f>IF(AG$6&lt;$B50,0,IF(AG$6=$B50,'Growth Engine'!AG$10*'Macro &amp; Indexation'!AG$19,AF50*(1+'Macro &amp; Indexation'!AG$16)))</f>
        <v>0</v>
      </c>
      <c r="AH50" s="40">
        <f>IF(AH$6&lt;$B50,0,IF(AH$6=$B50,'Growth Engine'!AH$10*'Macro &amp; Indexation'!AH$19,AG50*(1+'Macro &amp; Indexation'!AH$16)))</f>
        <v>0</v>
      </c>
      <c r="AI50" s="40">
        <f>IF(AI$6&lt;$B50,0,IF(AI$6=$B50,'Growth Engine'!AI$10*'Macro &amp; Indexation'!AI$19,AH50*(1+'Macro &amp; Indexation'!AI$16)))</f>
        <v>0</v>
      </c>
      <c r="AJ50" s="40">
        <f>IF(AJ$6&lt;$B50,0,IF(AJ$6=$B50,'Growth Engine'!AJ$10*'Macro &amp; Indexation'!AJ$19,AI50*(1+'Macro &amp; Indexation'!AJ$16)))</f>
        <v>0</v>
      </c>
      <c r="AK50" s="40">
        <f>IF(AK$6&lt;$B50,0,IF(AK$6=$B50,'Growth Engine'!AK$10*'Macro &amp; Indexation'!AK$19,AJ50*(1+'Macro &amp; Indexation'!AK$16)))</f>
        <v>0</v>
      </c>
      <c r="AL50" s="40">
        <f>IF(AL$6&lt;$B50,0,IF(AL$6=$B50,'Growth Engine'!AL$10*'Macro &amp; Indexation'!AL$19,AK50*(1+'Macro &amp; Indexation'!AL$16)))</f>
        <v>0</v>
      </c>
      <c r="AM50" s="40">
        <f>IF(AM$6&lt;$B50,0,IF(AM$6=$B50,'Growth Engine'!AM$10*'Macro &amp; Indexation'!AM$19,AL50*(1+'Macro &amp; Indexation'!AM$16)))</f>
        <v>0</v>
      </c>
      <c r="AN50" s="40">
        <f>IF(AN$6&lt;$B50,0,IF(AN$6=$B50,'Growth Engine'!AN$10*'Macro &amp; Indexation'!AN$19,AM50*(1+'Macro &amp; Indexation'!AN$16)))</f>
        <v>0</v>
      </c>
      <c r="AO50" s="40">
        <f>IF(AO$6&lt;$B50,0,IF(AO$6=$B50,'Growth Engine'!AO$10*'Macro &amp; Indexation'!AO$19,AN50*(1+'Macro &amp; Indexation'!AO$16)))</f>
        <v>0</v>
      </c>
      <c r="AP50" s="40">
        <f>IF(AP$6&lt;$B50,0,IF(AP$6=$B50,'Growth Engine'!AP$10*'Macro &amp; Indexation'!AP$19,AO50*(1+'Macro &amp; Indexation'!AP$16)))</f>
        <v>0</v>
      </c>
      <c r="AQ50" s="40">
        <f>IF(AQ$6&lt;$B50,0,IF(AQ$6=$B50,'Growth Engine'!AQ$10*'Macro &amp; Indexation'!AQ$19,AP50*(1+'Macro &amp; Indexation'!AQ$16)))</f>
        <v>0</v>
      </c>
      <c r="AR50" s="40">
        <f ca="1">IF(AR$6&lt;$B50,0,IF(AR$6=$B50,'Growth Engine'!AR$10*'Macro &amp; Indexation'!AR$19,AQ50*(1+'Macro &amp; Indexation'!AR$16)))</f>
        <v>1108592.7219283532</v>
      </c>
      <c r="AS50" s="40">
        <f ca="1">IF(AS$6&lt;$B50,0,IF(AS$6=$B50,'Growth Engine'!AS$10*'Macro &amp; Indexation'!AS$19,AR50*(1+'Macro &amp; Indexation'!AS$16)))</f>
        <v>1147393.4671958454</v>
      </c>
      <c r="AT50" s="40">
        <f ca="1">IF(AT$6&lt;$B50,0,IF(AT$6=$B50,'Growth Engine'!AT$10*'Macro &amp; Indexation'!AT$19,AS50*(1+'Macro &amp; Indexation'!AT$16)))</f>
        <v>1187552.2385477</v>
      </c>
      <c r="AU50" s="40">
        <f ca="1">IF(AU$6&lt;$B50,0,IF(AU$6=$B50,'Growth Engine'!AU$10*'Macro &amp; Indexation'!AU$19,AT50*(1+'Macro &amp; Indexation'!AU$16)))</f>
        <v>1229116.5668968693</v>
      </c>
      <c r="AV50" s="40">
        <f ca="1">IF(AV$6&lt;$B50,0,IF(AV$6=$B50,'Growth Engine'!AV$10*'Macro &amp; Indexation'!AV$19,AU50*(1+'Macro &amp; Indexation'!AV$16)))</f>
        <v>1272135.6467382596</v>
      </c>
      <c r="AW50" s="40">
        <f ca="1">IF(AW$6&lt;$B50,0,IF(AW$6=$B50,'Growth Engine'!AW$10*'Macro &amp; Indexation'!AW$19,AV50*(1+'Macro &amp; Indexation'!AW$16)))</f>
        <v>1316660.3943740986</v>
      </c>
      <c r="AX50" s="40">
        <f ca="1">IF(AX$6&lt;$B50,0,IF(AX$6=$B50,'Growth Engine'!AX$10*'Macro &amp; Indexation'!AX$19,AW50*(1+'Macro &amp; Indexation'!AX$16)))</f>
        <v>1362743.508177192</v>
      </c>
      <c r="AY50" s="40">
        <f ca="1">IF(AY$6&lt;$B50,0,IF(AY$6=$B50,'Growth Engine'!AY$10*'Macro &amp; Indexation'!AY$19,AX50*(1+'Macro &amp; Indexation'!AY$16)))</f>
        <v>1410439.5309633936</v>
      </c>
      <c r="AZ50" s="40">
        <f ca="1">IF(AZ$6&lt;$B50,0,IF(AZ$6=$B50,'Growth Engine'!AZ$10*'Macro &amp; Indexation'!AZ$19,AY50*(1+'Macro &amp; Indexation'!AZ$16)))</f>
        <v>1459804.9145471123</v>
      </c>
      <c r="BA50" s="40">
        <f ca="1">IF(BA$6&lt;$B50,0,IF(BA$6=$B50,'Growth Engine'!BA$10*'Macro &amp; Indexation'!BA$19,AZ50*(1+'Macro &amp; Indexation'!BA$16)))</f>
        <v>1510898.0865562612</v>
      </c>
    </row>
    <row r="51" spans="1:53" outlineLevel="1" x14ac:dyDescent="0.3">
      <c r="A51" t="s">
        <v>178</v>
      </c>
      <c r="B51">
        <v>42</v>
      </c>
      <c r="D51" s="40">
        <f>IF(D$6&lt;$B51,0,IF(D$6=$B51,'Growth Engine'!D$10*'Macro &amp; Indexation'!D$19,C51*(1+'Macro &amp; Indexation'!D$16)))</f>
        <v>0</v>
      </c>
      <c r="E51" s="40">
        <f>IF(E$6&lt;$B51,0,IF(E$6=$B51,'Growth Engine'!E$10*'Macro &amp; Indexation'!E$19,D51*(1+'Macro &amp; Indexation'!E$16)))</f>
        <v>0</v>
      </c>
      <c r="F51" s="40">
        <f>IF(F$6&lt;$B51,0,IF(F$6=$B51,'Growth Engine'!F$10*'Macro &amp; Indexation'!F$19,E51*(1+'Macro &amp; Indexation'!F$16)))</f>
        <v>0</v>
      </c>
      <c r="G51" s="40">
        <f>IF(G$6&lt;$B51,0,IF(G$6=$B51,'Growth Engine'!G$10*'Macro &amp; Indexation'!G$19,F51*(1+'Macro &amp; Indexation'!G$16)))</f>
        <v>0</v>
      </c>
      <c r="H51" s="40">
        <f>IF(H$6&lt;$B51,0,IF(H$6=$B51,'Growth Engine'!H$10*'Macro &amp; Indexation'!H$19,G51*(1+'Macro &amp; Indexation'!H$16)))</f>
        <v>0</v>
      </c>
      <c r="I51" s="40">
        <f>IF(I$6&lt;$B51,0,IF(I$6=$B51,'Growth Engine'!I$10*'Macro &amp; Indexation'!I$19,H51*(1+'Macro &amp; Indexation'!I$16)))</f>
        <v>0</v>
      </c>
      <c r="J51" s="40">
        <f>IF(J$6&lt;$B51,0,IF(J$6=$B51,'Growth Engine'!J$10*'Macro &amp; Indexation'!J$19,I51*(1+'Macro &amp; Indexation'!J$16)))</f>
        <v>0</v>
      </c>
      <c r="K51" s="40">
        <f>IF(K$6&lt;$B51,0,IF(K$6=$B51,'Growth Engine'!K$10*'Macro &amp; Indexation'!K$19,J51*(1+'Macro &amp; Indexation'!K$16)))</f>
        <v>0</v>
      </c>
      <c r="L51" s="40">
        <f>IF(L$6&lt;$B51,0,IF(L$6=$B51,'Growth Engine'!L$10*'Macro &amp; Indexation'!L$19,K51*(1+'Macro &amp; Indexation'!L$16)))</f>
        <v>0</v>
      </c>
      <c r="M51" s="40">
        <f>IF(M$6&lt;$B51,0,IF(M$6=$B51,'Growth Engine'!M$10*'Macro &amp; Indexation'!M$19,L51*(1+'Macro &amp; Indexation'!M$16)))</f>
        <v>0</v>
      </c>
      <c r="N51" s="40">
        <f>IF(N$6&lt;$B51,0,IF(N$6=$B51,'Growth Engine'!N$10*'Macro &amp; Indexation'!N$19,M51*(1+'Macro &amp; Indexation'!N$16)))</f>
        <v>0</v>
      </c>
      <c r="O51" s="40">
        <f>IF(O$6&lt;$B51,0,IF(O$6=$B51,'Growth Engine'!O$10*'Macro &amp; Indexation'!O$19,N51*(1+'Macro &amp; Indexation'!O$16)))</f>
        <v>0</v>
      </c>
      <c r="P51" s="40">
        <f>IF(P$6&lt;$B51,0,IF(P$6=$B51,'Growth Engine'!P$10*'Macro &amp; Indexation'!P$19,O51*(1+'Macro &amp; Indexation'!P$16)))</f>
        <v>0</v>
      </c>
      <c r="Q51" s="40">
        <f>IF(Q$6&lt;$B51,0,IF(Q$6=$B51,'Growth Engine'!Q$10*'Macro &amp; Indexation'!Q$19,P51*(1+'Macro &amp; Indexation'!Q$16)))</f>
        <v>0</v>
      </c>
      <c r="R51" s="40">
        <f>IF(R$6&lt;$B51,0,IF(R$6=$B51,'Growth Engine'!R$10*'Macro &amp; Indexation'!R$19,Q51*(1+'Macro &amp; Indexation'!R$16)))</f>
        <v>0</v>
      </c>
      <c r="S51" s="40">
        <f>IF(S$6&lt;$B51,0,IF(S$6=$B51,'Growth Engine'!S$10*'Macro &amp; Indexation'!S$19,R51*(1+'Macro &amp; Indexation'!S$16)))</f>
        <v>0</v>
      </c>
      <c r="T51" s="40">
        <f>IF(T$6&lt;$B51,0,IF(T$6=$B51,'Growth Engine'!T$10*'Macro &amp; Indexation'!T$19,S51*(1+'Macro &amp; Indexation'!T$16)))</f>
        <v>0</v>
      </c>
      <c r="U51" s="40">
        <f>IF(U$6&lt;$B51,0,IF(U$6=$B51,'Growth Engine'!U$10*'Macro &amp; Indexation'!U$19,T51*(1+'Macro &amp; Indexation'!U$16)))</f>
        <v>0</v>
      </c>
      <c r="V51" s="40">
        <f>IF(V$6&lt;$B51,0,IF(V$6=$B51,'Growth Engine'!V$10*'Macro &amp; Indexation'!V$19,U51*(1+'Macro &amp; Indexation'!V$16)))</f>
        <v>0</v>
      </c>
      <c r="W51" s="40">
        <f>IF(W$6&lt;$B51,0,IF(W$6=$B51,'Growth Engine'!W$10*'Macro &amp; Indexation'!W$19,V51*(1+'Macro &amp; Indexation'!W$16)))</f>
        <v>0</v>
      </c>
      <c r="X51" s="40">
        <f>IF(X$6&lt;$B51,0,IF(X$6=$B51,'Growth Engine'!X$10*'Macro &amp; Indexation'!X$19,W51*(1+'Macro &amp; Indexation'!X$16)))</f>
        <v>0</v>
      </c>
      <c r="Y51" s="40">
        <f>IF(Y$6&lt;$B51,0,IF(Y$6=$B51,'Growth Engine'!Y$10*'Macro &amp; Indexation'!Y$19,X51*(1+'Macro &amp; Indexation'!Y$16)))</f>
        <v>0</v>
      </c>
      <c r="Z51" s="40">
        <f>IF(Z$6&lt;$B51,0,IF(Z$6=$B51,'Growth Engine'!Z$10*'Macro &amp; Indexation'!Z$19,Y51*(1+'Macro &amp; Indexation'!Z$16)))</f>
        <v>0</v>
      </c>
      <c r="AA51" s="40">
        <f>IF(AA$6&lt;$B51,0,IF(AA$6=$B51,'Growth Engine'!AA$10*'Macro &amp; Indexation'!AA$19,Z51*(1+'Macro &amp; Indexation'!AA$16)))</f>
        <v>0</v>
      </c>
      <c r="AB51" s="40">
        <f>IF(AB$6&lt;$B51,0,IF(AB$6=$B51,'Growth Engine'!AB$10*'Macro &amp; Indexation'!AB$19,AA51*(1+'Macro &amp; Indexation'!AB$16)))</f>
        <v>0</v>
      </c>
      <c r="AC51" s="40">
        <f>IF(AC$6&lt;$B51,0,IF(AC$6=$B51,'Growth Engine'!AC$10*'Macro &amp; Indexation'!AC$19,AB51*(1+'Macro &amp; Indexation'!AC$16)))</f>
        <v>0</v>
      </c>
      <c r="AD51" s="40">
        <f>IF(AD$6&lt;$B51,0,IF(AD$6=$B51,'Growth Engine'!AD$10*'Macro &amp; Indexation'!AD$19,AC51*(1+'Macro &amp; Indexation'!AD$16)))</f>
        <v>0</v>
      </c>
      <c r="AE51" s="40">
        <f>IF(AE$6&lt;$B51,0,IF(AE$6=$B51,'Growth Engine'!AE$10*'Macro &amp; Indexation'!AE$19,AD51*(1+'Macro &amp; Indexation'!AE$16)))</f>
        <v>0</v>
      </c>
      <c r="AF51" s="40">
        <f>IF(AF$6&lt;$B51,0,IF(AF$6=$B51,'Growth Engine'!AF$10*'Macro &amp; Indexation'!AF$19,AE51*(1+'Macro &amp; Indexation'!AF$16)))</f>
        <v>0</v>
      </c>
      <c r="AG51" s="40">
        <f>IF(AG$6&lt;$B51,0,IF(AG$6=$B51,'Growth Engine'!AG$10*'Macro &amp; Indexation'!AG$19,AF51*(1+'Macro &amp; Indexation'!AG$16)))</f>
        <v>0</v>
      </c>
      <c r="AH51" s="40">
        <f>IF(AH$6&lt;$B51,0,IF(AH$6=$B51,'Growth Engine'!AH$10*'Macro &amp; Indexation'!AH$19,AG51*(1+'Macro &amp; Indexation'!AH$16)))</f>
        <v>0</v>
      </c>
      <c r="AI51" s="40">
        <f>IF(AI$6&lt;$B51,0,IF(AI$6=$B51,'Growth Engine'!AI$10*'Macro &amp; Indexation'!AI$19,AH51*(1+'Macro &amp; Indexation'!AI$16)))</f>
        <v>0</v>
      </c>
      <c r="AJ51" s="40">
        <f>IF(AJ$6&lt;$B51,0,IF(AJ$6=$B51,'Growth Engine'!AJ$10*'Macro &amp; Indexation'!AJ$19,AI51*(1+'Macro &amp; Indexation'!AJ$16)))</f>
        <v>0</v>
      </c>
      <c r="AK51" s="40">
        <f>IF(AK$6&lt;$B51,0,IF(AK$6=$B51,'Growth Engine'!AK$10*'Macro &amp; Indexation'!AK$19,AJ51*(1+'Macro &amp; Indexation'!AK$16)))</f>
        <v>0</v>
      </c>
      <c r="AL51" s="40">
        <f>IF(AL$6&lt;$B51,0,IF(AL$6=$B51,'Growth Engine'!AL$10*'Macro &amp; Indexation'!AL$19,AK51*(1+'Macro &amp; Indexation'!AL$16)))</f>
        <v>0</v>
      </c>
      <c r="AM51" s="40">
        <f>IF(AM$6&lt;$B51,0,IF(AM$6=$B51,'Growth Engine'!AM$10*'Macro &amp; Indexation'!AM$19,AL51*(1+'Macro &amp; Indexation'!AM$16)))</f>
        <v>0</v>
      </c>
      <c r="AN51" s="40">
        <f>IF(AN$6&lt;$B51,0,IF(AN$6=$B51,'Growth Engine'!AN$10*'Macro &amp; Indexation'!AN$19,AM51*(1+'Macro &amp; Indexation'!AN$16)))</f>
        <v>0</v>
      </c>
      <c r="AO51" s="40">
        <f>IF(AO$6&lt;$B51,0,IF(AO$6=$B51,'Growth Engine'!AO$10*'Macro &amp; Indexation'!AO$19,AN51*(1+'Macro &amp; Indexation'!AO$16)))</f>
        <v>0</v>
      </c>
      <c r="AP51" s="40">
        <f>IF(AP$6&lt;$B51,0,IF(AP$6=$B51,'Growth Engine'!AP$10*'Macro &amp; Indexation'!AP$19,AO51*(1+'Macro &amp; Indexation'!AP$16)))</f>
        <v>0</v>
      </c>
      <c r="AQ51" s="40">
        <f>IF(AQ$6&lt;$B51,0,IF(AQ$6=$B51,'Growth Engine'!AQ$10*'Macro &amp; Indexation'!AQ$19,AP51*(1+'Macro &amp; Indexation'!AQ$16)))</f>
        <v>0</v>
      </c>
      <c r="AR51" s="40">
        <f>IF(AR$6&lt;$B51,0,IF(AR$6=$B51,'Growth Engine'!AR$10*'Macro &amp; Indexation'!AR$19,AQ51*(1+'Macro &amp; Indexation'!AR$16)))</f>
        <v>0</v>
      </c>
      <c r="AS51" s="40">
        <f ca="1">IF(AS$6&lt;$B51,0,IF(AS$6=$B51,'Growth Engine'!AS$10*'Macro &amp; Indexation'!AS$19,AR51*(1+'Macro &amp; Indexation'!AS$16)))</f>
        <v>1147393.4671958454</v>
      </c>
      <c r="AT51" s="40">
        <f ca="1">IF(AT$6&lt;$B51,0,IF(AT$6=$B51,'Growth Engine'!AT$10*'Macro &amp; Indexation'!AT$19,AS51*(1+'Macro &amp; Indexation'!AT$16)))</f>
        <v>1187552.2385477</v>
      </c>
      <c r="AU51" s="40">
        <f ca="1">IF(AU$6&lt;$B51,0,IF(AU$6=$B51,'Growth Engine'!AU$10*'Macro &amp; Indexation'!AU$19,AT51*(1+'Macro &amp; Indexation'!AU$16)))</f>
        <v>1229116.5668968693</v>
      </c>
      <c r="AV51" s="40">
        <f ca="1">IF(AV$6&lt;$B51,0,IF(AV$6=$B51,'Growth Engine'!AV$10*'Macro &amp; Indexation'!AV$19,AU51*(1+'Macro &amp; Indexation'!AV$16)))</f>
        <v>1272135.6467382596</v>
      </c>
      <c r="AW51" s="40">
        <f ca="1">IF(AW$6&lt;$B51,0,IF(AW$6=$B51,'Growth Engine'!AW$10*'Macro &amp; Indexation'!AW$19,AV51*(1+'Macro &amp; Indexation'!AW$16)))</f>
        <v>1316660.3943740986</v>
      </c>
      <c r="AX51" s="40">
        <f ca="1">IF(AX$6&lt;$B51,0,IF(AX$6=$B51,'Growth Engine'!AX$10*'Macro &amp; Indexation'!AX$19,AW51*(1+'Macro &amp; Indexation'!AX$16)))</f>
        <v>1362743.508177192</v>
      </c>
      <c r="AY51" s="40">
        <f ca="1">IF(AY$6&lt;$B51,0,IF(AY$6=$B51,'Growth Engine'!AY$10*'Macro &amp; Indexation'!AY$19,AX51*(1+'Macro &amp; Indexation'!AY$16)))</f>
        <v>1410439.5309633936</v>
      </c>
      <c r="AZ51" s="40">
        <f ca="1">IF(AZ$6&lt;$B51,0,IF(AZ$6=$B51,'Growth Engine'!AZ$10*'Macro &amp; Indexation'!AZ$19,AY51*(1+'Macro &amp; Indexation'!AZ$16)))</f>
        <v>1459804.9145471123</v>
      </c>
      <c r="BA51" s="40">
        <f ca="1">IF(BA$6&lt;$B51,0,IF(BA$6=$B51,'Growth Engine'!BA$10*'Macro &amp; Indexation'!BA$19,AZ51*(1+'Macro &amp; Indexation'!BA$16)))</f>
        <v>1510898.0865562612</v>
      </c>
    </row>
    <row r="52" spans="1:53" outlineLevel="1" x14ac:dyDescent="0.3">
      <c r="A52" t="s">
        <v>179</v>
      </c>
      <c r="B52">
        <v>43</v>
      </c>
      <c r="D52" s="40">
        <f>IF(D$6&lt;$B52,0,IF(D$6=$B52,'Growth Engine'!D$10*'Macro &amp; Indexation'!D$19,C52*(1+'Macro &amp; Indexation'!D$16)))</f>
        <v>0</v>
      </c>
      <c r="E52" s="40">
        <f>IF(E$6&lt;$B52,0,IF(E$6=$B52,'Growth Engine'!E$10*'Macro &amp; Indexation'!E$19,D52*(1+'Macro &amp; Indexation'!E$16)))</f>
        <v>0</v>
      </c>
      <c r="F52" s="40">
        <f>IF(F$6&lt;$B52,0,IF(F$6=$B52,'Growth Engine'!F$10*'Macro &amp; Indexation'!F$19,E52*(1+'Macro &amp; Indexation'!F$16)))</f>
        <v>0</v>
      </c>
      <c r="G52" s="40">
        <f>IF(G$6&lt;$B52,0,IF(G$6=$B52,'Growth Engine'!G$10*'Macro &amp; Indexation'!G$19,F52*(1+'Macro &amp; Indexation'!G$16)))</f>
        <v>0</v>
      </c>
      <c r="H52" s="40">
        <f>IF(H$6&lt;$B52,0,IF(H$6=$B52,'Growth Engine'!H$10*'Macro &amp; Indexation'!H$19,G52*(1+'Macro &amp; Indexation'!H$16)))</f>
        <v>0</v>
      </c>
      <c r="I52" s="40">
        <f>IF(I$6&lt;$B52,0,IF(I$6=$B52,'Growth Engine'!I$10*'Macro &amp; Indexation'!I$19,H52*(1+'Macro &amp; Indexation'!I$16)))</f>
        <v>0</v>
      </c>
      <c r="J52" s="40">
        <f>IF(J$6&lt;$B52,0,IF(J$6=$B52,'Growth Engine'!J$10*'Macro &amp; Indexation'!J$19,I52*(1+'Macro &amp; Indexation'!J$16)))</f>
        <v>0</v>
      </c>
      <c r="K52" s="40">
        <f>IF(K$6&lt;$B52,0,IF(K$6=$B52,'Growth Engine'!K$10*'Macro &amp; Indexation'!K$19,J52*(1+'Macro &amp; Indexation'!K$16)))</f>
        <v>0</v>
      </c>
      <c r="L52" s="40">
        <f>IF(L$6&lt;$B52,0,IF(L$6=$B52,'Growth Engine'!L$10*'Macro &amp; Indexation'!L$19,K52*(1+'Macro &amp; Indexation'!L$16)))</f>
        <v>0</v>
      </c>
      <c r="M52" s="40">
        <f>IF(M$6&lt;$B52,0,IF(M$6=$B52,'Growth Engine'!M$10*'Macro &amp; Indexation'!M$19,L52*(1+'Macro &amp; Indexation'!M$16)))</f>
        <v>0</v>
      </c>
      <c r="N52" s="40">
        <f>IF(N$6&lt;$B52,0,IF(N$6=$B52,'Growth Engine'!N$10*'Macro &amp; Indexation'!N$19,M52*(1+'Macro &amp; Indexation'!N$16)))</f>
        <v>0</v>
      </c>
      <c r="O52" s="40">
        <f>IF(O$6&lt;$B52,0,IF(O$6=$B52,'Growth Engine'!O$10*'Macro &amp; Indexation'!O$19,N52*(1+'Macro &amp; Indexation'!O$16)))</f>
        <v>0</v>
      </c>
      <c r="P52" s="40">
        <f>IF(P$6&lt;$B52,0,IF(P$6=$B52,'Growth Engine'!P$10*'Macro &amp; Indexation'!P$19,O52*(1+'Macro &amp; Indexation'!P$16)))</f>
        <v>0</v>
      </c>
      <c r="Q52" s="40">
        <f>IF(Q$6&lt;$B52,0,IF(Q$6=$B52,'Growth Engine'!Q$10*'Macro &amp; Indexation'!Q$19,P52*(1+'Macro &amp; Indexation'!Q$16)))</f>
        <v>0</v>
      </c>
      <c r="R52" s="40">
        <f>IF(R$6&lt;$B52,0,IF(R$6=$B52,'Growth Engine'!R$10*'Macro &amp; Indexation'!R$19,Q52*(1+'Macro &amp; Indexation'!R$16)))</f>
        <v>0</v>
      </c>
      <c r="S52" s="40">
        <f>IF(S$6&lt;$B52,0,IF(S$6=$B52,'Growth Engine'!S$10*'Macro &amp; Indexation'!S$19,R52*(1+'Macro &amp; Indexation'!S$16)))</f>
        <v>0</v>
      </c>
      <c r="T52" s="40">
        <f>IF(T$6&lt;$B52,0,IF(T$6=$B52,'Growth Engine'!T$10*'Macro &amp; Indexation'!T$19,S52*(1+'Macro &amp; Indexation'!T$16)))</f>
        <v>0</v>
      </c>
      <c r="U52" s="40">
        <f>IF(U$6&lt;$B52,0,IF(U$6=$B52,'Growth Engine'!U$10*'Macro &amp; Indexation'!U$19,T52*(1+'Macro &amp; Indexation'!U$16)))</f>
        <v>0</v>
      </c>
      <c r="V52" s="40">
        <f>IF(V$6&lt;$B52,0,IF(V$6=$B52,'Growth Engine'!V$10*'Macro &amp; Indexation'!V$19,U52*(1+'Macro &amp; Indexation'!V$16)))</f>
        <v>0</v>
      </c>
      <c r="W52" s="40">
        <f>IF(W$6&lt;$B52,0,IF(W$6=$B52,'Growth Engine'!W$10*'Macro &amp; Indexation'!W$19,V52*(1+'Macro &amp; Indexation'!W$16)))</f>
        <v>0</v>
      </c>
      <c r="X52" s="40">
        <f>IF(X$6&lt;$B52,0,IF(X$6=$B52,'Growth Engine'!X$10*'Macro &amp; Indexation'!X$19,W52*(1+'Macro &amp; Indexation'!X$16)))</f>
        <v>0</v>
      </c>
      <c r="Y52" s="40">
        <f>IF(Y$6&lt;$B52,0,IF(Y$6=$B52,'Growth Engine'!Y$10*'Macro &amp; Indexation'!Y$19,X52*(1+'Macro &amp; Indexation'!Y$16)))</f>
        <v>0</v>
      </c>
      <c r="Z52" s="40">
        <f>IF(Z$6&lt;$B52,0,IF(Z$6=$B52,'Growth Engine'!Z$10*'Macro &amp; Indexation'!Z$19,Y52*(1+'Macro &amp; Indexation'!Z$16)))</f>
        <v>0</v>
      </c>
      <c r="AA52" s="40">
        <f>IF(AA$6&lt;$B52,0,IF(AA$6=$B52,'Growth Engine'!AA$10*'Macro &amp; Indexation'!AA$19,Z52*(1+'Macro &amp; Indexation'!AA$16)))</f>
        <v>0</v>
      </c>
      <c r="AB52" s="40">
        <f>IF(AB$6&lt;$B52,0,IF(AB$6=$B52,'Growth Engine'!AB$10*'Macro &amp; Indexation'!AB$19,AA52*(1+'Macro &amp; Indexation'!AB$16)))</f>
        <v>0</v>
      </c>
      <c r="AC52" s="40">
        <f>IF(AC$6&lt;$B52,0,IF(AC$6=$B52,'Growth Engine'!AC$10*'Macro &amp; Indexation'!AC$19,AB52*(1+'Macro &amp; Indexation'!AC$16)))</f>
        <v>0</v>
      </c>
      <c r="AD52" s="40">
        <f>IF(AD$6&lt;$B52,0,IF(AD$6=$B52,'Growth Engine'!AD$10*'Macro &amp; Indexation'!AD$19,AC52*(1+'Macro &amp; Indexation'!AD$16)))</f>
        <v>0</v>
      </c>
      <c r="AE52" s="40">
        <f>IF(AE$6&lt;$B52,0,IF(AE$6=$B52,'Growth Engine'!AE$10*'Macro &amp; Indexation'!AE$19,AD52*(1+'Macro &amp; Indexation'!AE$16)))</f>
        <v>0</v>
      </c>
      <c r="AF52" s="40">
        <f>IF(AF$6&lt;$B52,0,IF(AF$6=$B52,'Growth Engine'!AF$10*'Macro &amp; Indexation'!AF$19,AE52*(1+'Macro &amp; Indexation'!AF$16)))</f>
        <v>0</v>
      </c>
      <c r="AG52" s="40">
        <f>IF(AG$6&lt;$B52,0,IF(AG$6=$B52,'Growth Engine'!AG$10*'Macro &amp; Indexation'!AG$19,AF52*(1+'Macro &amp; Indexation'!AG$16)))</f>
        <v>0</v>
      </c>
      <c r="AH52" s="40">
        <f>IF(AH$6&lt;$B52,0,IF(AH$6=$B52,'Growth Engine'!AH$10*'Macro &amp; Indexation'!AH$19,AG52*(1+'Macro &amp; Indexation'!AH$16)))</f>
        <v>0</v>
      </c>
      <c r="AI52" s="40">
        <f>IF(AI$6&lt;$B52,0,IF(AI$6=$B52,'Growth Engine'!AI$10*'Macro &amp; Indexation'!AI$19,AH52*(1+'Macro &amp; Indexation'!AI$16)))</f>
        <v>0</v>
      </c>
      <c r="AJ52" s="40">
        <f>IF(AJ$6&lt;$B52,0,IF(AJ$6=$B52,'Growth Engine'!AJ$10*'Macro &amp; Indexation'!AJ$19,AI52*(1+'Macro &amp; Indexation'!AJ$16)))</f>
        <v>0</v>
      </c>
      <c r="AK52" s="40">
        <f>IF(AK$6&lt;$B52,0,IF(AK$6=$B52,'Growth Engine'!AK$10*'Macro &amp; Indexation'!AK$19,AJ52*(1+'Macro &amp; Indexation'!AK$16)))</f>
        <v>0</v>
      </c>
      <c r="AL52" s="40">
        <f>IF(AL$6&lt;$B52,0,IF(AL$6=$B52,'Growth Engine'!AL$10*'Macro &amp; Indexation'!AL$19,AK52*(1+'Macro &amp; Indexation'!AL$16)))</f>
        <v>0</v>
      </c>
      <c r="AM52" s="40">
        <f>IF(AM$6&lt;$B52,0,IF(AM$6=$B52,'Growth Engine'!AM$10*'Macro &amp; Indexation'!AM$19,AL52*(1+'Macro &amp; Indexation'!AM$16)))</f>
        <v>0</v>
      </c>
      <c r="AN52" s="40">
        <f>IF(AN$6&lt;$B52,0,IF(AN$6=$B52,'Growth Engine'!AN$10*'Macro &amp; Indexation'!AN$19,AM52*(1+'Macro &amp; Indexation'!AN$16)))</f>
        <v>0</v>
      </c>
      <c r="AO52" s="40">
        <f>IF(AO$6&lt;$B52,0,IF(AO$6=$B52,'Growth Engine'!AO$10*'Macro &amp; Indexation'!AO$19,AN52*(1+'Macro &amp; Indexation'!AO$16)))</f>
        <v>0</v>
      </c>
      <c r="AP52" s="40">
        <f>IF(AP$6&lt;$B52,0,IF(AP$6=$B52,'Growth Engine'!AP$10*'Macro &amp; Indexation'!AP$19,AO52*(1+'Macro &amp; Indexation'!AP$16)))</f>
        <v>0</v>
      </c>
      <c r="AQ52" s="40">
        <f>IF(AQ$6&lt;$B52,0,IF(AQ$6=$B52,'Growth Engine'!AQ$10*'Macro &amp; Indexation'!AQ$19,AP52*(1+'Macro &amp; Indexation'!AQ$16)))</f>
        <v>0</v>
      </c>
      <c r="AR52" s="40">
        <f>IF(AR$6&lt;$B52,0,IF(AR$6=$B52,'Growth Engine'!AR$10*'Macro &amp; Indexation'!AR$19,AQ52*(1+'Macro &amp; Indexation'!AR$16)))</f>
        <v>0</v>
      </c>
      <c r="AS52" s="40">
        <f>IF(AS$6&lt;$B52,0,IF(AS$6=$B52,'Growth Engine'!AS$10*'Macro &amp; Indexation'!AS$19,AR52*(1+'Macro &amp; Indexation'!AS$16)))</f>
        <v>0</v>
      </c>
      <c r="AT52" s="40">
        <f ca="1">IF(AT$6&lt;$B52,0,IF(AT$6=$B52,'Growth Engine'!AT$10*'Macro &amp; Indexation'!AT$19,AS52*(1+'Macro &amp; Indexation'!AT$16)))</f>
        <v>1187552.2385477</v>
      </c>
      <c r="AU52" s="40">
        <f ca="1">IF(AU$6&lt;$B52,0,IF(AU$6=$B52,'Growth Engine'!AU$10*'Macro &amp; Indexation'!AU$19,AT52*(1+'Macro &amp; Indexation'!AU$16)))</f>
        <v>1229116.5668968693</v>
      </c>
      <c r="AV52" s="40">
        <f ca="1">IF(AV$6&lt;$B52,0,IF(AV$6=$B52,'Growth Engine'!AV$10*'Macro &amp; Indexation'!AV$19,AU52*(1+'Macro &amp; Indexation'!AV$16)))</f>
        <v>1272135.6467382596</v>
      </c>
      <c r="AW52" s="40">
        <f ca="1">IF(AW$6&lt;$B52,0,IF(AW$6=$B52,'Growth Engine'!AW$10*'Macro &amp; Indexation'!AW$19,AV52*(1+'Macro &amp; Indexation'!AW$16)))</f>
        <v>1316660.3943740986</v>
      </c>
      <c r="AX52" s="40">
        <f ca="1">IF(AX$6&lt;$B52,0,IF(AX$6=$B52,'Growth Engine'!AX$10*'Macro &amp; Indexation'!AX$19,AW52*(1+'Macro &amp; Indexation'!AX$16)))</f>
        <v>1362743.508177192</v>
      </c>
      <c r="AY52" s="40">
        <f ca="1">IF(AY$6&lt;$B52,0,IF(AY$6=$B52,'Growth Engine'!AY$10*'Macro &amp; Indexation'!AY$19,AX52*(1+'Macro &amp; Indexation'!AY$16)))</f>
        <v>1410439.5309633936</v>
      </c>
      <c r="AZ52" s="40">
        <f ca="1">IF(AZ$6&lt;$B52,0,IF(AZ$6=$B52,'Growth Engine'!AZ$10*'Macro &amp; Indexation'!AZ$19,AY52*(1+'Macro &amp; Indexation'!AZ$16)))</f>
        <v>1459804.9145471123</v>
      </c>
      <c r="BA52" s="40">
        <f ca="1">IF(BA$6&lt;$B52,0,IF(BA$6=$B52,'Growth Engine'!BA$10*'Macro &amp; Indexation'!BA$19,AZ52*(1+'Macro &amp; Indexation'!BA$16)))</f>
        <v>1510898.0865562612</v>
      </c>
    </row>
    <row r="53" spans="1:53" outlineLevel="1" x14ac:dyDescent="0.3">
      <c r="A53" t="s">
        <v>180</v>
      </c>
      <c r="B53">
        <v>44</v>
      </c>
      <c r="D53" s="40">
        <f>IF(D$6&lt;$B53,0,IF(D$6=$B53,'Growth Engine'!D$10*'Macro &amp; Indexation'!D$19,C53*(1+'Macro &amp; Indexation'!D$16)))</f>
        <v>0</v>
      </c>
      <c r="E53" s="40">
        <f>IF(E$6&lt;$B53,0,IF(E$6=$B53,'Growth Engine'!E$10*'Macro &amp; Indexation'!E$19,D53*(1+'Macro &amp; Indexation'!E$16)))</f>
        <v>0</v>
      </c>
      <c r="F53" s="40">
        <f>IF(F$6&lt;$B53,0,IF(F$6=$B53,'Growth Engine'!F$10*'Macro &amp; Indexation'!F$19,E53*(1+'Macro &amp; Indexation'!F$16)))</f>
        <v>0</v>
      </c>
      <c r="G53" s="40">
        <f>IF(G$6&lt;$B53,0,IF(G$6=$B53,'Growth Engine'!G$10*'Macro &amp; Indexation'!G$19,F53*(1+'Macro &amp; Indexation'!G$16)))</f>
        <v>0</v>
      </c>
      <c r="H53" s="40">
        <f>IF(H$6&lt;$B53,0,IF(H$6=$B53,'Growth Engine'!H$10*'Macro &amp; Indexation'!H$19,G53*(1+'Macro &amp; Indexation'!H$16)))</f>
        <v>0</v>
      </c>
      <c r="I53" s="40">
        <f>IF(I$6&lt;$B53,0,IF(I$6=$B53,'Growth Engine'!I$10*'Macro &amp; Indexation'!I$19,H53*(1+'Macro &amp; Indexation'!I$16)))</f>
        <v>0</v>
      </c>
      <c r="J53" s="40">
        <f>IF(J$6&lt;$B53,0,IF(J$6=$B53,'Growth Engine'!J$10*'Macro &amp; Indexation'!J$19,I53*(1+'Macro &amp; Indexation'!J$16)))</f>
        <v>0</v>
      </c>
      <c r="K53" s="40">
        <f>IF(K$6&lt;$B53,0,IF(K$6=$B53,'Growth Engine'!K$10*'Macro &amp; Indexation'!K$19,J53*(1+'Macro &amp; Indexation'!K$16)))</f>
        <v>0</v>
      </c>
      <c r="L53" s="40">
        <f>IF(L$6&lt;$B53,0,IF(L$6=$B53,'Growth Engine'!L$10*'Macro &amp; Indexation'!L$19,K53*(1+'Macro &amp; Indexation'!L$16)))</f>
        <v>0</v>
      </c>
      <c r="M53" s="40">
        <f>IF(M$6&lt;$B53,0,IF(M$6=$B53,'Growth Engine'!M$10*'Macro &amp; Indexation'!M$19,L53*(1+'Macro &amp; Indexation'!M$16)))</f>
        <v>0</v>
      </c>
      <c r="N53" s="40">
        <f>IF(N$6&lt;$B53,0,IF(N$6=$B53,'Growth Engine'!N$10*'Macro &amp; Indexation'!N$19,M53*(1+'Macro &amp; Indexation'!N$16)))</f>
        <v>0</v>
      </c>
      <c r="O53" s="40">
        <f>IF(O$6&lt;$B53,0,IF(O$6=$B53,'Growth Engine'!O$10*'Macro &amp; Indexation'!O$19,N53*(1+'Macro &amp; Indexation'!O$16)))</f>
        <v>0</v>
      </c>
      <c r="P53" s="40">
        <f>IF(P$6&lt;$B53,0,IF(P$6=$B53,'Growth Engine'!P$10*'Macro &amp; Indexation'!P$19,O53*(1+'Macro &amp; Indexation'!P$16)))</f>
        <v>0</v>
      </c>
      <c r="Q53" s="40">
        <f>IF(Q$6&lt;$B53,0,IF(Q$6=$B53,'Growth Engine'!Q$10*'Macro &amp; Indexation'!Q$19,P53*(1+'Macro &amp; Indexation'!Q$16)))</f>
        <v>0</v>
      </c>
      <c r="R53" s="40">
        <f>IF(R$6&lt;$B53,0,IF(R$6=$B53,'Growth Engine'!R$10*'Macro &amp; Indexation'!R$19,Q53*(1+'Macro &amp; Indexation'!R$16)))</f>
        <v>0</v>
      </c>
      <c r="S53" s="40">
        <f>IF(S$6&lt;$B53,0,IF(S$6=$B53,'Growth Engine'!S$10*'Macro &amp; Indexation'!S$19,R53*(1+'Macro &amp; Indexation'!S$16)))</f>
        <v>0</v>
      </c>
      <c r="T53" s="40">
        <f>IF(T$6&lt;$B53,0,IF(T$6=$B53,'Growth Engine'!T$10*'Macro &amp; Indexation'!T$19,S53*(1+'Macro &amp; Indexation'!T$16)))</f>
        <v>0</v>
      </c>
      <c r="U53" s="40">
        <f>IF(U$6&lt;$B53,0,IF(U$6=$B53,'Growth Engine'!U$10*'Macro &amp; Indexation'!U$19,T53*(1+'Macro &amp; Indexation'!U$16)))</f>
        <v>0</v>
      </c>
      <c r="V53" s="40">
        <f>IF(V$6&lt;$B53,0,IF(V$6=$B53,'Growth Engine'!V$10*'Macro &amp; Indexation'!V$19,U53*(1+'Macro &amp; Indexation'!V$16)))</f>
        <v>0</v>
      </c>
      <c r="W53" s="40">
        <f>IF(W$6&lt;$B53,0,IF(W$6=$B53,'Growth Engine'!W$10*'Macro &amp; Indexation'!W$19,V53*(1+'Macro &amp; Indexation'!W$16)))</f>
        <v>0</v>
      </c>
      <c r="X53" s="40">
        <f>IF(X$6&lt;$B53,0,IF(X$6=$B53,'Growth Engine'!X$10*'Macro &amp; Indexation'!X$19,W53*(1+'Macro &amp; Indexation'!X$16)))</f>
        <v>0</v>
      </c>
      <c r="Y53" s="40">
        <f>IF(Y$6&lt;$B53,0,IF(Y$6=$B53,'Growth Engine'!Y$10*'Macro &amp; Indexation'!Y$19,X53*(1+'Macro &amp; Indexation'!Y$16)))</f>
        <v>0</v>
      </c>
      <c r="Z53" s="40">
        <f>IF(Z$6&lt;$B53,0,IF(Z$6=$B53,'Growth Engine'!Z$10*'Macro &amp; Indexation'!Z$19,Y53*(1+'Macro &amp; Indexation'!Z$16)))</f>
        <v>0</v>
      </c>
      <c r="AA53" s="40">
        <f>IF(AA$6&lt;$B53,0,IF(AA$6=$B53,'Growth Engine'!AA$10*'Macro &amp; Indexation'!AA$19,Z53*(1+'Macro &amp; Indexation'!AA$16)))</f>
        <v>0</v>
      </c>
      <c r="AB53" s="40">
        <f>IF(AB$6&lt;$B53,0,IF(AB$6=$B53,'Growth Engine'!AB$10*'Macro &amp; Indexation'!AB$19,AA53*(1+'Macro &amp; Indexation'!AB$16)))</f>
        <v>0</v>
      </c>
      <c r="AC53" s="40">
        <f>IF(AC$6&lt;$B53,0,IF(AC$6=$B53,'Growth Engine'!AC$10*'Macro &amp; Indexation'!AC$19,AB53*(1+'Macro &amp; Indexation'!AC$16)))</f>
        <v>0</v>
      </c>
      <c r="AD53" s="40">
        <f>IF(AD$6&lt;$B53,0,IF(AD$6=$B53,'Growth Engine'!AD$10*'Macro &amp; Indexation'!AD$19,AC53*(1+'Macro &amp; Indexation'!AD$16)))</f>
        <v>0</v>
      </c>
      <c r="AE53" s="40">
        <f>IF(AE$6&lt;$B53,0,IF(AE$6=$B53,'Growth Engine'!AE$10*'Macro &amp; Indexation'!AE$19,AD53*(1+'Macro &amp; Indexation'!AE$16)))</f>
        <v>0</v>
      </c>
      <c r="AF53" s="40">
        <f>IF(AF$6&lt;$B53,0,IF(AF$6=$B53,'Growth Engine'!AF$10*'Macro &amp; Indexation'!AF$19,AE53*(1+'Macro &amp; Indexation'!AF$16)))</f>
        <v>0</v>
      </c>
      <c r="AG53" s="40">
        <f>IF(AG$6&lt;$B53,0,IF(AG$6=$B53,'Growth Engine'!AG$10*'Macro &amp; Indexation'!AG$19,AF53*(1+'Macro &amp; Indexation'!AG$16)))</f>
        <v>0</v>
      </c>
      <c r="AH53" s="40">
        <f>IF(AH$6&lt;$B53,0,IF(AH$6=$B53,'Growth Engine'!AH$10*'Macro &amp; Indexation'!AH$19,AG53*(1+'Macro &amp; Indexation'!AH$16)))</f>
        <v>0</v>
      </c>
      <c r="AI53" s="40">
        <f>IF(AI$6&lt;$B53,0,IF(AI$6=$B53,'Growth Engine'!AI$10*'Macro &amp; Indexation'!AI$19,AH53*(1+'Macro &amp; Indexation'!AI$16)))</f>
        <v>0</v>
      </c>
      <c r="AJ53" s="40">
        <f>IF(AJ$6&lt;$B53,0,IF(AJ$6=$B53,'Growth Engine'!AJ$10*'Macro &amp; Indexation'!AJ$19,AI53*(1+'Macro &amp; Indexation'!AJ$16)))</f>
        <v>0</v>
      </c>
      <c r="AK53" s="40">
        <f>IF(AK$6&lt;$B53,0,IF(AK$6=$B53,'Growth Engine'!AK$10*'Macro &amp; Indexation'!AK$19,AJ53*(1+'Macro &amp; Indexation'!AK$16)))</f>
        <v>0</v>
      </c>
      <c r="AL53" s="40">
        <f>IF(AL$6&lt;$B53,0,IF(AL$6=$B53,'Growth Engine'!AL$10*'Macro &amp; Indexation'!AL$19,AK53*(1+'Macro &amp; Indexation'!AL$16)))</f>
        <v>0</v>
      </c>
      <c r="AM53" s="40">
        <f>IF(AM$6&lt;$B53,0,IF(AM$6=$B53,'Growth Engine'!AM$10*'Macro &amp; Indexation'!AM$19,AL53*(1+'Macro &amp; Indexation'!AM$16)))</f>
        <v>0</v>
      </c>
      <c r="AN53" s="40">
        <f>IF(AN$6&lt;$B53,0,IF(AN$6=$B53,'Growth Engine'!AN$10*'Macro &amp; Indexation'!AN$19,AM53*(1+'Macro &amp; Indexation'!AN$16)))</f>
        <v>0</v>
      </c>
      <c r="AO53" s="40">
        <f>IF(AO$6&lt;$B53,0,IF(AO$6=$B53,'Growth Engine'!AO$10*'Macro &amp; Indexation'!AO$19,AN53*(1+'Macro &amp; Indexation'!AO$16)))</f>
        <v>0</v>
      </c>
      <c r="AP53" s="40">
        <f>IF(AP$6&lt;$B53,0,IF(AP$6=$B53,'Growth Engine'!AP$10*'Macro &amp; Indexation'!AP$19,AO53*(1+'Macro &amp; Indexation'!AP$16)))</f>
        <v>0</v>
      </c>
      <c r="AQ53" s="40">
        <f>IF(AQ$6&lt;$B53,0,IF(AQ$6=$B53,'Growth Engine'!AQ$10*'Macro &amp; Indexation'!AQ$19,AP53*(1+'Macro &amp; Indexation'!AQ$16)))</f>
        <v>0</v>
      </c>
      <c r="AR53" s="40">
        <f>IF(AR$6&lt;$B53,0,IF(AR$6=$B53,'Growth Engine'!AR$10*'Macro &amp; Indexation'!AR$19,AQ53*(1+'Macro &amp; Indexation'!AR$16)))</f>
        <v>0</v>
      </c>
      <c r="AS53" s="40">
        <f>IF(AS$6&lt;$B53,0,IF(AS$6=$B53,'Growth Engine'!AS$10*'Macro &amp; Indexation'!AS$19,AR53*(1+'Macro &amp; Indexation'!AS$16)))</f>
        <v>0</v>
      </c>
      <c r="AT53" s="40">
        <f>IF(AT$6&lt;$B53,0,IF(AT$6=$B53,'Growth Engine'!AT$10*'Macro &amp; Indexation'!AT$19,AS53*(1+'Macro &amp; Indexation'!AT$16)))</f>
        <v>0</v>
      </c>
      <c r="AU53" s="40">
        <f ca="1">IF(AU$6&lt;$B53,0,IF(AU$6=$B53,'Growth Engine'!AU$10*'Macro &amp; Indexation'!AU$19,AT53*(1+'Macro &amp; Indexation'!AU$16)))</f>
        <v>1229116.5668968693</v>
      </c>
      <c r="AV53" s="40">
        <f ca="1">IF(AV$6&lt;$B53,0,IF(AV$6=$B53,'Growth Engine'!AV$10*'Macro &amp; Indexation'!AV$19,AU53*(1+'Macro &amp; Indexation'!AV$16)))</f>
        <v>1272135.6467382596</v>
      </c>
      <c r="AW53" s="40">
        <f ca="1">IF(AW$6&lt;$B53,0,IF(AW$6=$B53,'Growth Engine'!AW$10*'Macro &amp; Indexation'!AW$19,AV53*(1+'Macro &amp; Indexation'!AW$16)))</f>
        <v>1316660.3943740986</v>
      </c>
      <c r="AX53" s="40">
        <f ca="1">IF(AX$6&lt;$B53,0,IF(AX$6=$B53,'Growth Engine'!AX$10*'Macro &amp; Indexation'!AX$19,AW53*(1+'Macro &amp; Indexation'!AX$16)))</f>
        <v>1362743.508177192</v>
      </c>
      <c r="AY53" s="40">
        <f ca="1">IF(AY$6&lt;$B53,0,IF(AY$6=$B53,'Growth Engine'!AY$10*'Macro &amp; Indexation'!AY$19,AX53*(1+'Macro &amp; Indexation'!AY$16)))</f>
        <v>1410439.5309633936</v>
      </c>
      <c r="AZ53" s="40">
        <f ca="1">IF(AZ$6&lt;$B53,0,IF(AZ$6=$B53,'Growth Engine'!AZ$10*'Macro &amp; Indexation'!AZ$19,AY53*(1+'Macro &amp; Indexation'!AZ$16)))</f>
        <v>1459804.9145471123</v>
      </c>
      <c r="BA53" s="40">
        <f ca="1">IF(BA$6&lt;$B53,0,IF(BA$6=$B53,'Growth Engine'!BA$10*'Macro &amp; Indexation'!BA$19,AZ53*(1+'Macro &amp; Indexation'!BA$16)))</f>
        <v>1510898.0865562612</v>
      </c>
    </row>
    <row r="54" spans="1:53" outlineLevel="1" x14ac:dyDescent="0.3">
      <c r="A54" t="s">
        <v>181</v>
      </c>
      <c r="B54">
        <v>45</v>
      </c>
      <c r="D54" s="40">
        <f>IF(D$6&lt;$B54,0,IF(D$6=$B54,'Growth Engine'!D$10*'Macro &amp; Indexation'!D$19,C54*(1+'Macro &amp; Indexation'!D$16)))</f>
        <v>0</v>
      </c>
      <c r="E54" s="40">
        <f>IF(E$6&lt;$B54,0,IF(E$6=$B54,'Growth Engine'!E$10*'Macro &amp; Indexation'!E$19,D54*(1+'Macro &amp; Indexation'!E$16)))</f>
        <v>0</v>
      </c>
      <c r="F54" s="40">
        <f>IF(F$6&lt;$B54,0,IF(F$6=$B54,'Growth Engine'!F$10*'Macro &amp; Indexation'!F$19,E54*(1+'Macro &amp; Indexation'!F$16)))</f>
        <v>0</v>
      </c>
      <c r="G54" s="40">
        <f>IF(G$6&lt;$B54,0,IF(G$6=$B54,'Growth Engine'!G$10*'Macro &amp; Indexation'!G$19,F54*(1+'Macro &amp; Indexation'!G$16)))</f>
        <v>0</v>
      </c>
      <c r="H54" s="40">
        <f>IF(H$6&lt;$B54,0,IF(H$6=$B54,'Growth Engine'!H$10*'Macro &amp; Indexation'!H$19,G54*(1+'Macro &amp; Indexation'!H$16)))</f>
        <v>0</v>
      </c>
      <c r="I54" s="40">
        <f>IF(I$6&lt;$B54,0,IF(I$6=$B54,'Growth Engine'!I$10*'Macro &amp; Indexation'!I$19,H54*(1+'Macro &amp; Indexation'!I$16)))</f>
        <v>0</v>
      </c>
      <c r="J54" s="40">
        <f>IF(J$6&lt;$B54,0,IF(J$6=$B54,'Growth Engine'!J$10*'Macro &amp; Indexation'!J$19,I54*(1+'Macro &amp; Indexation'!J$16)))</f>
        <v>0</v>
      </c>
      <c r="K54" s="40">
        <f>IF(K$6&lt;$B54,0,IF(K$6=$B54,'Growth Engine'!K$10*'Macro &amp; Indexation'!K$19,J54*(1+'Macro &amp; Indexation'!K$16)))</f>
        <v>0</v>
      </c>
      <c r="L54" s="40">
        <f>IF(L$6&lt;$B54,0,IF(L$6=$B54,'Growth Engine'!L$10*'Macro &amp; Indexation'!L$19,K54*(1+'Macro &amp; Indexation'!L$16)))</f>
        <v>0</v>
      </c>
      <c r="M54" s="40">
        <f>IF(M$6&lt;$B54,0,IF(M$6=$B54,'Growth Engine'!M$10*'Macro &amp; Indexation'!M$19,L54*(1+'Macro &amp; Indexation'!M$16)))</f>
        <v>0</v>
      </c>
      <c r="N54" s="40">
        <f>IF(N$6&lt;$B54,0,IF(N$6=$B54,'Growth Engine'!N$10*'Macro &amp; Indexation'!N$19,M54*(1+'Macro &amp; Indexation'!N$16)))</f>
        <v>0</v>
      </c>
      <c r="O54" s="40">
        <f>IF(O$6&lt;$B54,0,IF(O$6=$B54,'Growth Engine'!O$10*'Macro &amp; Indexation'!O$19,N54*(1+'Macro &amp; Indexation'!O$16)))</f>
        <v>0</v>
      </c>
      <c r="P54" s="40">
        <f>IF(P$6&lt;$B54,0,IF(P$6=$B54,'Growth Engine'!P$10*'Macro &amp; Indexation'!P$19,O54*(1+'Macro &amp; Indexation'!P$16)))</f>
        <v>0</v>
      </c>
      <c r="Q54" s="40">
        <f>IF(Q$6&lt;$B54,0,IF(Q$6=$B54,'Growth Engine'!Q$10*'Macro &amp; Indexation'!Q$19,P54*(1+'Macro &amp; Indexation'!Q$16)))</f>
        <v>0</v>
      </c>
      <c r="R54" s="40">
        <f>IF(R$6&lt;$B54,0,IF(R$6=$B54,'Growth Engine'!R$10*'Macro &amp; Indexation'!R$19,Q54*(1+'Macro &amp; Indexation'!R$16)))</f>
        <v>0</v>
      </c>
      <c r="S54" s="40">
        <f>IF(S$6&lt;$B54,0,IF(S$6=$B54,'Growth Engine'!S$10*'Macro &amp; Indexation'!S$19,R54*(1+'Macro &amp; Indexation'!S$16)))</f>
        <v>0</v>
      </c>
      <c r="T54" s="40">
        <f>IF(T$6&lt;$B54,0,IF(T$6=$B54,'Growth Engine'!T$10*'Macro &amp; Indexation'!T$19,S54*(1+'Macro &amp; Indexation'!T$16)))</f>
        <v>0</v>
      </c>
      <c r="U54" s="40">
        <f>IF(U$6&lt;$B54,0,IF(U$6=$B54,'Growth Engine'!U$10*'Macro &amp; Indexation'!U$19,T54*(1+'Macro &amp; Indexation'!U$16)))</f>
        <v>0</v>
      </c>
      <c r="V54" s="40">
        <f>IF(V$6&lt;$B54,0,IF(V$6=$B54,'Growth Engine'!V$10*'Macro &amp; Indexation'!V$19,U54*(1+'Macro &amp; Indexation'!V$16)))</f>
        <v>0</v>
      </c>
      <c r="W54" s="40">
        <f>IF(W$6&lt;$B54,0,IF(W$6=$B54,'Growth Engine'!W$10*'Macro &amp; Indexation'!W$19,V54*(1+'Macro &amp; Indexation'!W$16)))</f>
        <v>0</v>
      </c>
      <c r="X54" s="40">
        <f>IF(X$6&lt;$B54,0,IF(X$6=$B54,'Growth Engine'!X$10*'Macro &amp; Indexation'!X$19,W54*(1+'Macro &amp; Indexation'!X$16)))</f>
        <v>0</v>
      </c>
      <c r="Y54" s="40">
        <f>IF(Y$6&lt;$B54,0,IF(Y$6=$B54,'Growth Engine'!Y$10*'Macro &amp; Indexation'!Y$19,X54*(1+'Macro &amp; Indexation'!Y$16)))</f>
        <v>0</v>
      </c>
      <c r="Z54" s="40">
        <f>IF(Z$6&lt;$B54,0,IF(Z$6=$B54,'Growth Engine'!Z$10*'Macro &amp; Indexation'!Z$19,Y54*(1+'Macro &amp; Indexation'!Z$16)))</f>
        <v>0</v>
      </c>
      <c r="AA54" s="40">
        <f>IF(AA$6&lt;$B54,0,IF(AA$6=$B54,'Growth Engine'!AA$10*'Macro &amp; Indexation'!AA$19,Z54*(1+'Macro &amp; Indexation'!AA$16)))</f>
        <v>0</v>
      </c>
      <c r="AB54" s="40">
        <f>IF(AB$6&lt;$B54,0,IF(AB$6=$B54,'Growth Engine'!AB$10*'Macro &amp; Indexation'!AB$19,AA54*(1+'Macro &amp; Indexation'!AB$16)))</f>
        <v>0</v>
      </c>
      <c r="AC54" s="40">
        <f>IF(AC$6&lt;$B54,0,IF(AC$6=$B54,'Growth Engine'!AC$10*'Macro &amp; Indexation'!AC$19,AB54*(1+'Macro &amp; Indexation'!AC$16)))</f>
        <v>0</v>
      </c>
      <c r="AD54" s="40">
        <f>IF(AD$6&lt;$B54,0,IF(AD$6=$B54,'Growth Engine'!AD$10*'Macro &amp; Indexation'!AD$19,AC54*(1+'Macro &amp; Indexation'!AD$16)))</f>
        <v>0</v>
      </c>
      <c r="AE54" s="40">
        <f>IF(AE$6&lt;$B54,0,IF(AE$6=$B54,'Growth Engine'!AE$10*'Macro &amp; Indexation'!AE$19,AD54*(1+'Macro &amp; Indexation'!AE$16)))</f>
        <v>0</v>
      </c>
      <c r="AF54" s="40">
        <f>IF(AF$6&lt;$B54,0,IF(AF$6=$B54,'Growth Engine'!AF$10*'Macro &amp; Indexation'!AF$19,AE54*(1+'Macro &amp; Indexation'!AF$16)))</f>
        <v>0</v>
      </c>
      <c r="AG54" s="40">
        <f>IF(AG$6&lt;$B54,0,IF(AG$6=$B54,'Growth Engine'!AG$10*'Macro &amp; Indexation'!AG$19,AF54*(1+'Macro &amp; Indexation'!AG$16)))</f>
        <v>0</v>
      </c>
      <c r="AH54" s="40">
        <f>IF(AH$6&lt;$B54,0,IF(AH$6=$B54,'Growth Engine'!AH$10*'Macro &amp; Indexation'!AH$19,AG54*(1+'Macro &amp; Indexation'!AH$16)))</f>
        <v>0</v>
      </c>
      <c r="AI54" s="40">
        <f>IF(AI$6&lt;$B54,0,IF(AI$6=$B54,'Growth Engine'!AI$10*'Macro &amp; Indexation'!AI$19,AH54*(1+'Macro &amp; Indexation'!AI$16)))</f>
        <v>0</v>
      </c>
      <c r="AJ54" s="40">
        <f>IF(AJ$6&lt;$B54,0,IF(AJ$6=$B54,'Growth Engine'!AJ$10*'Macro &amp; Indexation'!AJ$19,AI54*(1+'Macro &amp; Indexation'!AJ$16)))</f>
        <v>0</v>
      </c>
      <c r="AK54" s="40">
        <f>IF(AK$6&lt;$B54,0,IF(AK$6=$B54,'Growth Engine'!AK$10*'Macro &amp; Indexation'!AK$19,AJ54*(1+'Macro &amp; Indexation'!AK$16)))</f>
        <v>0</v>
      </c>
      <c r="AL54" s="40">
        <f>IF(AL$6&lt;$B54,0,IF(AL$6=$B54,'Growth Engine'!AL$10*'Macro &amp; Indexation'!AL$19,AK54*(1+'Macro &amp; Indexation'!AL$16)))</f>
        <v>0</v>
      </c>
      <c r="AM54" s="40">
        <f>IF(AM$6&lt;$B54,0,IF(AM$6=$B54,'Growth Engine'!AM$10*'Macro &amp; Indexation'!AM$19,AL54*(1+'Macro &amp; Indexation'!AM$16)))</f>
        <v>0</v>
      </c>
      <c r="AN54" s="40">
        <f>IF(AN$6&lt;$B54,0,IF(AN$6=$B54,'Growth Engine'!AN$10*'Macro &amp; Indexation'!AN$19,AM54*(1+'Macro &amp; Indexation'!AN$16)))</f>
        <v>0</v>
      </c>
      <c r="AO54" s="40">
        <f>IF(AO$6&lt;$B54,0,IF(AO$6=$B54,'Growth Engine'!AO$10*'Macro &amp; Indexation'!AO$19,AN54*(1+'Macro &amp; Indexation'!AO$16)))</f>
        <v>0</v>
      </c>
      <c r="AP54" s="40">
        <f>IF(AP$6&lt;$B54,0,IF(AP$6=$B54,'Growth Engine'!AP$10*'Macro &amp; Indexation'!AP$19,AO54*(1+'Macro &amp; Indexation'!AP$16)))</f>
        <v>0</v>
      </c>
      <c r="AQ54" s="40">
        <f>IF(AQ$6&lt;$B54,0,IF(AQ$6=$B54,'Growth Engine'!AQ$10*'Macro &amp; Indexation'!AQ$19,AP54*(1+'Macro &amp; Indexation'!AQ$16)))</f>
        <v>0</v>
      </c>
      <c r="AR54" s="40">
        <f>IF(AR$6&lt;$B54,0,IF(AR$6=$B54,'Growth Engine'!AR$10*'Macro &amp; Indexation'!AR$19,AQ54*(1+'Macro &amp; Indexation'!AR$16)))</f>
        <v>0</v>
      </c>
      <c r="AS54" s="40">
        <f>IF(AS$6&lt;$B54,0,IF(AS$6=$B54,'Growth Engine'!AS$10*'Macro &amp; Indexation'!AS$19,AR54*(1+'Macro &amp; Indexation'!AS$16)))</f>
        <v>0</v>
      </c>
      <c r="AT54" s="40">
        <f>IF(AT$6&lt;$B54,0,IF(AT$6=$B54,'Growth Engine'!AT$10*'Macro &amp; Indexation'!AT$19,AS54*(1+'Macro &amp; Indexation'!AT$16)))</f>
        <v>0</v>
      </c>
      <c r="AU54" s="40">
        <f>IF(AU$6&lt;$B54,0,IF(AU$6=$B54,'Growth Engine'!AU$10*'Macro &amp; Indexation'!AU$19,AT54*(1+'Macro &amp; Indexation'!AU$16)))</f>
        <v>0</v>
      </c>
      <c r="AV54" s="40">
        <f ca="1">IF(AV$6&lt;$B54,0,IF(AV$6=$B54,'Growth Engine'!AV$10*'Macro &amp; Indexation'!AV$19,AU54*(1+'Macro &amp; Indexation'!AV$16)))</f>
        <v>1272135.6467382596</v>
      </c>
      <c r="AW54" s="40">
        <f ca="1">IF(AW$6&lt;$B54,0,IF(AW$6=$B54,'Growth Engine'!AW$10*'Macro &amp; Indexation'!AW$19,AV54*(1+'Macro &amp; Indexation'!AW$16)))</f>
        <v>1316660.3943740986</v>
      </c>
      <c r="AX54" s="40">
        <f ca="1">IF(AX$6&lt;$B54,0,IF(AX$6=$B54,'Growth Engine'!AX$10*'Macro &amp; Indexation'!AX$19,AW54*(1+'Macro &amp; Indexation'!AX$16)))</f>
        <v>1362743.508177192</v>
      </c>
      <c r="AY54" s="40">
        <f ca="1">IF(AY$6&lt;$B54,0,IF(AY$6=$B54,'Growth Engine'!AY$10*'Macro &amp; Indexation'!AY$19,AX54*(1+'Macro &amp; Indexation'!AY$16)))</f>
        <v>1410439.5309633936</v>
      </c>
      <c r="AZ54" s="40">
        <f ca="1">IF(AZ$6&lt;$B54,0,IF(AZ$6=$B54,'Growth Engine'!AZ$10*'Macro &amp; Indexation'!AZ$19,AY54*(1+'Macro &amp; Indexation'!AZ$16)))</f>
        <v>1459804.9145471123</v>
      </c>
      <c r="BA54" s="40">
        <f ca="1">IF(BA$6&lt;$B54,0,IF(BA$6=$B54,'Growth Engine'!BA$10*'Macro &amp; Indexation'!BA$19,AZ54*(1+'Macro &amp; Indexation'!BA$16)))</f>
        <v>1510898.0865562612</v>
      </c>
    </row>
    <row r="55" spans="1:53" outlineLevel="1" x14ac:dyDescent="0.3">
      <c r="A55" t="s">
        <v>182</v>
      </c>
      <c r="B55">
        <v>46</v>
      </c>
      <c r="D55" s="40">
        <f>IF(D$6&lt;$B55,0,IF(D$6=$B55,'Growth Engine'!D$10*'Macro &amp; Indexation'!D$19,C55*(1+'Macro &amp; Indexation'!D$16)))</f>
        <v>0</v>
      </c>
      <c r="E55" s="40">
        <f>IF(E$6&lt;$B55,0,IF(E$6=$B55,'Growth Engine'!E$10*'Macro &amp; Indexation'!E$19,D55*(1+'Macro &amp; Indexation'!E$16)))</f>
        <v>0</v>
      </c>
      <c r="F55" s="40">
        <f>IF(F$6&lt;$B55,0,IF(F$6=$B55,'Growth Engine'!F$10*'Macro &amp; Indexation'!F$19,E55*(1+'Macro &amp; Indexation'!F$16)))</f>
        <v>0</v>
      </c>
      <c r="G55" s="40">
        <f>IF(G$6&lt;$B55,0,IF(G$6=$B55,'Growth Engine'!G$10*'Macro &amp; Indexation'!G$19,F55*(1+'Macro &amp; Indexation'!G$16)))</f>
        <v>0</v>
      </c>
      <c r="H55" s="40">
        <f>IF(H$6&lt;$B55,0,IF(H$6=$B55,'Growth Engine'!H$10*'Macro &amp; Indexation'!H$19,G55*(1+'Macro &amp; Indexation'!H$16)))</f>
        <v>0</v>
      </c>
      <c r="I55" s="40">
        <f>IF(I$6&lt;$B55,0,IF(I$6=$B55,'Growth Engine'!I$10*'Macro &amp; Indexation'!I$19,H55*(1+'Macro &amp; Indexation'!I$16)))</f>
        <v>0</v>
      </c>
      <c r="J55" s="40">
        <f>IF(J$6&lt;$B55,0,IF(J$6=$B55,'Growth Engine'!J$10*'Macro &amp; Indexation'!J$19,I55*(1+'Macro &amp; Indexation'!J$16)))</f>
        <v>0</v>
      </c>
      <c r="K55" s="40">
        <f>IF(K$6&lt;$B55,0,IF(K$6=$B55,'Growth Engine'!K$10*'Macro &amp; Indexation'!K$19,J55*(1+'Macro &amp; Indexation'!K$16)))</f>
        <v>0</v>
      </c>
      <c r="L55" s="40">
        <f>IF(L$6&lt;$B55,0,IF(L$6=$B55,'Growth Engine'!L$10*'Macro &amp; Indexation'!L$19,K55*(1+'Macro &amp; Indexation'!L$16)))</f>
        <v>0</v>
      </c>
      <c r="M55" s="40">
        <f>IF(M$6&lt;$B55,0,IF(M$6=$B55,'Growth Engine'!M$10*'Macro &amp; Indexation'!M$19,L55*(1+'Macro &amp; Indexation'!M$16)))</f>
        <v>0</v>
      </c>
      <c r="N55" s="40">
        <f>IF(N$6&lt;$B55,0,IF(N$6=$B55,'Growth Engine'!N$10*'Macro &amp; Indexation'!N$19,M55*(1+'Macro &amp; Indexation'!N$16)))</f>
        <v>0</v>
      </c>
      <c r="O55" s="40">
        <f>IF(O$6&lt;$B55,0,IF(O$6=$B55,'Growth Engine'!O$10*'Macro &amp; Indexation'!O$19,N55*(1+'Macro &amp; Indexation'!O$16)))</f>
        <v>0</v>
      </c>
      <c r="P55" s="40">
        <f>IF(P$6&lt;$B55,0,IF(P$6=$B55,'Growth Engine'!P$10*'Macro &amp; Indexation'!P$19,O55*(1+'Macro &amp; Indexation'!P$16)))</f>
        <v>0</v>
      </c>
      <c r="Q55" s="40">
        <f>IF(Q$6&lt;$B55,0,IF(Q$6=$B55,'Growth Engine'!Q$10*'Macro &amp; Indexation'!Q$19,P55*(1+'Macro &amp; Indexation'!Q$16)))</f>
        <v>0</v>
      </c>
      <c r="R55" s="40">
        <f>IF(R$6&lt;$B55,0,IF(R$6=$B55,'Growth Engine'!R$10*'Macro &amp; Indexation'!R$19,Q55*(1+'Macro &amp; Indexation'!R$16)))</f>
        <v>0</v>
      </c>
      <c r="S55" s="40">
        <f>IF(S$6&lt;$B55,0,IF(S$6=$B55,'Growth Engine'!S$10*'Macro &amp; Indexation'!S$19,R55*(1+'Macro &amp; Indexation'!S$16)))</f>
        <v>0</v>
      </c>
      <c r="T55" s="40">
        <f>IF(T$6&lt;$B55,0,IF(T$6=$B55,'Growth Engine'!T$10*'Macro &amp; Indexation'!T$19,S55*(1+'Macro &amp; Indexation'!T$16)))</f>
        <v>0</v>
      </c>
      <c r="U55" s="40">
        <f>IF(U$6&lt;$B55,0,IF(U$6=$B55,'Growth Engine'!U$10*'Macro &amp; Indexation'!U$19,T55*(1+'Macro &amp; Indexation'!U$16)))</f>
        <v>0</v>
      </c>
      <c r="V55" s="40">
        <f>IF(V$6&lt;$B55,0,IF(V$6=$B55,'Growth Engine'!V$10*'Macro &amp; Indexation'!V$19,U55*(1+'Macro &amp; Indexation'!V$16)))</f>
        <v>0</v>
      </c>
      <c r="W55" s="40">
        <f>IF(W$6&lt;$B55,0,IF(W$6=$B55,'Growth Engine'!W$10*'Macro &amp; Indexation'!W$19,V55*(1+'Macro &amp; Indexation'!W$16)))</f>
        <v>0</v>
      </c>
      <c r="X55" s="40">
        <f>IF(X$6&lt;$B55,0,IF(X$6=$B55,'Growth Engine'!X$10*'Macro &amp; Indexation'!X$19,W55*(1+'Macro &amp; Indexation'!X$16)))</f>
        <v>0</v>
      </c>
      <c r="Y55" s="40">
        <f>IF(Y$6&lt;$B55,0,IF(Y$6=$B55,'Growth Engine'!Y$10*'Macro &amp; Indexation'!Y$19,X55*(1+'Macro &amp; Indexation'!Y$16)))</f>
        <v>0</v>
      </c>
      <c r="Z55" s="40">
        <f>IF(Z$6&lt;$B55,0,IF(Z$6=$B55,'Growth Engine'!Z$10*'Macro &amp; Indexation'!Z$19,Y55*(1+'Macro &amp; Indexation'!Z$16)))</f>
        <v>0</v>
      </c>
      <c r="AA55" s="40">
        <f>IF(AA$6&lt;$B55,0,IF(AA$6=$B55,'Growth Engine'!AA$10*'Macro &amp; Indexation'!AA$19,Z55*(1+'Macro &amp; Indexation'!AA$16)))</f>
        <v>0</v>
      </c>
      <c r="AB55" s="40">
        <f>IF(AB$6&lt;$B55,0,IF(AB$6=$B55,'Growth Engine'!AB$10*'Macro &amp; Indexation'!AB$19,AA55*(1+'Macro &amp; Indexation'!AB$16)))</f>
        <v>0</v>
      </c>
      <c r="AC55" s="40">
        <f>IF(AC$6&lt;$B55,0,IF(AC$6=$B55,'Growth Engine'!AC$10*'Macro &amp; Indexation'!AC$19,AB55*(1+'Macro &amp; Indexation'!AC$16)))</f>
        <v>0</v>
      </c>
      <c r="AD55" s="40">
        <f>IF(AD$6&lt;$B55,0,IF(AD$6=$B55,'Growth Engine'!AD$10*'Macro &amp; Indexation'!AD$19,AC55*(1+'Macro &amp; Indexation'!AD$16)))</f>
        <v>0</v>
      </c>
      <c r="AE55" s="40">
        <f>IF(AE$6&lt;$B55,0,IF(AE$6=$B55,'Growth Engine'!AE$10*'Macro &amp; Indexation'!AE$19,AD55*(1+'Macro &amp; Indexation'!AE$16)))</f>
        <v>0</v>
      </c>
      <c r="AF55" s="40">
        <f>IF(AF$6&lt;$B55,0,IF(AF$6=$B55,'Growth Engine'!AF$10*'Macro &amp; Indexation'!AF$19,AE55*(1+'Macro &amp; Indexation'!AF$16)))</f>
        <v>0</v>
      </c>
      <c r="AG55" s="40">
        <f>IF(AG$6&lt;$B55,0,IF(AG$6=$B55,'Growth Engine'!AG$10*'Macro &amp; Indexation'!AG$19,AF55*(1+'Macro &amp; Indexation'!AG$16)))</f>
        <v>0</v>
      </c>
      <c r="AH55" s="40">
        <f>IF(AH$6&lt;$B55,0,IF(AH$6=$B55,'Growth Engine'!AH$10*'Macro &amp; Indexation'!AH$19,AG55*(1+'Macro &amp; Indexation'!AH$16)))</f>
        <v>0</v>
      </c>
      <c r="AI55" s="40">
        <f>IF(AI$6&lt;$B55,0,IF(AI$6=$B55,'Growth Engine'!AI$10*'Macro &amp; Indexation'!AI$19,AH55*(1+'Macro &amp; Indexation'!AI$16)))</f>
        <v>0</v>
      </c>
      <c r="AJ55" s="40">
        <f>IF(AJ$6&lt;$B55,0,IF(AJ$6=$B55,'Growth Engine'!AJ$10*'Macro &amp; Indexation'!AJ$19,AI55*(1+'Macro &amp; Indexation'!AJ$16)))</f>
        <v>0</v>
      </c>
      <c r="AK55" s="40">
        <f>IF(AK$6&lt;$B55,0,IF(AK$6=$B55,'Growth Engine'!AK$10*'Macro &amp; Indexation'!AK$19,AJ55*(1+'Macro &amp; Indexation'!AK$16)))</f>
        <v>0</v>
      </c>
      <c r="AL55" s="40">
        <f>IF(AL$6&lt;$B55,0,IF(AL$6=$B55,'Growth Engine'!AL$10*'Macro &amp; Indexation'!AL$19,AK55*(1+'Macro &amp; Indexation'!AL$16)))</f>
        <v>0</v>
      </c>
      <c r="AM55" s="40">
        <f>IF(AM$6&lt;$B55,0,IF(AM$6=$B55,'Growth Engine'!AM$10*'Macro &amp; Indexation'!AM$19,AL55*(1+'Macro &amp; Indexation'!AM$16)))</f>
        <v>0</v>
      </c>
      <c r="AN55" s="40">
        <f>IF(AN$6&lt;$B55,0,IF(AN$6=$B55,'Growth Engine'!AN$10*'Macro &amp; Indexation'!AN$19,AM55*(1+'Macro &amp; Indexation'!AN$16)))</f>
        <v>0</v>
      </c>
      <c r="AO55" s="40">
        <f>IF(AO$6&lt;$B55,0,IF(AO$6=$B55,'Growth Engine'!AO$10*'Macro &amp; Indexation'!AO$19,AN55*(1+'Macro &amp; Indexation'!AO$16)))</f>
        <v>0</v>
      </c>
      <c r="AP55" s="40">
        <f>IF(AP$6&lt;$B55,0,IF(AP$6=$B55,'Growth Engine'!AP$10*'Macro &amp; Indexation'!AP$19,AO55*(1+'Macro &amp; Indexation'!AP$16)))</f>
        <v>0</v>
      </c>
      <c r="AQ55" s="40">
        <f>IF(AQ$6&lt;$B55,0,IF(AQ$6=$B55,'Growth Engine'!AQ$10*'Macro &amp; Indexation'!AQ$19,AP55*(1+'Macro &amp; Indexation'!AQ$16)))</f>
        <v>0</v>
      </c>
      <c r="AR55" s="40">
        <f>IF(AR$6&lt;$B55,0,IF(AR$6=$B55,'Growth Engine'!AR$10*'Macro &amp; Indexation'!AR$19,AQ55*(1+'Macro &amp; Indexation'!AR$16)))</f>
        <v>0</v>
      </c>
      <c r="AS55" s="40">
        <f>IF(AS$6&lt;$B55,0,IF(AS$6=$B55,'Growth Engine'!AS$10*'Macro &amp; Indexation'!AS$19,AR55*(1+'Macro &amp; Indexation'!AS$16)))</f>
        <v>0</v>
      </c>
      <c r="AT55" s="40">
        <f>IF(AT$6&lt;$B55,0,IF(AT$6=$B55,'Growth Engine'!AT$10*'Macro &amp; Indexation'!AT$19,AS55*(1+'Macro &amp; Indexation'!AT$16)))</f>
        <v>0</v>
      </c>
      <c r="AU55" s="40">
        <f>IF(AU$6&lt;$B55,0,IF(AU$6=$B55,'Growth Engine'!AU$10*'Macro &amp; Indexation'!AU$19,AT55*(1+'Macro &amp; Indexation'!AU$16)))</f>
        <v>0</v>
      </c>
      <c r="AV55" s="40">
        <f>IF(AV$6&lt;$B55,0,IF(AV$6=$B55,'Growth Engine'!AV$10*'Macro &amp; Indexation'!AV$19,AU55*(1+'Macro &amp; Indexation'!AV$16)))</f>
        <v>0</v>
      </c>
      <c r="AW55" s="40">
        <f ca="1">IF(AW$6&lt;$B55,0,IF(AW$6=$B55,'Growth Engine'!AW$10*'Macro &amp; Indexation'!AW$19,AV55*(1+'Macro &amp; Indexation'!AW$16)))</f>
        <v>1316660.3943740984</v>
      </c>
      <c r="AX55" s="40">
        <f ca="1">IF(AX$6&lt;$B55,0,IF(AX$6=$B55,'Growth Engine'!AX$10*'Macro &amp; Indexation'!AX$19,AW55*(1+'Macro &amp; Indexation'!AX$16)))</f>
        <v>1362743.5081771917</v>
      </c>
      <c r="AY55" s="40">
        <f ca="1">IF(AY$6&lt;$B55,0,IF(AY$6=$B55,'Growth Engine'!AY$10*'Macro &amp; Indexation'!AY$19,AX55*(1+'Macro &amp; Indexation'!AY$16)))</f>
        <v>1410439.5309633934</v>
      </c>
      <c r="AZ55" s="40">
        <f ca="1">IF(AZ$6&lt;$B55,0,IF(AZ$6=$B55,'Growth Engine'!AZ$10*'Macro &amp; Indexation'!AZ$19,AY55*(1+'Macro &amp; Indexation'!AZ$16)))</f>
        <v>1459804.9145471121</v>
      </c>
      <c r="BA55" s="40">
        <f ca="1">IF(BA$6&lt;$B55,0,IF(BA$6=$B55,'Growth Engine'!BA$10*'Macro &amp; Indexation'!BA$19,AZ55*(1+'Macro &amp; Indexation'!BA$16)))</f>
        <v>1510898.0865562609</v>
      </c>
    </row>
    <row r="56" spans="1:53" outlineLevel="1" x14ac:dyDescent="0.3">
      <c r="A56" t="s">
        <v>183</v>
      </c>
      <c r="B56">
        <v>47</v>
      </c>
      <c r="D56" s="40">
        <f>IF(D$6&lt;$B56,0,IF(D$6=$B56,'Growth Engine'!D$10*'Macro &amp; Indexation'!D$19,C56*(1+'Macro &amp; Indexation'!D$16)))</f>
        <v>0</v>
      </c>
      <c r="E56" s="40">
        <f>IF(E$6&lt;$B56,0,IF(E$6=$B56,'Growth Engine'!E$10*'Macro &amp; Indexation'!E$19,D56*(1+'Macro &amp; Indexation'!E$16)))</f>
        <v>0</v>
      </c>
      <c r="F56" s="40">
        <f>IF(F$6&lt;$B56,0,IF(F$6=$B56,'Growth Engine'!F$10*'Macro &amp; Indexation'!F$19,E56*(1+'Macro &amp; Indexation'!F$16)))</f>
        <v>0</v>
      </c>
      <c r="G56" s="40">
        <f>IF(G$6&lt;$B56,0,IF(G$6=$B56,'Growth Engine'!G$10*'Macro &amp; Indexation'!G$19,F56*(1+'Macro &amp; Indexation'!G$16)))</f>
        <v>0</v>
      </c>
      <c r="H56" s="40">
        <f>IF(H$6&lt;$B56,0,IF(H$6=$B56,'Growth Engine'!H$10*'Macro &amp; Indexation'!H$19,G56*(1+'Macro &amp; Indexation'!H$16)))</f>
        <v>0</v>
      </c>
      <c r="I56" s="40">
        <f>IF(I$6&lt;$B56,0,IF(I$6=$B56,'Growth Engine'!I$10*'Macro &amp; Indexation'!I$19,H56*(1+'Macro &amp; Indexation'!I$16)))</f>
        <v>0</v>
      </c>
      <c r="J56" s="40">
        <f>IF(J$6&lt;$B56,0,IF(J$6=$B56,'Growth Engine'!J$10*'Macro &amp; Indexation'!J$19,I56*(1+'Macro &amp; Indexation'!J$16)))</f>
        <v>0</v>
      </c>
      <c r="K56" s="40">
        <f>IF(K$6&lt;$B56,0,IF(K$6=$B56,'Growth Engine'!K$10*'Macro &amp; Indexation'!K$19,J56*(1+'Macro &amp; Indexation'!K$16)))</f>
        <v>0</v>
      </c>
      <c r="L56" s="40">
        <f>IF(L$6&lt;$B56,0,IF(L$6=$B56,'Growth Engine'!L$10*'Macro &amp; Indexation'!L$19,K56*(1+'Macro &amp; Indexation'!L$16)))</f>
        <v>0</v>
      </c>
      <c r="M56" s="40">
        <f>IF(M$6&lt;$B56,0,IF(M$6=$B56,'Growth Engine'!M$10*'Macro &amp; Indexation'!M$19,L56*(1+'Macro &amp; Indexation'!M$16)))</f>
        <v>0</v>
      </c>
      <c r="N56" s="40">
        <f>IF(N$6&lt;$B56,0,IF(N$6=$B56,'Growth Engine'!N$10*'Macro &amp; Indexation'!N$19,M56*(1+'Macro &amp; Indexation'!N$16)))</f>
        <v>0</v>
      </c>
      <c r="O56" s="40">
        <f>IF(O$6&lt;$B56,0,IF(O$6=$B56,'Growth Engine'!O$10*'Macro &amp; Indexation'!O$19,N56*(1+'Macro &amp; Indexation'!O$16)))</f>
        <v>0</v>
      </c>
      <c r="P56" s="40">
        <f>IF(P$6&lt;$B56,0,IF(P$6=$B56,'Growth Engine'!P$10*'Macro &amp; Indexation'!P$19,O56*(1+'Macro &amp; Indexation'!P$16)))</f>
        <v>0</v>
      </c>
      <c r="Q56" s="40">
        <f>IF(Q$6&lt;$B56,0,IF(Q$6=$B56,'Growth Engine'!Q$10*'Macro &amp; Indexation'!Q$19,P56*(1+'Macro &amp; Indexation'!Q$16)))</f>
        <v>0</v>
      </c>
      <c r="R56" s="40">
        <f>IF(R$6&lt;$B56,0,IF(R$6=$B56,'Growth Engine'!R$10*'Macro &amp; Indexation'!R$19,Q56*(1+'Macro &amp; Indexation'!R$16)))</f>
        <v>0</v>
      </c>
      <c r="S56" s="40">
        <f>IF(S$6&lt;$B56,0,IF(S$6=$B56,'Growth Engine'!S$10*'Macro &amp; Indexation'!S$19,R56*(1+'Macro &amp; Indexation'!S$16)))</f>
        <v>0</v>
      </c>
      <c r="T56" s="40">
        <f>IF(T$6&lt;$B56,0,IF(T$6=$B56,'Growth Engine'!T$10*'Macro &amp; Indexation'!T$19,S56*(1+'Macro &amp; Indexation'!T$16)))</f>
        <v>0</v>
      </c>
      <c r="U56" s="40">
        <f>IF(U$6&lt;$B56,0,IF(U$6=$B56,'Growth Engine'!U$10*'Macro &amp; Indexation'!U$19,T56*(1+'Macro &amp; Indexation'!U$16)))</f>
        <v>0</v>
      </c>
      <c r="V56" s="40">
        <f>IF(V$6&lt;$B56,0,IF(V$6=$B56,'Growth Engine'!V$10*'Macro &amp; Indexation'!V$19,U56*(1+'Macro &amp; Indexation'!V$16)))</f>
        <v>0</v>
      </c>
      <c r="W56" s="40">
        <f>IF(W$6&lt;$B56,0,IF(W$6=$B56,'Growth Engine'!W$10*'Macro &amp; Indexation'!W$19,V56*(1+'Macro &amp; Indexation'!W$16)))</f>
        <v>0</v>
      </c>
      <c r="X56" s="40">
        <f>IF(X$6&lt;$B56,0,IF(X$6=$B56,'Growth Engine'!X$10*'Macro &amp; Indexation'!X$19,W56*(1+'Macro &amp; Indexation'!X$16)))</f>
        <v>0</v>
      </c>
      <c r="Y56" s="40">
        <f>IF(Y$6&lt;$B56,0,IF(Y$6=$B56,'Growth Engine'!Y$10*'Macro &amp; Indexation'!Y$19,X56*(1+'Macro &amp; Indexation'!Y$16)))</f>
        <v>0</v>
      </c>
      <c r="Z56" s="40">
        <f>IF(Z$6&lt;$B56,0,IF(Z$6=$B56,'Growth Engine'!Z$10*'Macro &amp; Indexation'!Z$19,Y56*(1+'Macro &amp; Indexation'!Z$16)))</f>
        <v>0</v>
      </c>
      <c r="AA56" s="40">
        <f>IF(AA$6&lt;$B56,0,IF(AA$6=$B56,'Growth Engine'!AA$10*'Macro &amp; Indexation'!AA$19,Z56*(1+'Macro &amp; Indexation'!AA$16)))</f>
        <v>0</v>
      </c>
      <c r="AB56" s="40">
        <f>IF(AB$6&lt;$B56,0,IF(AB$6=$B56,'Growth Engine'!AB$10*'Macro &amp; Indexation'!AB$19,AA56*(1+'Macro &amp; Indexation'!AB$16)))</f>
        <v>0</v>
      </c>
      <c r="AC56" s="40">
        <f>IF(AC$6&lt;$B56,0,IF(AC$6=$B56,'Growth Engine'!AC$10*'Macro &amp; Indexation'!AC$19,AB56*(1+'Macro &amp; Indexation'!AC$16)))</f>
        <v>0</v>
      </c>
      <c r="AD56" s="40">
        <f>IF(AD$6&lt;$B56,0,IF(AD$6=$B56,'Growth Engine'!AD$10*'Macro &amp; Indexation'!AD$19,AC56*(1+'Macro &amp; Indexation'!AD$16)))</f>
        <v>0</v>
      </c>
      <c r="AE56" s="40">
        <f>IF(AE$6&lt;$B56,0,IF(AE$6=$B56,'Growth Engine'!AE$10*'Macro &amp; Indexation'!AE$19,AD56*(1+'Macro &amp; Indexation'!AE$16)))</f>
        <v>0</v>
      </c>
      <c r="AF56" s="40">
        <f>IF(AF$6&lt;$B56,0,IF(AF$6=$B56,'Growth Engine'!AF$10*'Macro &amp; Indexation'!AF$19,AE56*(1+'Macro &amp; Indexation'!AF$16)))</f>
        <v>0</v>
      </c>
      <c r="AG56" s="40">
        <f>IF(AG$6&lt;$B56,0,IF(AG$6=$B56,'Growth Engine'!AG$10*'Macro &amp; Indexation'!AG$19,AF56*(1+'Macro &amp; Indexation'!AG$16)))</f>
        <v>0</v>
      </c>
      <c r="AH56" s="40">
        <f>IF(AH$6&lt;$B56,0,IF(AH$6=$B56,'Growth Engine'!AH$10*'Macro &amp; Indexation'!AH$19,AG56*(1+'Macro &amp; Indexation'!AH$16)))</f>
        <v>0</v>
      </c>
      <c r="AI56" s="40">
        <f>IF(AI$6&lt;$B56,0,IF(AI$6=$B56,'Growth Engine'!AI$10*'Macro &amp; Indexation'!AI$19,AH56*(1+'Macro &amp; Indexation'!AI$16)))</f>
        <v>0</v>
      </c>
      <c r="AJ56" s="40">
        <f>IF(AJ$6&lt;$B56,0,IF(AJ$6=$B56,'Growth Engine'!AJ$10*'Macro &amp; Indexation'!AJ$19,AI56*(1+'Macro &amp; Indexation'!AJ$16)))</f>
        <v>0</v>
      </c>
      <c r="AK56" s="40">
        <f>IF(AK$6&lt;$B56,0,IF(AK$6=$B56,'Growth Engine'!AK$10*'Macro &amp; Indexation'!AK$19,AJ56*(1+'Macro &amp; Indexation'!AK$16)))</f>
        <v>0</v>
      </c>
      <c r="AL56" s="40">
        <f>IF(AL$6&lt;$B56,0,IF(AL$6=$B56,'Growth Engine'!AL$10*'Macro &amp; Indexation'!AL$19,AK56*(1+'Macro &amp; Indexation'!AL$16)))</f>
        <v>0</v>
      </c>
      <c r="AM56" s="40">
        <f>IF(AM$6&lt;$B56,0,IF(AM$6=$B56,'Growth Engine'!AM$10*'Macro &amp; Indexation'!AM$19,AL56*(1+'Macro &amp; Indexation'!AM$16)))</f>
        <v>0</v>
      </c>
      <c r="AN56" s="40">
        <f>IF(AN$6&lt;$B56,0,IF(AN$6=$B56,'Growth Engine'!AN$10*'Macro &amp; Indexation'!AN$19,AM56*(1+'Macro &amp; Indexation'!AN$16)))</f>
        <v>0</v>
      </c>
      <c r="AO56" s="40">
        <f>IF(AO$6&lt;$B56,0,IF(AO$6=$B56,'Growth Engine'!AO$10*'Macro &amp; Indexation'!AO$19,AN56*(1+'Macro &amp; Indexation'!AO$16)))</f>
        <v>0</v>
      </c>
      <c r="AP56" s="40">
        <f>IF(AP$6&lt;$B56,0,IF(AP$6=$B56,'Growth Engine'!AP$10*'Macro &amp; Indexation'!AP$19,AO56*(1+'Macro &amp; Indexation'!AP$16)))</f>
        <v>0</v>
      </c>
      <c r="AQ56" s="40">
        <f>IF(AQ$6&lt;$B56,0,IF(AQ$6=$B56,'Growth Engine'!AQ$10*'Macro &amp; Indexation'!AQ$19,AP56*(1+'Macro &amp; Indexation'!AQ$16)))</f>
        <v>0</v>
      </c>
      <c r="AR56" s="40">
        <f>IF(AR$6&lt;$B56,0,IF(AR$6=$B56,'Growth Engine'!AR$10*'Macro &amp; Indexation'!AR$19,AQ56*(1+'Macro &amp; Indexation'!AR$16)))</f>
        <v>0</v>
      </c>
      <c r="AS56" s="40">
        <f>IF(AS$6&lt;$B56,0,IF(AS$6=$B56,'Growth Engine'!AS$10*'Macro &amp; Indexation'!AS$19,AR56*(1+'Macro &amp; Indexation'!AS$16)))</f>
        <v>0</v>
      </c>
      <c r="AT56" s="40">
        <f>IF(AT$6&lt;$B56,0,IF(AT$6=$B56,'Growth Engine'!AT$10*'Macro &amp; Indexation'!AT$19,AS56*(1+'Macro &amp; Indexation'!AT$16)))</f>
        <v>0</v>
      </c>
      <c r="AU56" s="40">
        <f>IF(AU$6&lt;$B56,0,IF(AU$6=$B56,'Growth Engine'!AU$10*'Macro &amp; Indexation'!AU$19,AT56*(1+'Macro &amp; Indexation'!AU$16)))</f>
        <v>0</v>
      </c>
      <c r="AV56" s="40">
        <f>IF(AV$6&lt;$B56,0,IF(AV$6=$B56,'Growth Engine'!AV$10*'Macro &amp; Indexation'!AV$19,AU56*(1+'Macro &amp; Indexation'!AV$16)))</f>
        <v>0</v>
      </c>
      <c r="AW56" s="40">
        <f>IF(AW$6&lt;$B56,0,IF(AW$6=$B56,'Growth Engine'!AW$10*'Macro &amp; Indexation'!AW$19,AV56*(1+'Macro &amp; Indexation'!AW$16)))</f>
        <v>0</v>
      </c>
      <c r="AX56" s="40">
        <f ca="1">IF(AX$6&lt;$B56,0,IF(AX$6=$B56,'Growth Engine'!AX$10*'Macro &amp; Indexation'!AX$19,AW56*(1+'Macro &amp; Indexation'!AX$16)))</f>
        <v>2725487.0163543839</v>
      </c>
      <c r="AY56" s="40">
        <f ca="1">IF(AY$6&lt;$B56,0,IF(AY$6=$B56,'Growth Engine'!AY$10*'Macro &amp; Indexation'!AY$19,AX56*(1+'Macro &amp; Indexation'!AY$16)))</f>
        <v>2820879.0619267873</v>
      </c>
      <c r="AZ56" s="40">
        <f ca="1">IF(AZ$6&lt;$B56,0,IF(AZ$6=$B56,'Growth Engine'!AZ$10*'Macro &amp; Indexation'!AZ$19,AY56*(1+'Macro &amp; Indexation'!AZ$16)))</f>
        <v>2919609.8290942246</v>
      </c>
      <c r="BA56" s="40">
        <f ca="1">IF(BA$6&lt;$B56,0,IF(BA$6=$B56,'Growth Engine'!BA$10*'Macro &amp; Indexation'!BA$19,AZ56*(1+'Macro &amp; Indexation'!BA$16)))</f>
        <v>3021796.1731125223</v>
      </c>
    </row>
    <row r="57" spans="1:53" outlineLevel="1" x14ac:dyDescent="0.3">
      <c r="A57" t="s">
        <v>184</v>
      </c>
      <c r="B57">
        <v>48</v>
      </c>
      <c r="D57" s="40">
        <f>IF(D$6&lt;$B57,0,IF(D$6=$B57,'Growth Engine'!D$10*'Macro &amp; Indexation'!D$19,C57*(1+'Macro &amp; Indexation'!D$16)))</f>
        <v>0</v>
      </c>
      <c r="E57" s="40">
        <f>IF(E$6&lt;$B57,0,IF(E$6=$B57,'Growth Engine'!E$10*'Macro &amp; Indexation'!E$19,D57*(1+'Macro &amp; Indexation'!E$16)))</f>
        <v>0</v>
      </c>
      <c r="F57" s="40">
        <f>IF(F$6&lt;$B57,0,IF(F$6=$B57,'Growth Engine'!F$10*'Macro &amp; Indexation'!F$19,E57*(1+'Macro &amp; Indexation'!F$16)))</f>
        <v>0</v>
      </c>
      <c r="G57" s="40">
        <f>IF(G$6&lt;$B57,0,IF(G$6=$B57,'Growth Engine'!G$10*'Macro &amp; Indexation'!G$19,F57*(1+'Macro &amp; Indexation'!G$16)))</f>
        <v>0</v>
      </c>
      <c r="H57" s="40">
        <f>IF(H$6&lt;$B57,0,IF(H$6=$B57,'Growth Engine'!H$10*'Macro &amp; Indexation'!H$19,G57*(1+'Macro &amp; Indexation'!H$16)))</f>
        <v>0</v>
      </c>
      <c r="I57" s="40">
        <f>IF(I$6&lt;$B57,0,IF(I$6=$B57,'Growth Engine'!I$10*'Macro &amp; Indexation'!I$19,H57*(1+'Macro &amp; Indexation'!I$16)))</f>
        <v>0</v>
      </c>
      <c r="J57" s="40">
        <f>IF(J$6&lt;$B57,0,IF(J$6=$B57,'Growth Engine'!J$10*'Macro &amp; Indexation'!J$19,I57*(1+'Macro &amp; Indexation'!J$16)))</f>
        <v>0</v>
      </c>
      <c r="K57" s="40">
        <f>IF(K$6&lt;$B57,0,IF(K$6=$B57,'Growth Engine'!K$10*'Macro &amp; Indexation'!K$19,J57*(1+'Macro &amp; Indexation'!K$16)))</f>
        <v>0</v>
      </c>
      <c r="L57" s="40">
        <f>IF(L$6&lt;$B57,0,IF(L$6=$B57,'Growth Engine'!L$10*'Macro &amp; Indexation'!L$19,K57*(1+'Macro &amp; Indexation'!L$16)))</f>
        <v>0</v>
      </c>
      <c r="M57" s="40">
        <f>IF(M$6&lt;$B57,0,IF(M$6=$B57,'Growth Engine'!M$10*'Macro &amp; Indexation'!M$19,L57*(1+'Macro &amp; Indexation'!M$16)))</f>
        <v>0</v>
      </c>
      <c r="N57" s="40">
        <f>IF(N$6&lt;$B57,0,IF(N$6=$B57,'Growth Engine'!N$10*'Macro &amp; Indexation'!N$19,M57*(1+'Macro &amp; Indexation'!N$16)))</f>
        <v>0</v>
      </c>
      <c r="O57" s="40">
        <f>IF(O$6&lt;$B57,0,IF(O$6=$B57,'Growth Engine'!O$10*'Macro &amp; Indexation'!O$19,N57*(1+'Macro &amp; Indexation'!O$16)))</f>
        <v>0</v>
      </c>
      <c r="P57" s="40">
        <f>IF(P$6&lt;$B57,0,IF(P$6=$B57,'Growth Engine'!P$10*'Macro &amp; Indexation'!P$19,O57*(1+'Macro &amp; Indexation'!P$16)))</f>
        <v>0</v>
      </c>
      <c r="Q57" s="40">
        <f>IF(Q$6&lt;$B57,0,IF(Q$6=$B57,'Growth Engine'!Q$10*'Macro &amp; Indexation'!Q$19,P57*(1+'Macro &amp; Indexation'!Q$16)))</f>
        <v>0</v>
      </c>
      <c r="R57" s="40">
        <f>IF(R$6&lt;$B57,0,IF(R$6=$B57,'Growth Engine'!R$10*'Macro &amp; Indexation'!R$19,Q57*(1+'Macro &amp; Indexation'!R$16)))</f>
        <v>0</v>
      </c>
      <c r="S57" s="40">
        <f>IF(S$6&lt;$B57,0,IF(S$6=$B57,'Growth Engine'!S$10*'Macro &amp; Indexation'!S$19,R57*(1+'Macro &amp; Indexation'!S$16)))</f>
        <v>0</v>
      </c>
      <c r="T57" s="40">
        <f>IF(T$6&lt;$B57,0,IF(T$6=$B57,'Growth Engine'!T$10*'Macro &amp; Indexation'!T$19,S57*(1+'Macro &amp; Indexation'!T$16)))</f>
        <v>0</v>
      </c>
      <c r="U57" s="40">
        <f>IF(U$6&lt;$B57,0,IF(U$6=$B57,'Growth Engine'!U$10*'Macro &amp; Indexation'!U$19,T57*(1+'Macro &amp; Indexation'!U$16)))</f>
        <v>0</v>
      </c>
      <c r="V57" s="40">
        <f>IF(V$6&lt;$B57,0,IF(V$6=$B57,'Growth Engine'!V$10*'Macro &amp; Indexation'!V$19,U57*(1+'Macro &amp; Indexation'!V$16)))</f>
        <v>0</v>
      </c>
      <c r="W57" s="40">
        <f>IF(W$6&lt;$B57,0,IF(W$6=$B57,'Growth Engine'!W$10*'Macro &amp; Indexation'!W$19,V57*(1+'Macro &amp; Indexation'!W$16)))</f>
        <v>0</v>
      </c>
      <c r="X57" s="40">
        <f>IF(X$6&lt;$B57,0,IF(X$6=$B57,'Growth Engine'!X$10*'Macro &amp; Indexation'!X$19,W57*(1+'Macro &amp; Indexation'!X$16)))</f>
        <v>0</v>
      </c>
      <c r="Y57" s="40">
        <f>IF(Y$6&lt;$B57,0,IF(Y$6=$B57,'Growth Engine'!Y$10*'Macro &amp; Indexation'!Y$19,X57*(1+'Macro &amp; Indexation'!Y$16)))</f>
        <v>0</v>
      </c>
      <c r="Z57" s="40">
        <f>IF(Z$6&lt;$B57,0,IF(Z$6=$B57,'Growth Engine'!Z$10*'Macro &amp; Indexation'!Z$19,Y57*(1+'Macro &amp; Indexation'!Z$16)))</f>
        <v>0</v>
      </c>
      <c r="AA57" s="40">
        <f>IF(AA$6&lt;$B57,0,IF(AA$6=$B57,'Growth Engine'!AA$10*'Macro &amp; Indexation'!AA$19,Z57*(1+'Macro &amp; Indexation'!AA$16)))</f>
        <v>0</v>
      </c>
      <c r="AB57" s="40">
        <f>IF(AB$6&lt;$B57,0,IF(AB$6=$B57,'Growth Engine'!AB$10*'Macro &amp; Indexation'!AB$19,AA57*(1+'Macro &amp; Indexation'!AB$16)))</f>
        <v>0</v>
      </c>
      <c r="AC57" s="40">
        <f>IF(AC$6&lt;$B57,0,IF(AC$6=$B57,'Growth Engine'!AC$10*'Macro &amp; Indexation'!AC$19,AB57*(1+'Macro &amp; Indexation'!AC$16)))</f>
        <v>0</v>
      </c>
      <c r="AD57" s="40">
        <f>IF(AD$6&lt;$B57,0,IF(AD$6=$B57,'Growth Engine'!AD$10*'Macro &amp; Indexation'!AD$19,AC57*(1+'Macro &amp; Indexation'!AD$16)))</f>
        <v>0</v>
      </c>
      <c r="AE57" s="40">
        <f>IF(AE$6&lt;$B57,0,IF(AE$6=$B57,'Growth Engine'!AE$10*'Macro &amp; Indexation'!AE$19,AD57*(1+'Macro &amp; Indexation'!AE$16)))</f>
        <v>0</v>
      </c>
      <c r="AF57" s="40">
        <f>IF(AF$6&lt;$B57,0,IF(AF$6=$B57,'Growth Engine'!AF$10*'Macro &amp; Indexation'!AF$19,AE57*(1+'Macro &amp; Indexation'!AF$16)))</f>
        <v>0</v>
      </c>
      <c r="AG57" s="40">
        <f>IF(AG$6&lt;$B57,0,IF(AG$6=$B57,'Growth Engine'!AG$10*'Macro &amp; Indexation'!AG$19,AF57*(1+'Macro &amp; Indexation'!AG$16)))</f>
        <v>0</v>
      </c>
      <c r="AH57" s="40">
        <f>IF(AH$6&lt;$B57,0,IF(AH$6=$B57,'Growth Engine'!AH$10*'Macro &amp; Indexation'!AH$19,AG57*(1+'Macro &amp; Indexation'!AH$16)))</f>
        <v>0</v>
      </c>
      <c r="AI57" s="40">
        <f>IF(AI$6&lt;$B57,0,IF(AI$6=$B57,'Growth Engine'!AI$10*'Macro &amp; Indexation'!AI$19,AH57*(1+'Macro &amp; Indexation'!AI$16)))</f>
        <v>0</v>
      </c>
      <c r="AJ57" s="40">
        <f>IF(AJ$6&lt;$B57,0,IF(AJ$6=$B57,'Growth Engine'!AJ$10*'Macro &amp; Indexation'!AJ$19,AI57*(1+'Macro &amp; Indexation'!AJ$16)))</f>
        <v>0</v>
      </c>
      <c r="AK57" s="40">
        <f>IF(AK$6&lt;$B57,0,IF(AK$6=$B57,'Growth Engine'!AK$10*'Macro &amp; Indexation'!AK$19,AJ57*(1+'Macro &amp; Indexation'!AK$16)))</f>
        <v>0</v>
      </c>
      <c r="AL57" s="40">
        <f>IF(AL$6&lt;$B57,0,IF(AL$6=$B57,'Growth Engine'!AL$10*'Macro &amp; Indexation'!AL$19,AK57*(1+'Macro &amp; Indexation'!AL$16)))</f>
        <v>0</v>
      </c>
      <c r="AM57" s="40">
        <f>IF(AM$6&lt;$B57,0,IF(AM$6=$B57,'Growth Engine'!AM$10*'Macro &amp; Indexation'!AM$19,AL57*(1+'Macro &amp; Indexation'!AM$16)))</f>
        <v>0</v>
      </c>
      <c r="AN57" s="40">
        <f>IF(AN$6&lt;$B57,0,IF(AN$6=$B57,'Growth Engine'!AN$10*'Macro &amp; Indexation'!AN$19,AM57*(1+'Macro &amp; Indexation'!AN$16)))</f>
        <v>0</v>
      </c>
      <c r="AO57" s="40">
        <f>IF(AO$6&lt;$B57,0,IF(AO$6=$B57,'Growth Engine'!AO$10*'Macro &amp; Indexation'!AO$19,AN57*(1+'Macro &amp; Indexation'!AO$16)))</f>
        <v>0</v>
      </c>
      <c r="AP57" s="40">
        <f>IF(AP$6&lt;$B57,0,IF(AP$6=$B57,'Growth Engine'!AP$10*'Macro &amp; Indexation'!AP$19,AO57*(1+'Macro &amp; Indexation'!AP$16)))</f>
        <v>0</v>
      </c>
      <c r="AQ57" s="40">
        <f>IF(AQ$6&lt;$B57,0,IF(AQ$6=$B57,'Growth Engine'!AQ$10*'Macro &amp; Indexation'!AQ$19,AP57*(1+'Macro &amp; Indexation'!AQ$16)))</f>
        <v>0</v>
      </c>
      <c r="AR57" s="40">
        <f>IF(AR$6&lt;$B57,0,IF(AR$6=$B57,'Growth Engine'!AR$10*'Macro &amp; Indexation'!AR$19,AQ57*(1+'Macro &amp; Indexation'!AR$16)))</f>
        <v>0</v>
      </c>
      <c r="AS57" s="40">
        <f>IF(AS$6&lt;$B57,0,IF(AS$6=$B57,'Growth Engine'!AS$10*'Macro &amp; Indexation'!AS$19,AR57*(1+'Macro &amp; Indexation'!AS$16)))</f>
        <v>0</v>
      </c>
      <c r="AT57" s="40">
        <f>IF(AT$6&lt;$B57,0,IF(AT$6=$B57,'Growth Engine'!AT$10*'Macro &amp; Indexation'!AT$19,AS57*(1+'Macro &amp; Indexation'!AT$16)))</f>
        <v>0</v>
      </c>
      <c r="AU57" s="40">
        <f>IF(AU$6&lt;$B57,0,IF(AU$6=$B57,'Growth Engine'!AU$10*'Macro &amp; Indexation'!AU$19,AT57*(1+'Macro &amp; Indexation'!AU$16)))</f>
        <v>0</v>
      </c>
      <c r="AV57" s="40">
        <f>IF(AV$6&lt;$B57,0,IF(AV$6=$B57,'Growth Engine'!AV$10*'Macro &amp; Indexation'!AV$19,AU57*(1+'Macro &amp; Indexation'!AV$16)))</f>
        <v>0</v>
      </c>
      <c r="AW57" s="40">
        <f>IF(AW$6&lt;$B57,0,IF(AW$6=$B57,'Growth Engine'!AW$10*'Macro &amp; Indexation'!AW$19,AV57*(1+'Macro &amp; Indexation'!AW$16)))</f>
        <v>0</v>
      </c>
      <c r="AX57" s="40">
        <f>IF(AX$6&lt;$B57,0,IF(AX$6=$B57,'Growth Engine'!AX$10*'Macro &amp; Indexation'!AX$19,AW57*(1+'Macro &amp; Indexation'!AX$16)))</f>
        <v>0</v>
      </c>
      <c r="AY57" s="40">
        <f ca="1">IF(AY$6&lt;$B57,0,IF(AY$6=$B57,'Growth Engine'!AY$10*'Macro &amp; Indexation'!AY$19,AX57*(1+'Macro &amp; Indexation'!AY$16)))</f>
        <v>1410439.5309633934</v>
      </c>
      <c r="AZ57" s="40">
        <f ca="1">IF(AZ$6&lt;$B57,0,IF(AZ$6=$B57,'Growth Engine'!AZ$10*'Macro &amp; Indexation'!AZ$19,AY57*(1+'Macro &amp; Indexation'!AZ$16)))</f>
        <v>1459804.9145471121</v>
      </c>
      <c r="BA57" s="40">
        <f ca="1">IF(BA$6&lt;$B57,0,IF(BA$6=$B57,'Growth Engine'!BA$10*'Macro &amp; Indexation'!BA$19,AZ57*(1+'Macro &amp; Indexation'!BA$16)))</f>
        <v>1510898.0865562609</v>
      </c>
    </row>
    <row r="58" spans="1:53" outlineLevel="1" x14ac:dyDescent="0.3">
      <c r="A58" t="s">
        <v>185</v>
      </c>
      <c r="B58">
        <v>49</v>
      </c>
      <c r="D58" s="40">
        <f>IF(D$6&lt;$B58,0,IF(D$6=$B58,'Growth Engine'!D$10*'Macro &amp; Indexation'!D$19,C58*(1+'Macro &amp; Indexation'!D$16)))</f>
        <v>0</v>
      </c>
      <c r="E58" s="40">
        <f>IF(E$6&lt;$B58,0,IF(E$6=$B58,'Growth Engine'!E$10*'Macro &amp; Indexation'!E$19,D58*(1+'Macro &amp; Indexation'!E$16)))</f>
        <v>0</v>
      </c>
      <c r="F58" s="40">
        <f>IF(F$6&lt;$B58,0,IF(F$6=$B58,'Growth Engine'!F$10*'Macro &amp; Indexation'!F$19,E58*(1+'Macro &amp; Indexation'!F$16)))</f>
        <v>0</v>
      </c>
      <c r="G58" s="40">
        <f>IF(G$6&lt;$B58,0,IF(G$6=$B58,'Growth Engine'!G$10*'Macro &amp; Indexation'!G$19,F58*(1+'Macro &amp; Indexation'!G$16)))</f>
        <v>0</v>
      </c>
      <c r="H58" s="40">
        <f>IF(H$6&lt;$B58,0,IF(H$6=$B58,'Growth Engine'!H$10*'Macro &amp; Indexation'!H$19,G58*(1+'Macro &amp; Indexation'!H$16)))</f>
        <v>0</v>
      </c>
      <c r="I58" s="40">
        <f>IF(I$6&lt;$B58,0,IF(I$6=$B58,'Growth Engine'!I$10*'Macro &amp; Indexation'!I$19,H58*(1+'Macro &amp; Indexation'!I$16)))</f>
        <v>0</v>
      </c>
      <c r="J58" s="40">
        <f>IF(J$6&lt;$B58,0,IF(J$6=$B58,'Growth Engine'!J$10*'Macro &amp; Indexation'!J$19,I58*(1+'Macro &amp; Indexation'!J$16)))</f>
        <v>0</v>
      </c>
      <c r="K58" s="40">
        <f>IF(K$6&lt;$B58,0,IF(K$6=$B58,'Growth Engine'!K$10*'Macro &amp; Indexation'!K$19,J58*(1+'Macro &amp; Indexation'!K$16)))</f>
        <v>0</v>
      </c>
      <c r="L58" s="40">
        <f>IF(L$6&lt;$B58,0,IF(L$6=$B58,'Growth Engine'!L$10*'Macro &amp; Indexation'!L$19,K58*(1+'Macro &amp; Indexation'!L$16)))</f>
        <v>0</v>
      </c>
      <c r="M58" s="40">
        <f>IF(M$6&lt;$B58,0,IF(M$6=$B58,'Growth Engine'!M$10*'Macro &amp; Indexation'!M$19,L58*(1+'Macro &amp; Indexation'!M$16)))</f>
        <v>0</v>
      </c>
      <c r="N58" s="40">
        <f>IF(N$6&lt;$B58,0,IF(N$6=$B58,'Growth Engine'!N$10*'Macro &amp; Indexation'!N$19,M58*(1+'Macro &amp; Indexation'!N$16)))</f>
        <v>0</v>
      </c>
      <c r="O58" s="40">
        <f>IF(O$6&lt;$B58,0,IF(O$6=$B58,'Growth Engine'!O$10*'Macro &amp; Indexation'!O$19,N58*(1+'Macro &amp; Indexation'!O$16)))</f>
        <v>0</v>
      </c>
      <c r="P58" s="40">
        <f>IF(P$6&lt;$B58,0,IF(P$6=$B58,'Growth Engine'!P$10*'Macro &amp; Indexation'!P$19,O58*(1+'Macro &amp; Indexation'!P$16)))</f>
        <v>0</v>
      </c>
      <c r="Q58" s="40">
        <f>IF(Q$6&lt;$B58,0,IF(Q$6=$B58,'Growth Engine'!Q$10*'Macro &amp; Indexation'!Q$19,P58*(1+'Macro &amp; Indexation'!Q$16)))</f>
        <v>0</v>
      </c>
      <c r="R58" s="40">
        <f>IF(R$6&lt;$B58,0,IF(R$6=$B58,'Growth Engine'!R$10*'Macro &amp; Indexation'!R$19,Q58*(1+'Macro &amp; Indexation'!R$16)))</f>
        <v>0</v>
      </c>
      <c r="S58" s="40">
        <f>IF(S$6&lt;$B58,0,IF(S$6=$B58,'Growth Engine'!S$10*'Macro &amp; Indexation'!S$19,R58*(1+'Macro &amp; Indexation'!S$16)))</f>
        <v>0</v>
      </c>
      <c r="T58" s="40">
        <f>IF(T$6&lt;$B58,0,IF(T$6=$B58,'Growth Engine'!T$10*'Macro &amp; Indexation'!T$19,S58*(1+'Macro &amp; Indexation'!T$16)))</f>
        <v>0</v>
      </c>
      <c r="U58" s="40">
        <f>IF(U$6&lt;$B58,0,IF(U$6=$B58,'Growth Engine'!U$10*'Macro &amp; Indexation'!U$19,T58*(1+'Macro &amp; Indexation'!U$16)))</f>
        <v>0</v>
      </c>
      <c r="V58" s="40">
        <f>IF(V$6&lt;$B58,0,IF(V$6=$B58,'Growth Engine'!V$10*'Macro &amp; Indexation'!V$19,U58*(1+'Macro &amp; Indexation'!V$16)))</f>
        <v>0</v>
      </c>
      <c r="W58" s="40">
        <f>IF(W$6&lt;$B58,0,IF(W$6=$B58,'Growth Engine'!W$10*'Macro &amp; Indexation'!W$19,V58*(1+'Macro &amp; Indexation'!W$16)))</f>
        <v>0</v>
      </c>
      <c r="X58" s="40">
        <f>IF(X$6&lt;$B58,0,IF(X$6=$B58,'Growth Engine'!X$10*'Macro &amp; Indexation'!X$19,W58*(1+'Macro &amp; Indexation'!X$16)))</f>
        <v>0</v>
      </c>
      <c r="Y58" s="40">
        <f>IF(Y$6&lt;$B58,0,IF(Y$6=$B58,'Growth Engine'!Y$10*'Macro &amp; Indexation'!Y$19,X58*(1+'Macro &amp; Indexation'!Y$16)))</f>
        <v>0</v>
      </c>
      <c r="Z58" s="40">
        <f>IF(Z$6&lt;$B58,0,IF(Z$6=$B58,'Growth Engine'!Z$10*'Macro &amp; Indexation'!Z$19,Y58*(1+'Macro &amp; Indexation'!Z$16)))</f>
        <v>0</v>
      </c>
      <c r="AA58" s="40">
        <f>IF(AA$6&lt;$B58,0,IF(AA$6=$B58,'Growth Engine'!AA$10*'Macro &amp; Indexation'!AA$19,Z58*(1+'Macro &amp; Indexation'!AA$16)))</f>
        <v>0</v>
      </c>
      <c r="AB58" s="40">
        <f>IF(AB$6&lt;$B58,0,IF(AB$6=$B58,'Growth Engine'!AB$10*'Macro &amp; Indexation'!AB$19,AA58*(1+'Macro &amp; Indexation'!AB$16)))</f>
        <v>0</v>
      </c>
      <c r="AC58" s="40">
        <f>IF(AC$6&lt;$B58,0,IF(AC$6=$B58,'Growth Engine'!AC$10*'Macro &amp; Indexation'!AC$19,AB58*(1+'Macro &amp; Indexation'!AC$16)))</f>
        <v>0</v>
      </c>
      <c r="AD58" s="40">
        <f>IF(AD$6&lt;$B58,0,IF(AD$6=$B58,'Growth Engine'!AD$10*'Macro &amp; Indexation'!AD$19,AC58*(1+'Macro &amp; Indexation'!AD$16)))</f>
        <v>0</v>
      </c>
      <c r="AE58" s="40">
        <f>IF(AE$6&lt;$B58,0,IF(AE$6=$B58,'Growth Engine'!AE$10*'Macro &amp; Indexation'!AE$19,AD58*(1+'Macro &amp; Indexation'!AE$16)))</f>
        <v>0</v>
      </c>
      <c r="AF58" s="40">
        <f>IF(AF$6&lt;$B58,0,IF(AF$6=$B58,'Growth Engine'!AF$10*'Macro &amp; Indexation'!AF$19,AE58*(1+'Macro &amp; Indexation'!AF$16)))</f>
        <v>0</v>
      </c>
      <c r="AG58" s="40">
        <f>IF(AG$6&lt;$B58,0,IF(AG$6=$B58,'Growth Engine'!AG$10*'Macro &amp; Indexation'!AG$19,AF58*(1+'Macro &amp; Indexation'!AG$16)))</f>
        <v>0</v>
      </c>
      <c r="AH58" s="40">
        <f>IF(AH$6&lt;$B58,0,IF(AH$6=$B58,'Growth Engine'!AH$10*'Macro &amp; Indexation'!AH$19,AG58*(1+'Macro &amp; Indexation'!AH$16)))</f>
        <v>0</v>
      </c>
      <c r="AI58" s="40">
        <f>IF(AI$6&lt;$B58,0,IF(AI$6=$B58,'Growth Engine'!AI$10*'Macro &amp; Indexation'!AI$19,AH58*(1+'Macro &amp; Indexation'!AI$16)))</f>
        <v>0</v>
      </c>
      <c r="AJ58" s="40">
        <f>IF(AJ$6&lt;$B58,0,IF(AJ$6=$B58,'Growth Engine'!AJ$10*'Macro &amp; Indexation'!AJ$19,AI58*(1+'Macro &amp; Indexation'!AJ$16)))</f>
        <v>0</v>
      </c>
      <c r="AK58" s="40">
        <f>IF(AK$6&lt;$B58,0,IF(AK$6=$B58,'Growth Engine'!AK$10*'Macro &amp; Indexation'!AK$19,AJ58*(1+'Macro &amp; Indexation'!AK$16)))</f>
        <v>0</v>
      </c>
      <c r="AL58" s="40">
        <f>IF(AL$6&lt;$B58,0,IF(AL$6=$B58,'Growth Engine'!AL$10*'Macro &amp; Indexation'!AL$19,AK58*(1+'Macro &amp; Indexation'!AL$16)))</f>
        <v>0</v>
      </c>
      <c r="AM58" s="40">
        <f>IF(AM$6&lt;$B58,0,IF(AM$6=$B58,'Growth Engine'!AM$10*'Macro &amp; Indexation'!AM$19,AL58*(1+'Macro &amp; Indexation'!AM$16)))</f>
        <v>0</v>
      </c>
      <c r="AN58" s="40">
        <f>IF(AN$6&lt;$B58,0,IF(AN$6=$B58,'Growth Engine'!AN$10*'Macro &amp; Indexation'!AN$19,AM58*(1+'Macro &amp; Indexation'!AN$16)))</f>
        <v>0</v>
      </c>
      <c r="AO58" s="40">
        <f>IF(AO$6&lt;$B58,0,IF(AO$6=$B58,'Growth Engine'!AO$10*'Macro &amp; Indexation'!AO$19,AN58*(1+'Macro &amp; Indexation'!AO$16)))</f>
        <v>0</v>
      </c>
      <c r="AP58" s="40">
        <f>IF(AP$6&lt;$B58,0,IF(AP$6=$B58,'Growth Engine'!AP$10*'Macro &amp; Indexation'!AP$19,AO58*(1+'Macro &amp; Indexation'!AP$16)))</f>
        <v>0</v>
      </c>
      <c r="AQ58" s="40">
        <f>IF(AQ$6&lt;$B58,0,IF(AQ$6=$B58,'Growth Engine'!AQ$10*'Macro &amp; Indexation'!AQ$19,AP58*(1+'Macro &amp; Indexation'!AQ$16)))</f>
        <v>0</v>
      </c>
      <c r="AR58" s="40">
        <f>IF(AR$6&lt;$B58,0,IF(AR$6=$B58,'Growth Engine'!AR$10*'Macro &amp; Indexation'!AR$19,AQ58*(1+'Macro &amp; Indexation'!AR$16)))</f>
        <v>0</v>
      </c>
      <c r="AS58" s="40">
        <f>IF(AS$6&lt;$B58,0,IF(AS$6=$B58,'Growth Engine'!AS$10*'Macro &amp; Indexation'!AS$19,AR58*(1+'Macro &amp; Indexation'!AS$16)))</f>
        <v>0</v>
      </c>
      <c r="AT58" s="40">
        <f>IF(AT$6&lt;$B58,0,IF(AT$6=$B58,'Growth Engine'!AT$10*'Macro &amp; Indexation'!AT$19,AS58*(1+'Macro &amp; Indexation'!AT$16)))</f>
        <v>0</v>
      </c>
      <c r="AU58" s="40">
        <f>IF(AU$6&lt;$B58,0,IF(AU$6=$B58,'Growth Engine'!AU$10*'Macro &amp; Indexation'!AU$19,AT58*(1+'Macro &amp; Indexation'!AU$16)))</f>
        <v>0</v>
      </c>
      <c r="AV58" s="40">
        <f>IF(AV$6&lt;$B58,0,IF(AV$6=$B58,'Growth Engine'!AV$10*'Macro &amp; Indexation'!AV$19,AU58*(1+'Macro &amp; Indexation'!AV$16)))</f>
        <v>0</v>
      </c>
      <c r="AW58" s="40">
        <f>IF(AW$6&lt;$B58,0,IF(AW$6=$B58,'Growth Engine'!AW$10*'Macro &amp; Indexation'!AW$19,AV58*(1+'Macro &amp; Indexation'!AW$16)))</f>
        <v>0</v>
      </c>
      <c r="AX58" s="40">
        <f>IF(AX$6&lt;$B58,0,IF(AX$6=$B58,'Growth Engine'!AX$10*'Macro &amp; Indexation'!AX$19,AW58*(1+'Macro &amp; Indexation'!AX$16)))</f>
        <v>0</v>
      </c>
      <c r="AY58" s="40">
        <f>IF(AY$6&lt;$B58,0,IF(AY$6=$B58,'Growth Engine'!AY$10*'Macro &amp; Indexation'!AY$19,AX58*(1+'Macro &amp; Indexation'!AY$16)))</f>
        <v>0</v>
      </c>
      <c r="AZ58" s="40">
        <f ca="1">IF(AZ$6&lt;$B58,0,IF(AZ$6=$B58,'Growth Engine'!AZ$10*'Macro &amp; Indexation'!AZ$19,AY58*(1+'Macro &amp; Indexation'!AZ$16)))</f>
        <v>1459804.9145471121</v>
      </c>
      <c r="BA58" s="40">
        <f ca="1">IF(BA$6&lt;$B58,0,IF(BA$6=$B58,'Growth Engine'!BA$10*'Macro &amp; Indexation'!BA$19,AZ58*(1+'Macro &amp; Indexation'!BA$16)))</f>
        <v>1510898.0865562609</v>
      </c>
    </row>
    <row r="59" spans="1:53" outlineLevel="1" x14ac:dyDescent="0.3">
      <c r="A59" t="s">
        <v>186</v>
      </c>
      <c r="B59">
        <v>50</v>
      </c>
      <c r="D59" s="40">
        <f>IF(D$6&lt;$B59,0,IF(D$6=$B59,'Growth Engine'!D$10*'Macro &amp; Indexation'!D$19,C59*(1+'Macro &amp; Indexation'!D$16)))</f>
        <v>0</v>
      </c>
      <c r="E59" s="40">
        <f>IF(E$6&lt;$B59,0,IF(E$6=$B59,'Growth Engine'!E$10*'Macro &amp; Indexation'!E$19,D59*(1+'Macro &amp; Indexation'!E$16)))</f>
        <v>0</v>
      </c>
      <c r="F59" s="40">
        <f>IF(F$6&lt;$B59,0,IF(F$6=$B59,'Growth Engine'!F$10*'Macro &amp; Indexation'!F$19,E59*(1+'Macro &amp; Indexation'!F$16)))</f>
        <v>0</v>
      </c>
      <c r="G59" s="40">
        <f>IF(G$6&lt;$B59,0,IF(G$6=$B59,'Growth Engine'!G$10*'Macro &amp; Indexation'!G$19,F59*(1+'Macro &amp; Indexation'!G$16)))</f>
        <v>0</v>
      </c>
      <c r="H59" s="40">
        <f>IF(H$6&lt;$B59,0,IF(H$6=$B59,'Growth Engine'!H$10*'Macro &amp; Indexation'!H$19,G59*(1+'Macro &amp; Indexation'!H$16)))</f>
        <v>0</v>
      </c>
      <c r="I59" s="40">
        <f>IF(I$6&lt;$B59,0,IF(I$6=$B59,'Growth Engine'!I$10*'Macro &amp; Indexation'!I$19,H59*(1+'Macro &amp; Indexation'!I$16)))</f>
        <v>0</v>
      </c>
      <c r="J59" s="40">
        <f>IF(J$6&lt;$B59,0,IF(J$6=$B59,'Growth Engine'!J$10*'Macro &amp; Indexation'!J$19,I59*(1+'Macro &amp; Indexation'!J$16)))</f>
        <v>0</v>
      </c>
      <c r="K59" s="40">
        <f>IF(K$6&lt;$B59,0,IF(K$6=$B59,'Growth Engine'!K$10*'Macro &amp; Indexation'!K$19,J59*(1+'Macro &amp; Indexation'!K$16)))</f>
        <v>0</v>
      </c>
      <c r="L59" s="40">
        <f>IF(L$6&lt;$B59,0,IF(L$6=$B59,'Growth Engine'!L$10*'Macro &amp; Indexation'!L$19,K59*(1+'Macro &amp; Indexation'!L$16)))</f>
        <v>0</v>
      </c>
      <c r="M59" s="40">
        <f>IF(M$6&lt;$B59,0,IF(M$6=$B59,'Growth Engine'!M$10*'Macro &amp; Indexation'!M$19,L59*(1+'Macro &amp; Indexation'!M$16)))</f>
        <v>0</v>
      </c>
      <c r="N59" s="40">
        <f>IF(N$6&lt;$B59,0,IF(N$6=$B59,'Growth Engine'!N$10*'Macro &amp; Indexation'!N$19,M59*(1+'Macro &amp; Indexation'!N$16)))</f>
        <v>0</v>
      </c>
      <c r="O59" s="40">
        <f>IF(O$6&lt;$B59,0,IF(O$6=$B59,'Growth Engine'!O$10*'Macro &amp; Indexation'!O$19,N59*(1+'Macro &amp; Indexation'!O$16)))</f>
        <v>0</v>
      </c>
      <c r="P59" s="40">
        <f>IF(P$6&lt;$B59,0,IF(P$6=$B59,'Growth Engine'!P$10*'Macro &amp; Indexation'!P$19,O59*(1+'Macro &amp; Indexation'!P$16)))</f>
        <v>0</v>
      </c>
      <c r="Q59" s="40">
        <f>IF(Q$6&lt;$B59,0,IF(Q$6=$B59,'Growth Engine'!Q$10*'Macro &amp; Indexation'!Q$19,P59*(1+'Macro &amp; Indexation'!Q$16)))</f>
        <v>0</v>
      </c>
      <c r="R59" s="40">
        <f>IF(R$6&lt;$B59,0,IF(R$6=$B59,'Growth Engine'!R$10*'Macro &amp; Indexation'!R$19,Q59*(1+'Macro &amp; Indexation'!R$16)))</f>
        <v>0</v>
      </c>
      <c r="S59" s="40">
        <f>IF(S$6&lt;$B59,0,IF(S$6=$B59,'Growth Engine'!S$10*'Macro &amp; Indexation'!S$19,R59*(1+'Macro &amp; Indexation'!S$16)))</f>
        <v>0</v>
      </c>
      <c r="T59" s="40">
        <f>IF(T$6&lt;$B59,0,IF(T$6=$B59,'Growth Engine'!T$10*'Macro &amp; Indexation'!T$19,S59*(1+'Macro &amp; Indexation'!T$16)))</f>
        <v>0</v>
      </c>
      <c r="U59" s="40">
        <f>IF(U$6&lt;$B59,0,IF(U$6=$B59,'Growth Engine'!U$10*'Macro &amp; Indexation'!U$19,T59*(1+'Macro &amp; Indexation'!U$16)))</f>
        <v>0</v>
      </c>
      <c r="V59" s="40">
        <f>IF(V$6&lt;$B59,0,IF(V$6=$B59,'Growth Engine'!V$10*'Macro &amp; Indexation'!V$19,U59*(1+'Macro &amp; Indexation'!V$16)))</f>
        <v>0</v>
      </c>
      <c r="W59" s="40">
        <f>IF(W$6&lt;$B59,0,IF(W$6=$B59,'Growth Engine'!W$10*'Macro &amp; Indexation'!W$19,V59*(1+'Macro &amp; Indexation'!W$16)))</f>
        <v>0</v>
      </c>
      <c r="X59" s="40">
        <f>IF(X$6&lt;$B59,0,IF(X$6=$B59,'Growth Engine'!X$10*'Macro &amp; Indexation'!X$19,W59*(1+'Macro &amp; Indexation'!X$16)))</f>
        <v>0</v>
      </c>
      <c r="Y59" s="40">
        <f>IF(Y$6&lt;$B59,0,IF(Y$6=$B59,'Growth Engine'!Y$10*'Macro &amp; Indexation'!Y$19,X59*(1+'Macro &amp; Indexation'!Y$16)))</f>
        <v>0</v>
      </c>
      <c r="Z59" s="40">
        <f>IF(Z$6&lt;$B59,0,IF(Z$6=$B59,'Growth Engine'!Z$10*'Macro &amp; Indexation'!Z$19,Y59*(1+'Macro &amp; Indexation'!Z$16)))</f>
        <v>0</v>
      </c>
      <c r="AA59" s="40">
        <f>IF(AA$6&lt;$B59,0,IF(AA$6=$B59,'Growth Engine'!AA$10*'Macro &amp; Indexation'!AA$19,Z59*(1+'Macro &amp; Indexation'!AA$16)))</f>
        <v>0</v>
      </c>
      <c r="AB59" s="40">
        <f>IF(AB$6&lt;$B59,0,IF(AB$6=$B59,'Growth Engine'!AB$10*'Macro &amp; Indexation'!AB$19,AA59*(1+'Macro &amp; Indexation'!AB$16)))</f>
        <v>0</v>
      </c>
      <c r="AC59" s="40">
        <f>IF(AC$6&lt;$B59,0,IF(AC$6=$B59,'Growth Engine'!AC$10*'Macro &amp; Indexation'!AC$19,AB59*(1+'Macro &amp; Indexation'!AC$16)))</f>
        <v>0</v>
      </c>
      <c r="AD59" s="40">
        <f>IF(AD$6&lt;$B59,0,IF(AD$6=$B59,'Growth Engine'!AD$10*'Macro &amp; Indexation'!AD$19,AC59*(1+'Macro &amp; Indexation'!AD$16)))</f>
        <v>0</v>
      </c>
      <c r="AE59" s="40">
        <f>IF(AE$6&lt;$B59,0,IF(AE$6=$B59,'Growth Engine'!AE$10*'Macro &amp; Indexation'!AE$19,AD59*(1+'Macro &amp; Indexation'!AE$16)))</f>
        <v>0</v>
      </c>
      <c r="AF59" s="40">
        <f>IF(AF$6&lt;$B59,0,IF(AF$6=$B59,'Growth Engine'!AF$10*'Macro &amp; Indexation'!AF$19,AE59*(1+'Macro &amp; Indexation'!AF$16)))</f>
        <v>0</v>
      </c>
      <c r="AG59" s="40">
        <f>IF(AG$6&lt;$B59,0,IF(AG$6=$B59,'Growth Engine'!AG$10*'Macro &amp; Indexation'!AG$19,AF59*(1+'Macro &amp; Indexation'!AG$16)))</f>
        <v>0</v>
      </c>
      <c r="AH59" s="40">
        <f>IF(AH$6&lt;$B59,0,IF(AH$6=$B59,'Growth Engine'!AH$10*'Macro &amp; Indexation'!AH$19,AG59*(1+'Macro &amp; Indexation'!AH$16)))</f>
        <v>0</v>
      </c>
      <c r="AI59" s="40">
        <f>IF(AI$6&lt;$B59,0,IF(AI$6=$B59,'Growth Engine'!AI$10*'Macro &amp; Indexation'!AI$19,AH59*(1+'Macro &amp; Indexation'!AI$16)))</f>
        <v>0</v>
      </c>
      <c r="AJ59" s="40">
        <f>IF(AJ$6&lt;$B59,0,IF(AJ$6=$B59,'Growth Engine'!AJ$10*'Macro &amp; Indexation'!AJ$19,AI59*(1+'Macro &amp; Indexation'!AJ$16)))</f>
        <v>0</v>
      </c>
      <c r="AK59" s="40">
        <f>IF(AK$6&lt;$B59,0,IF(AK$6=$B59,'Growth Engine'!AK$10*'Macro &amp; Indexation'!AK$19,AJ59*(1+'Macro &amp; Indexation'!AK$16)))</f>
        <v>0</v>
      </c>
      <c r="AL59" s="40">
        <f>IF(AL$6&lt;$B59,0,IF(AL$6=$B59,'Growth Engine'!AL$10*'Macro &amp; Indexation'!AL$19,AK59*(1+'Macro &amp; Indexation'!AL$16)))</f>
        <v>0</v>
      </c>
      <c r="AM59" s="40">
        <f>IF(AM$6&lt;$B59,0,IF(AM$6=$B59,'Growth Engine'!AM$10*'Macro &amp; Indexation'!AM$19,AL59*(1+'Macro &amp; Indexation'!AM$16)))</f>
        <v>0</v>
      </c>
      <c r="AN59" s="40">
        <f>IF(AN$6&lt;$B59,0,IF(AN$6=$B59,'Growth Engine'!AN$10*'Macro &amp; Indexation'!AN$19,AM59*(1+'Macro &amp; Indexation'!AN$16)))</f>
        <v>0</v>
      </c>
      <c r="AO59" s="40">
        <f>IF(AO$6&lt;$B59,0,IF(AO$6=$B59,'Growth Engine'!AO$10*'Macro &amp; Indexation'!AO$19,AN59*(1+'Macro &amp; Indexation'!AO$16)))</f>
        <v>0</v>
      </c>
      <c r="AP59" s="40">
        <f>IF(AP$6&lt;$B59,0,IF(AP$6=$B59,'Growth Engine'!AP$10*'Macro &amp; Indexation'!AP$19,AO59*(1+'Macro &amp; Indexation'!AP$16)))</f>
        <v>0</v>
      </c>
      <c r="AQ59" s="40">
        <f>IF(AQ$6&lt;$B59,0,IF(AQ$6=$B59,'Growth Engine'!AQ$10*'Macro &amp; Indexation'!AQ$19,AP59*(1+'Macro &amp; Indexation'!AQ$16)))</f>
        <v>0</v>
      </c>
      <c r="AR59" s="40">
        <f>IF(AR$6&lt;$B59,0,IF(AR$6=$B59,'Growth Engine'!AR$10*'Macro &amp; Indexation'!AR$19,AQ59*(1+'Macro &amp; Indexation'!AR$16)))</f>
        <v>0</v>
      </c>
      <c r="AS59" s="40">
        <f>IF(AS$6&lt;$B59,0,IF(AS$6=$B59,'Growth Engine'!AS$10*'Macro &amp; Indexation'!AS$19,AR59*(1+'Macro &amp; Indexation'!AS$16)))</f>
        <v>0</v>
      </c>
      <c r="AT59" s="40">
        <f>IF(AT$6&lt;$B59,0,IF(AT$6=$B59,'Growth Engine'!AT$10*'Macro &amp; Indexation'!AT$19,AS59*(1+'Macro &amp; Indexation'!AT$16)))</f>
        <v>0</v>
      </c>
      <c r="AU59" s="40">
        <f>IF(AU$6&lt;$B59,0,IF(AU$6=$B59,'Growth Engine'!AU$10*'Macro &amp; Indexation'!AU$19,AT59*(1+'Macro &amp; Indexation'!AU$16)))</f>
        <v>0</v>
      </c>
      <c r="AV59" s="40">
        <f>IF(AV$6&lt;$B59,0,IF(AV$6=$B59,'Growth Engine'!AV$10*'Macro &amp; Indexation'!AV$19,AU59*(1+'Macro &amp; Indexation'!AV$16)))</f>
        <v>0</v>
      </c>
      <c r="AW59" s="40">
        <f>IF(AW$6&lt;$B59,0,IF(AW$6=$B59,'Growth Engine'!AW$10*'Macro &amp; Indexation'!AW$19,AV59*(1+'Macro &amp; Indexation'!AW$16)))</f>
        <v>0</v>
      </c>
      <c r="AX59" s="40">
        <f>IF(AX$6&lt;$B59,0,IF(AX$6=$B59,'Growth Engine'!AX$10*'Macro &amp; Indexation'!AX$19,AW59*(1+'Macro &amp; Indexation'!AX$16)))</f>
        <v>0</v>
      </c>
      <c r="AY59" s="40">
        <f>IF(AY$6&lt;$B59,0,IF(AY$6=$B59,'Growth Engine'!AY$10*'Macro &amp; Indexation'!AY$19,AX59*(1+'Macro &amp; Indexation'!AY$16)))</f>
        <v>0</v>
      </c>
      <c r="AZ59" s="40">
        <f>IF(AZ$6&lt;$B59,0,IF(AZ$6=$B59,'Growth Engine'!AZ$10*'Macro &amp; Indexation'!AZ$19,AY59*(1+'Macro &amp; Indexation'!AZ$16)))</f>
        <v>0</v>
      </c>
      <c r="BA59" s="40">
        <f ca="1">IF(BA$6&lt;$B59,0,IF(BA$6=$B59,'Growth Engine'!BA$10*'Macro &amp; Indexation'!BA$19,AZ59*(1+'Macro &amp; Indexation'!BA$16)))</f>
        <v>1510898.0865562607</v>
      </c>
    </row>
    <row r="61" spans="1:53" x14ac:dyDescent="0.3">
      <c r="A61" s="3" t="s">
        <v>118</v>
      </c>
      <c r="B61" s="3" t="s">
        <v>48</v>
      </c>
      <c r="C61" s="3"/>
      <c r="D61" s="41">
        <f t="shared" ref="D61:AI61" ca="1" si="0">SUM(D10:D59)</f>
        <v>280000</v>
      </c>
      <c r="E61" s="41">
        <f t="shared" ca="1" si="0"/>
        <v>869400</v>
      </c>
      <c r="F61" s="41">
        <f t="shared" ca="1" si="0"/>
        <v>1799657.9999999998</v>
      </c>
      <c r="G61" s="41">
        <f t="shared" ca="1" si="0"/>
        <v>2793969.0449999999</v>
      </c>
      <c r="H61" s="41">
        <f t="shared" ca="1" si="0"/>
        <v>3855677.2820999995</v>
      </c>
      <c r="I61" s="41">
        <f t="shared" ca="1" si="0"/>
        <v>4988282.4837168735</v>
      </c>
      <c r="J61" s="41">
        <f t="shared" ca="1" si="0"/>
        <v>6195446.8447763566</v>
      </c>
      <c r="K61" s="41">
        <f t="shared" ca="1" si="0"/>
        <v>7481002.0650674496</v>
      </c>
      <c r="L61" s="41">
        <f t="shared" ca="1" si="0"/>
        <v>8848956.7283940688</v>
      </c>
      <c r="M61" s="41">
        <f t="shared" ca="1" si="0"/>
        <v>10303503.990623841</v>
      </c>
      <c r="N61" s="41">
        <f t="shared" ca="1" si="0"/>
        <v>11059094.28326959</v>
      </c>
      <c r="O61" s="41">
        <f t="shared" ca="1" si="0"/>
        <v>11446162.583184026</v>
      </c>
      <c r="P61" s="41">
        <f t="shared" ca="1" si="0"/>
        <v>11846778.273595465</v>
      </c>
      <c r="Q61" s="41">
        <f t="shared" ca="1" si="0"/>
        <v>12261415.513171304</v>
      </c>
      <c r="R61" s="41">
        <f t="shared" ca="1" si="0"/>
        <v>12690565.056132298</v>
      </c>
      <c r="S61" s="41">
        <f t="shared" ca="1" si="0"/>
        <v>13134734.833096929</v>
      </c>
      <c r="T61" s="41">
        <f t="shared" ca="1" si="0"/>
        <v>13594450.552255319</v>
      </c>
      <c r="U61" s="41">
        <f t="shared" ca="1" si="0"/>
        <v>14070256.321584258</v>
      </c>
      <c r="V61" s="41">
        <f t="shared" ca="1" si="0"/>
        <v>14562715.292839706</v>
      </c>
      <c r="W61" s="41">
        <f t="shared" ca="1" si="0"/>
        <v>15072410.328089094</v>
      </c>
      <c r="X61" s="41">
        <f t="shared" ca="1" si="0"/>
        <v>15599944.689572208</v>
      </c>
      <c r="Y61" s="41">
        <f t="shared" ca="1" si="0"/>
        <v>16145942.753707234</v>
      </c>
      <c r="Z61" s="41">
        <f t="shared" ca="1" si="0"/>
        <v>17307873.991161525</v>
      </c>
      <c r="AA61" s="41">
        <f t="shared" ca="1" si="0"/>
        <v>17913649.580852173</v>
      </c>
      <c r="AB61" s="41">
        <f t="shared" ca="1" si="0"/>
        <v>18540627.316181999</v>
      </c>
      <c r="AC61" s="41">
        <f t="shared" ca="1" si="0"/>
        <v>19189549.272248365</v>
      </c>
      <c r="AD61" s="41">
        <f t="shared" ca="1" si="0"/>
        <v>20546051.893217642</v>
      </c>
      <c r="AE61" s="41">
        <f t="shared" ca="1" si="0"/>
        <v>21265163.709480256</v>
      </c>
      <c r="AF61" s="41">
        <f t="shared" ca="1" si="0"/>
        <v>22009444.439312071</v>
      </c>
      <c r="AG61" s="41">
        <f t="shared" ca="1" si="0"/>
        <v>23539100.827844255</v>
      </c>
      <c r="AH61" s="41">
        <f t="shared" ca="1" si="0"/>
        <v>24362969.356818803</v>
      </c>
      <c r="AI61" s="41">
        <f t="shared" ca="1" si="0"/>
        <v>26029082.099930286</v>
      </c>
      <c r="AJ61" s="41">
        <f t="shared" ref="AJ61:BA61" ca="1" si="1">SUM(AJ10:AJ59)</f>
        <v>27781978.097597472</v>
      </c>
      <c r="AK61" s="41">
        <f t="shared" ca="1" si="1"/>
        <v>28754347.331013374</v>
      </c>
      <c r="AL61" s="41">
        <f t="shared" ca="1" si="1"/>
        <v>30662590.381162442</v>
      </c>
      <c r="AM61" s="41">
        <f t="shared" ca="1" si="1"/>
        <v>32669186.369341429</v>
      </c>
      <c r="AN61" s="41">
        <f t="shared" ca="1" si="1"/>
        <v>33812607.892268404</v>
      </c>
      <c r="AO61" s="41">
        <f t="shared" ca="1" si="1"/>
        <v>35995936.287597723</v>
      </c>
      <c r="AP61" s="41">
        <f t="shared" ca="1" si="1"/>
        <v>38290677.225932077</v>
      </c>
      <c r="AQ61" s="41">
        <f t="shared" ca="1" si="1"/>
        <v>40701955.007997513</v>
      </c>
      <c r="AR61" s="41">
        <f t="shared" ca="1" si="1"/>
        <v>43235116.155205756</v>
      </c>
      <c r="AS61" s="41">
        <f t="shared" ca="1" si="1"/>
        <v>45895738.687833838</v>
      </c>
      <c r="AT61" s="41">
        <f t="shared" ca="1" si="1"/>
        <v>48689641.780455679</v>
      </c>
      <c r="AU61" s="41">
        <f t="shared" ca="1" si="1"/>
        <v>51622895.809668534</v>
      </c>
      <c r="AV61" s="41">
        <f t="shared" ca="1" si="1"/>
        <v>54701832.809745185</v>
      </c>
      <c r="AW61" s="41">
        <f t="shared" ca="1" si="1"/>
        <v>57933057.352460392</v>
      </c>
      <c r="AX61" s="41">
        <f t="shared" ca="1" si="1"/>
        <v>62686201.376150817</v>
      </c>
      <c r="AY61" s="41">
        <f t="shared" ca="1" si="1"/>
        <v>66290657.955279455</v>
      </c>
      <c r="AZ61" s="41">
        <f t="shared" ca="1" si="1"/>
        <v>70070635.898261458</v>
      </c>
      <c r="BA61" s="41">
        <f t="shared" ca="1" si="1"/>
        <v>74034006.241256818</v>
      </c>
    </row>
    <row r="62" spans="1:53" x14ac:dyDescent="0.3">
      <c r="A62" t="s">
        <v>119</v>
      </c>
      <c r="B62" t="s">
        <v>48</v>
      </c>
      <c r="D62" s="40">
        <f ca="1">'Growth Engine'!D10*'Macro &amp; Indexation'!D19</f>
        <v>280000</v>
      </c>
      <c r="E62" s="40">
        <f ca="1">'Growth Engine'!E10*'Macro &amp; Indexation'!E19</f>
        <v>579600</v>
      </c>
      <c r="F62" s="40">
        <f ca="1">'Growth Engine'!F10*'Macro &amp; Indexation'!F19</f>
        <v>899828.99999999977</v>
      </c>
      <c r="G62" s="40">
        <f ca="1">'Growth Engine'!G10*'Macro &amp; Indexation'!G19</f>
        <v>931323.0149999999</v>
      </c>
      <c r="H62" s="40">
        <f ca="1">'Growth Engine'!H10*'Macro &amp; Indexation'!H19</f>
        <v>963919.32052499987</v>
      </c>
      <c r="I62" s="40">
        <f ca="1">'Growth Engine'!I10*'Macro &amp; Indexation'!I19</f>
        <v>997656.4967433745</v>
      </c>
      <c r="J62" s="40">
        <f ca="1">'Growth Engine'!J10*'Macro &amp; Indexation'!J19</f>
        <v>1032574.4741293925</v>
      </c>
      <c r="K62" s="40">
        <f ca="1">'Growth Engine'!K10*'Macro &amp; Indexation'!K19</f>
        <v>1068714.5807239213</v>
      </c>
      <c r="L62" s="40">
        <f ca="1">'Growth Engine'!L10*'Macro &amp; Indexation'!L19</f>
        <v>1106119.5910492584</v>
      </c>
      <c r="M62" s="40">
        <f ca="1">'Growth Engine'!M10*'Macro &amp; Indexation'!M19</f>
        <v>1144833.7767359824</v>
      </c>
      <c r="N62" s="40">
        <f ca="1">'Growth Engine'!N10*'Macro &amp; Indexation'!N19</f>
        <v>394967.65297391388</v>
      </c>
      <c r="O62" s="40">
        <f ca="1">'Growth Engine'!O10*'Macro &amp; Indexation'!O19</f>
        <v>0</v>
      </c>
      <c r="P62" s="40">
        <f ca="1">'Growth Engine'!P10*'Macro &amp; Indexation'!P19</f>
        <v>0</v>
      </c>
      <c r="Q62" s="40">
        <f ca="1">'Growth Engine'!Q10*'Macro &amp; Indexation'!Q19</f>
        <v>0</v>
      </c>
      <c r="R62" s="40">
        <f ca="1">'Growth Engine'!R10*'Macro &amp; Indexation'!R19</f>
        <v>0</v>
      </c>
      <c r="S62" s="40">
        <f ca="1">'Growth Engine'!S10*'Macro &amp; Indexation'!S19</f>
        <v>0</v>
      </c>
      <c r="T62" s="40">
        <f ca="1">'Growth Engine'!T10*'Macro &amp; Indexation'!T19</f>
        <v>0</v>
      </c>
      <c r="U62" s="40">
        <f ca="1">'Growth Engine'!U10*'Macro &amp; Indexation'!U19</f>
        <v>0</v>
      </c>
      <c r="V62" s="40">
        <f ca="1">'Growth Engine'!V10*'Macro &amp; Indexation'!V19</f>
        <v>0</v>
      </c>
      <c r="W62" s="40">
        <f ca="1">'Growth Engine'!W10*'Macro &amp; Indexation'!W19</f>
        <v>0</v>
      </c>
      <c r="X62" s="40">
        <f ca="1">'Growth Engine'!X10*'Macro &amp; Indexation'!X19</f>
        <v>0</v>
      </c>
      <c r="Y62" s="40">
        <f ca="1">'Growth Engine'!Y10*'Macro &amp; Indexation'!Y19</f>
        <v>0</v>
      </c>
      <c r="Z62" s="40">
        <f ca="1">'Growth Engine'!Z10*'Macro &amp; Indexation'!Z19</f>
        <v>596823.24107453506</v>
      </c>
      <c r="AA62" s="40">
        <f ca="1">'Growth Engine'!AA10*'Macro &amp; Indexation'!AA19</f>
        <v>0</v>
      </c>
      <c r="AB62" s="40">
        <f ca="1">'Growth Engine'!AB10*'Macro &amp; Indexation'!AB19</f>
        <v>0</v>
      </c>
      <c r="AC62" s="40">
        <f ca="1">'Growth Engine'!AC10*'Macro &amp; Indexation'!AC19</f>
        <v>0</v>
      </c>
      <c r="AD62" s="40">
        <f ca="1">'Growth Engine'!AD10*'Macro &amp; Indexation'!AD19</f>
        <v>684868.39644058817</v>
      </c>
      <c r="AE62" s="40">
        <f ca="1">'Growth Engine'!AE10*'Macro &amp; Indexation'!AE19</f>
        <v>0</v>
      </c>
      <c r="AF62" s="40">
        <f ca="1">'Growth Engine'!AF10*'Macro &amp; Indexation'!AF19</f>
        <v>0</v>
      </c>
      <c r="AG62" s="40">
        <f ca="1">'Growth Engine'!AG10*'Macro &amp; Indexation'!AG19</f>
        <v>759325.83315626625</v>
      </c>
      <c r="AH62" s="40">
        <f ca="1">'Growth Engine'!AH10*'Macro &amp; Indexation'!AH19</f>
        <v>0</v>
      </c>
      <c r="AI62" s="40">
        <f ca="1">'Growth Engine'!AI10*'Macro &amp; Indexation'!AI19</f>
        <v>813408.81562282122</v>
      </c>
      <c r="AJ62" s="40">
        <f ca="1">'Growth Engine'!AJ10*'Macro &amp; Indexation'!AJ19</f>
        <v>841878.12416961975</v>
      </c>
      <c r="AK62" s="40">
        <f ca="1">'Growth Engine'!AK10*'Macro &amp; Indexation'!AK19</f>
        <v>0</v>
      </c>
      <c r="AL62" s="40">
        <f ca="1">'Growth Engine'!AL10*'Macro &amp; Indexation'!AL19</f>
        <v>901840.89356360084</v>
      </c>
      <c r="AM62" s="40">
        <f ca="1">'Growth Engine'!AM10*'Macro &amp; Indexation'!AM19</f>
        <v>933405.32483832678</v>
      </c>
      <c r="AN62" s="40">
        <f ca="1">'Growth Engine'!AN10*'Macro &amp; Indexation'!AN19</f>
        <v>0</v>
      </c>
      <c r="AO62" s="40">
        <f ca="1">'Growth Engine'!AO10*'Macro &amp; Indexation'!AO19</f>
        <v>999887.11909993645</v>
      </c>
      <c r="AP62" s="40">
        <f ca="1">'Growth Engine'!AP10*'Macro &amp; Indexation'!AP19</f>
        <v>1034883.1682684342</v>
      </c>
      <c r="AQ62" s="40">
        <f ca="1">'Growth Engine'!AQ10*'Macro &amp; Indexation'!AQ19</f>
        <v>1071104.0791578293</v>
      </c>
      <c r="AR62" s="40">
        <f ca="1">'Growth Engine'!AR10*'Macro &amp; Indexation'!AR19</f>
        <v>1108592.7219283532</v>
      </c>
      <c r="AS62" s="40">
        <f ca="1">'Growth Engine'!AS10*'Macro &amp; Indexation'!AS19</f>
        <v>1147393.4671958454</v>
      </c>
      <c r="AT62" s="40">
        <f ca="1">'Growth Engine'!AT10*'Macro &amp; Indexation'!AT19</f>
        <v>1187552.2385477</v>
      </c>
      <c r="AU62" s="40">
        <f ca="1">'Growth Engine'!AU10*'Macro &amp; Indexation'!AU19</f>
        <v>1229116.5668968693</v>
      </c>
      <c r="AV62" s="40">
        <f ca="1">'Growth Engine'!AV10*'Macro &amp; Indexation'!AV19</f>
        <v>1272135.6467382596</v>
      </c>
      <c r="AW62" s="40">
        <f ca="1">'Growth Engine'!AW10*'Macro &amp; Indexation'!AW19</f>
        <v>1316660.3943740984</v>
      </c>
      <c r="AX62" s="40">
        <f ca="1">'Growth Engine'!AX10*'Macro &amp; Indexation'!AX19</f>
        <v>2725487.0163543839</v>
      </c>
      <c r="AY62" s="40">
        <f ca="1">'Growth Engine'!AY10*'Macro &amp; Indexation'!AY19</f>
        <v>1410439.5309633934</v>
      </c>
      <c r="AZ62" s="40">
        <f ca="1">'Growth Engine'!AZ10*'Macro &amp; Indexation'!AZ19</f>
        <v>1459804.9145471121</v>
      </c>
      <c r="BA62" s="40">
        <f ca="1">'Growth Engine'!BA10*'Macro &amp; Indexation'!BA19</f>
        <v>1510898.0865562607</v>
      </c>
    </row>
    <row r="63" spans="1:53" x14ac:dyDescent="0.3">
      <c r="A63" t="s">
        <v>120</v>
      </c>
      <c r="B63" t="s">
        <v>48</v>
      </c>
      <c r="D63" s="40">
        <f ca="1">D61-D62</f>
        <v>0</v>
      </c>
      <c r="E63" s="40">
        <f t="shared" ref="E63:AJ63" ca="1" si="2">E61-D61-E62</f>
        <v>9800</v>
      </c>
      <c r="F63" s="40">
        <f t="shared" ca="1" si="2"/>
        <v>30429</v>
      </c>
      <c r="G63" s="40">
        <f t="shared" ca="1" si="2"/>
        <v>62988.030000000261</v>
      </c>
      <c r="H63" s="40">
        <f t="shared" ca="1" si="2"/>
        <v>97788.91657499969</v>
      </c>
      <c r="I63" s="40">
        <f t="shared" ca="1" si="2"/>
        <v>134948.70487349946</v>
      </c>
      <c r="J63" s="40">
        <f t="shared" ca="1" si="2"/>
        <v>174589.88693009061</v>
      </c>
      <c r="K63" s="40">
        <f t="shared" ca="1" si="2"/>
        <v>216840.63956717169</v>
      </c>
      <c r="L63" s="40">
        <f t="shared" ca="1" si="2"/>
        <v>261835.07227736083</v>
      </c>
      <c r="M63" s="40">
        <f t="shared" ca="1" si="2"/>
        <v>309713.48549378989</v>
      </c>
      <c r="N63" s="40">
        <f t="shared" ca="1" si="2"/>
        <v>360622.63967183483</v>
      </c>
      <c r="O63" s="40">
        <f t="shared" ca="1" si="2"/>
        <v>387068.29991443641</v>
      </c>
      <c r="P63" s="40">
        <f t="shared" ca="1" si="2"/>
        <v>400615.69041143917</v>
      </c>
      <c r="Q63" s="40">
        <f t="shared" ca="1" si="2"/>
        <v>414637.23957583867</v>
      </c>
      <c r="R63" s="40">
        <f t="shared" ca="1" si="2"/>
        <v>429149.54296099395</v>
      </c>
      <c r="S63" s="40">
        <f t="shared" ca="1" si="2"/>
        <v>444169.77696463093</v>
      </c>
      <c r="T63" s="40">
        <f t="shared" ca="1" si="2"/>
        <v>459715.71915839054</v>
      </c>
      <c r="U63" s="40">
        <f t="shared" ca="1" si="2"/>
        <v>475805.7693289388</v>
      </c>
      <c r="V63" s="40">
        <f t="shared" ca="1" si="2"/>
        <v>492458.97125544772</v>
      </c>
      <c r="W63" s="40">
        <f t="shared" ca="1" si="2"/>
        <v>509695.03524938785</v>
      </c>
      <c r="X63" s="40">
        <f t="shared" ca="1" si="2"/>
        <v>527534.36148311384</v>
      </c>
      <c r="Y63" s="40">
        <f t="shared" ca="1" si="2"/>
        <v>545998.06413502619</v>
      </c>
      <c r="Z63" s="40">
        <f t="shared" ca="1" si="2"/>
        <v>565107.99637975637</v>
      </c>
      <c r="AA63" s="40">
        <f t="shared" ca="1" si="2"/>
        <v>605775.58969064802</v>
      </c>
      <c r="AB63" s="40">
        <f t="shared" ca="1" si="2"/>
        <v>626977.73532982543</v>
      </c>
      <c r="AC63" s="40">
        <f t="shared" ca="1" si="2"/>
        <v>648921.95606636629</v>
      </c>
      <c r="AD63" s="40">
        <f t="shared" ca="1" si="2"/>
        <v>671634.2245286887</v>
      </c>
      <c r="AE63" s="40">
        <f t="shared" ca="1" si="2"/>
        <v>719111.81626261398</v>
      </c>
      <c r="AF63" s="40">
        <f t="shared" ca="1" si="2"/>
        <v>744280.72983181477</v>
      </c>
      <c r="AG63" s="40">
        <f t="shared" ca="1" si="2"/>
        <v>770330.55537591781</v>
      </c>
      <c r="AH63" s="40">
        <f t="shared" ca="1" si="2"/>
        <v>823868.52897454798</v>
      </c>
      <c r="AI63" s="40">
        <f t="shared" ca="1" si="2"/>
        <v>852703.92748866254</v>
      </c>
      <c r="AJ63" s="40">
        <f t="shared" ca="1" si="2"/>
        <v>911017.87349756621</v>
      </c>
      <c r="AK63" s="40">
        <f t="shared" ref="AK63:BA63" ca="1" si="3">AK61-AJ61-AK62</f>
        <v>972369.23341590166</v>
      </c>
      <c r="AL63" s="40">
        <f t="shared" ca="1" si="3"/>
        <v>1006402.1565854674</v>
      </c>
      <c r="AM63" s="40">
        <f t="shared" ca="1" si="3"/>
        <v>1073190.6633406603</v>
      </c>
      <c r="AN63" s="40">
        <f t="shared" ca="1" si="3"/>
        <v>1143421.522926975</v>
      </c>
      <c r="AO63" s="40">
        <f t="shared" ca="1" si="3"/>
        <v>1183441.2762293825</v>
      </c>
      <c r="AP63" s="40">
        <f t="shared" ca="1" si="3"/>
        <v>1259857.770065919</v>
      </c>
      <c r="AQ63" s="40">
        <f t="shared" ca="1" si="3"/>
        <v>1340173.702907607</v>
      </c>
      <c r="AR63" s="40">
        <f t="shared" ca="1" si="3"/>
        <v>1424568.4252798904</v>
      </c>
      <c r="AS63" s="40">
        <f t="shared" ca="1" si="3"/>
        <v>1513229.0654322363</v>
      </c>
      <c r="AT63" s="40">
        <f t="shared" ca="1" si="3"/>
        <v>1606350.8540741405</v>
      </c>
      <c r="AU63" s="40">
        <f t="shared" ca="1" si="3"/>
        <v>1704137.4623159855</v>
      </c>
      <c r="AV63" s="40">
        <f t="shared" ca="1" si="3"/>
        <v>1806801.353338392</v>
      </c>
      <c r="AW63" s="40">
        <f t="shared" ca="1" si="3"/>
        <v>1914564.1483411083</v>
      </c>
      <c r="AX63" s="40">
        <f t="shared" ca="1" si="3"/>
        <v>2027657.007336041</v>
      </c>
      <c r="AY63" s="40">
        <f t="shared" ca="1" si="3"/>
        <v>2194017.0481652445</v>
      </c>
      <c r="AZ63" s="40">
        <f t="shared" ca="1" si="3"/>
        <v>2320173.0284348913</v>
      </c>
      <c r="BA63" s="40">
        <f t="shared" ca="1" si="3"/>
        <v>2452472.2564391</v>
      </c>
    </row>
    <row r="65" spans="1:53" x14ac:dyDescent="0.3">
      <c r="A65" s="37" t="s">
        <v>121</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row>
    <row r="66" spans="1:53" outlineLevel="1" x14ac:dyDescent="0.3">
      <c r="A66" t="s">
        <v>137</v>
      </c>
      <c r="B66">
        <v>1</v>
      </c>
      <c r="D66" s="40">
        <f ca="1">IF(D$6&lt;$B66,0,IF(D$6=$B66,'Growth Engine'!D$10*'Macro &amp; Indexation'!D$19*gross_yield,C66*(1+'Macro &amp; Indexation'!D$11)))</f>
        <v>14000</v>
      </c>
      <c r="E66" s="40">
        <f ca="1">IF(E$6&lt;$B66,0,IF(E$6=$B66,'Growth Engine'!E$10*'Macro &amp; Indexation'!E$19*gross_yield,D66*(1+'Macro &amp; Indexation'!E$11)))</f>
        <v>14349.999999999998</v>
      </c>
      <c r="F66" s="40">
        <f ca="1">IF(F$6&lt;$B66,0,IF(F$6=$B66,'Growth Engine'!F$10*'Macro &amp; Indexation'!F$19*gross_yield,E66*(1+'Macro &amp; Indexation'!F$11)))</f>
        <v>14708.749999999996</v>
      </c>
      <c r="G66" s="40">
        <f ca="1">IF(G$6&lt;$B66,0,IF(G$6=$B66,'Growth Engine'!G$10*'Macro &amp; Indexation'!G$19*gross_yield,F66*(1+'Macro &amp; Indexation'!G$11)))</f>
        <v>15076.468749999995</v>
      </c>
      <c r="H66" s="40">
        <f ca="1">IF(H$6&lt;$B66,0,IF(H$6=$B66,'Growth Engine'!H$10*'Macro &amp; Indexation'!H$19*gross_yield,G66*(1+'Macro &amp; Indexation'!H$11)))</f>
        <v>15453.380468749992</v>
      </c>
      <c r="I66" s="40">
        <f ca="1">IF(I$6&lt;$B66,0,IF(I$6=$B66,'Growth Engine'!I$10*'Macro &amp; Indexation'!I$19*gross_yield,H66*(1+'Macro &amp; Indexation'!I$11)))</f>
        <v>15839.714980468741</v>
      </c>
      <c r="J66" s="40">
        <f ca="1">IF(J$6&lt;$B66,0,IF(J$6=$B66,'Growth Engine'!J$10*'Macro &amp; Indexation'!J$19*gross_yield,I66*(1+'Macro &amp; Indexation'!J$11)))</f>
        <v>16235.707854980459</v>
      </c>
      <c r="K66" s="40">
        <f ca="1">IF(K$6&lt;$B66,0,IF(K$6=$B66,'Growth Engine'!K$10*'Macro &amp; Indexation'!K$19*gross_yield,J66*(1+'Macro &amp; Indexation'!K$11)))</f>
        <v>16641.600551354968</v>
      </c>
      <c r="L66" s="40">
        <f ca="1">IF(L$6&lt;$B66,0,IF(L$6=$B66,'Growth Engine'!L$10*'Macro &amp; Indexation'!L$19*gross_yield,K66*(1+'Macro &amp; Indexation'!L$11)))</f>
        <v>17057.640565138841</v>
      </c>
      <c r="M66" s="40">
        <f ca="1">IF(M$6&lt;$B66,0,IF(M$6=$B66,'Growth Engine'!M$10*'Macro &amp; Indexation'!M$19*gross_yield,L66*(1+'Macro &amp; Indexation'!M$11)))</f>
        <v>17484.081579267309</v>
      </c>
      <c r="N66" s="40">
        <f ca="1">IF(N$6&lt;$B66,0,IF(N$6=$B66,'Growth Engine'!N$10*'Macro &amp; Indexation'!N$19*gross_yield,M66*(1+'Macro &amp; Indexation'!N$11)))</f>
        <v>17921.18361874899</v>
      </c>
      <c r="O66" s="40">
        <f ca="1">IF(O$6&lt;$B66,0,IF(O$6=$B66,'Growth Engine'!O$10*'Macro &amp; Indexation'!O$19*gross_yield,N66*(1+'Macro &amp; Indexation'!O$11)))</f>
        <v>18369.213209217713</v>
      </c>
      <c r="P66" s="40">
        <f ca="1">IF(P$6&lt;$B66,0,IF(P$6=$B66,'Growth Engine'!P$10*'Macro &amp; Indexation'!P$19*gross_yield,O66*(1+'Macro &amp; Indexation'!P$11)))</f>
        <v>18828.443539448155</v>
      </c>
      <c r="Q66" s="40">
        <f ca="1">IF(Q$6&lt;$B66,0,IF(Q$6=$B66,'Growth Engine'!Q$10*'Macro &amp; Indexation'!Q$19*gross_yield,P66*(1+'Macro &amp; Indexation'!Q$11)))</f>
        <v>19299.154627934357</v>
      </c>
      <c r="R66" s="40">
        <f ca="1">IF(R$6&lt;$B66,0,IF(R$6=$B66,'Growth Engine'!R$10*'Macro &amp; Indexation'!R$19*gross_yield,Q66*(1+'Macro &amp; Indexation'!R$11)))</f>
        <v>19781.633493632715</v>
      </c>
      <c r="S66" s="40">
        <f ca="1">IF(S$6&lt;$B66,0,IF(S$6=$B66,'Growth Engine'!S$10*'Macro &amp; Indexation'!S$19*gross_yield,R66*(1+'Macro &amp; Indexation'!S$11)))</f>
        <v>20276.174330973532</v>
      </c>
      <c r="T66" s="40">
        <f ca="1">IF(T$6&lt;$B66,0,IF(T$6=$B66,'Growth Engine'!T$10*'Macro &amp; Indexation'!T$19*gross_yield,S66*(1+'Macro &amp; Indexation'!T$11)))</f>
        <v>20783.078689247868</v>
      </c>
      <c r="U66" s="40">
        <f ca="1">IF(U$6&lt;$B66,0,IF(U$6=$B66,'Growth Engine'!U$10*'Macro &amp; Indexation'!U$19*gross_yield,T66*(1+'Macro &amp; Indexation'!U$11)))</f>
        <v>21302.655656479063</v>
      </c>
      <c r="V66" s="40">
        <f ca="1">IF(V$6&lt;$B66,0,IF(V$6=$B66,'Growth Engine'!V$10*'Macro &amp; Indexation'!V$19*gross_yield,U66*(1+'Macro &amp; Indexation'!V$11)))</f>
        <v>21835.222047891039</v>
      </c>
      <c r="W66" s="40">
        <f ca="1">IF(W$6&lt;$B66,0,IF(W$6=$B66,'Growth Engine'!W$10*'Macro &amp; Indexation'!W$19*gross_yield,V66*(1+'Macro &amp; Indexation'!W$11)))</f>
        <v>22381.102599088314</v>
      </c>
      <c r="X66" s="40">
        <f ca="1">IF(X$6&lt;$B66,0,IF(X$6=$B66,'Growth Engine'!X$10*'Macro &amp; Indexation'!X$19*gross_yield,W66*(1+'Macro &amp; Indexation'!X$11)))</f>
        <v>22940.630164065518</v>
      </c>
      <c r="Y66" s="40">
        <f ca="1">IF(Y$6&lt;$B66,0,IF(Y$6=$B66,'Growth Engine'!Y$10*'Macro &amp; Indexation'!Y$19*gross_yield,X66*(1+'Macro &amp; Indexation'!Y$11)))</f>
        <v>23514.145918167153</v>
      </c>
      <c r="Z66" s="40">
        <f ca="1">IF(Z$6&lt;$B66,0,IF(Z$6=$B66,'Growth Engine'!Z$10*'Macro &amp; Indexation'!Z$19*gross_yield,Y66*(1+'Macro &amp; Indexation'!Z$11)))</f>
        <v>24101.999566121329</v>
      </c>
      <c r="AA66" s="40">
        <f ca="1">IF(AA$6&lt;$B66,0,IF(AA$6=$B66,'Growth Engine'!AA$10*'Macro &amp; Indexation'!AA$19*gross_yield,Z66*(1+'Macro &amp; Indexation'!AA$11)))</f>
        <v>24704.54955527436</v>
      </c>
      <c r="AB66" s="40">
        <f ca="1">IF(AB$6&lt;$B66,0,IF(AB$6=$B66,'Growth Engine'!AB$10*'Macro &amp; Indexation'!AB$19*gross_yield,AA66*(1+'Macro &amp; Indexation'!AB$11)))</f>
        <v>25322.163294156217</v>
      </c>
      <c r="AC66" s="40">
        <f ca="1">IF(AC$6&lt;$B66,0,IF(AC$6=$B66,'Growth Engine'!AC$10*'Macro &amp; Indexation'!AC$19*gross_yield,AB66*(1+'Macro &amp; Indexation'!AC$11)))</f>
        <v>25955.217376510122</v>
      </c>
      <c r="AD66" s="40">
        <f ca="1">IF(AD$6&lt;$B66,0,IF(AD$6=$B66,'Growth Engine'!AD$10*'Macro &amp; Indexation'!AD$19*gross_yield,AC66*(1+'Macro &amp; Indexation'!AD$11)))</f>
        <v>26604.097810922871</v>
      </c>
      <c r="AE66" s="40">
        <f ca="1">IF(AE$6&lt;$B66,0,IF(AE$6=$B66,'Growth Engine'!AE$10*'Macro &amp; Indexation'!AE$19*gross_yield,AD66*(1+'Macro &amp; Indexation'!AE$11)))</f>
        <v>27269.200256195942</v>
      </c>
      <c r="AF66" s="40">
        <f ca="1">IF(AF$6&lt;$B66,0,IF(AF$6=$B66,'Growth Engine'!AF$10*'Macro &amp; Indexation'!AF$19*gross_yield,AE66*(1+'Macro &amp; Indexation'!AF$11)))</f>
        <v>27950.930262600839</v>
      </c>
      <c r="AG66" s="40">
        <f ca="1">IF(AG$6&lt;$B66,0,IF(AG$6=$B66,'Growth Engine'!AG$10*'Macro &amp; Indexation'!AG$19*gross_yield,AF66*(1+'Macro &amp; Indexation'!AG$11)))</f>
        <v>28649.703519165858</v>
      </c>
      <c r="AH66" s="40">
        <f ca="1">IF(AH$6&lt;$B66,0,IF(AH$6=$B66,'Growth Engine'!AH$10*'Macro &amp; Indexation'!AH$19*gross_yield,AG66*(1+'Macro &amp; Indexation'!AH$11)))</f>
        <v>29365.946107145002</v>
      </c>
      <c r="AI66" s="40">
        <f ca="1">IF(AI$6&lt;$B66,0,IF(AI$6=$B66,'Growth Engine'!AI$10*'Macro &amp; Indexation'!AI$19*gross_yield,AH66*(1+'Macro &amp; Indexation'!AI$11)))</f>
        <v>30100.094759823623</v>
      </c>
      <c r="AJ66" s="40">
        <f ca="1">IF(AJ$6&lt;$B66,0,IF(AJ$6=$B66,'Growth Engine'!AJ$10*'Macro &amp; Indexation'!AJ$19*gross_yield,AI66*(1+'Macro &amp; Indexation'!AJ$11)))</f>
        <v>30852.597128819212</v>
      </c>
      <c r="AK66" s="40">
        <f ca="1">IF(AK$6&lt;$B66,0,IF(AK$6=$B66,'Growth Engine'!AK$10*'Macro &amp; Indexation'!AK$19*gross_yield,AJ66*(1+'Macro &amp; Indexation'!AK$11)))</f>
        <v>31623.912057039688</v>
      </c>
      <c r="AL66" s="40">
        <f ca="1">IF(AL$6&lt;$B66,0,IF(AL$6=$B66,'Growth Engine'!AL$10*'Macro &amp; Indexation'!AL$19*gross_yield,AK66*(1+'Macro &amp; Indexation'!AL$11)))</f>
        <v>32414.509858465677</v>
      </c>
      <c r="AM66" s="40">
        <f ca="1">IF(AM$6&lt;$B66,0,IF(AM$6=$B66,'Growth Engine'!AM$10*'Macro &amp; Indexation'!AM$19*gross_yield,AL66*(1+'Macro &amp; Indexation'!AM$11)))</f>
        <v>33224.872604927317</v>
      </c>
      <c r="AN66" s="40">
        <f ca="1">IF(AN$6&lt;$B66,0,IF(AN$6=$B66,'Growth Engine'!AN$10*'Macro &amp; Indexation'!AN$19*gross_yield,AM66*(1+'Macro &amp; Indexation'!AN$11)))</f>
        <v>34055.494420050498</v>
      </c>
      <c r="AO66" s="40">
        <f ca="1">IF(AO$6&lt;$B66,0,IF(AO$6=$B66,'Growth Engine'!AO$10*'Macro &amp; Indexation'!AO$19*gross_yield,AN66*(1+'Macro &amp; Indexation'!AO$11)))</f>
        <v>34906.881780551754</v>
      </c>
      <c r="AP66" s="40">
        <f ca="1">IF(AP$6&lt;$B66,0,IF(AP$6=$B66,'Growth Engine'!AP$10*'Macro &amp; Indexation'!AP$19*gross_yield,AO66*(1+'Macro &amp; Indexation'!AP$11)))</f>
        <v>35779.553825065545</v>
      </c>
      <c r="AQ66" s="40">
        <f ca="1">IF(AQ$6&lt;$B66,0,IF(AQ$6=$B66,'Growth Engine'!AQ$10*'Macro &amp; Indexation'!AQ$19*gross_yield,AP66*(1+'Macro &amp; Indexation'!AQ$11)))</f>
        <v>36674.042670692179</v>
      </c>
      <c r="AR66" s="40">
        <f ca="1">IF(AR$6&lt;$B66,0,IF(AR$6=$B66,'Growth Engine'!AR$10*'Macro &amp; Indexation'!AR$19*gross_yield,AQ66*(1+'Macro &amp; Indexation'!AR$11)))</f>
        <v>37590.893737459483</v>
      </c>
      <c r="AS66" s="40">
        <f ca="1">IF(AS$6&lt;$B66,0,IF(AS$6=$B66,'Growth Engine'!AS$10*'Macro &amp; Indexation'!AS$19*gross_yield,AR66*(1+'Macro &amp; Indexation'!AS$11)))</f>
        <v>38530.666080895964</v>
      </c>
      <c r="AT66" s="40">
        <f ca="1">IF(AT$6&lt;$B66,0,IF(AT$6=$B66,'Growth Engine'!AT$10*'Macro &amp; Indexation'!AT$19*gross_yield,AS66*(1+'Macro &amp; Indexation'!AT$11)))</f>
        <v>39493.932732918358</v>
      </c>
      <c r="AU66" s="40">
        <f ca="1">IF(AU$6&lt;$B66,0,IF(AU$6=$B66,'Growth Engine'!AU$10*'Macro &amp; Indexation'!AU$19*gross_yield,AT66*(1+'Macro &amp; Indexation'!AU$11)))</f>
        <v>40481.281051241313</v>
      </c>
      <c r="AV66" s="40">
        <f ca="1">IF(AV$6&lt;$B66,0,IF(AV$6=$B66,'Growth Engine'!AV$10*'Macro &amp; Indexation'!AV$19*gross_yield,AU66*(1+'Macro &amp; Indexation'!AV$11)))</f>
        <v>41493.31307752234</v>
      </c>
      <c r="AW66" s="40">
        <f ca="1">IF(AW$6&lt;$B66,0,IF(AW$6=$B66,'Growth Engine'!AW$10*'Macro &amp; Indexation'!AW$19*gross_yield,AV66*(1+'Macro &amp; Indexation'!AW$11)))</f>
        <v>42530.645904460398</v>
      </c>
      <c r="AX66" s="40">
        <f ca="1">IF(AX$6&lt;$B66,0,IF(AX$6=$B66,'Growth Engine'!AX$10*'Macro &amp; Indexation'!AX$19*gross_yield,AW66*(1+'Macro &amp; Indexation'!AX$11)))</f>
        <v>43593.912052071901</v>
      </c>
      <c r="AY66" s="40">
        <f ca="1">IF(AY$6&lt;$B66,0,IF(AY$6=$B66,'Growth Engine'!AY$10*'Macro &amp; Indexation'!AY$19*gross_yield,AX66*(1+'Macro &amp; Indexation'!AY$11)))</f>
        <v>44683.759853373696</v>
      </c>
      <c r="AZ66" s="40">
        <f ca="1">IF(AZ$6&lt;$B66,0,IF(AZ$6=$B66,'Growth Engine'!AZ$10*'Macro &amp; Indexation'!AZ$19*gross_yield,AY66*(1+'Macro &amp; Indexation'!AZ$11)))</f>
        <v>45800.853849708037</v>
      </c>
      <c r="BA66" s="40">
        <f ca="1">IF(BA$6&lt;$B66,0,IF(BA$6=$B66,'Growth Engine'!BA$10*'Macro &amp; Indexation'!BA$19*gross_yield,AZ66*(1+'Macro &amp; Indexation'!BA$11)))</f>
        <v>46945.875195950735</v>
      </c>
    </row>
    <row r="67" spans="1:53" outlineLevel="1" x14ac:dyDescent="0.3">
      <c r="A67" t="s">
        <v>138</v>
      </c>
      <c r="B67">
        <v>2</v>
      </c>
      <c r="D67" s="40">
        <f>IF(D$6&lt;$B67,0,IF(D$6=$B67,'Growth Engine'!D$10*'Macro &amp; Indexation'!D$19*gross_yield,C67*(1+'Macro &amp; Indexation'!D$11)))</f>
        <v>0</v>
      </c>
      <c r="E67" s="40">
        <f ca="1">IF(E$6&lt;$B67,0,IF(E$6=$B67,'Growth Engine'!E$10*'Macro &amp; Indexation'!E$19*gross_yield,D67*(1+'Macro &amp; Indexation'!E$11)))</f>
        <v>28980</v>
      </c>
      <c r="F67" s="40">
        <f ca="1">IF(F$6&lt;$B67,0,IF(F$6=$B67,'Growth Engine'!F$10*'Macro &amp; Indexation'!F$19*gross_yield,E67*(1+'Macro &amp; Indexation'!F$11)))</f>
        <v>29704.499999999996</v>
      </c>
      <c r="G67" s="40">
        <f ca="1">IF(G$6&lt;$B67,0,IF(G$6=$B67,'Growth Engine'!G$10*'Macro &amp; Indexation'!G$19*gross_yield,F67*(1+'Macro &amp; Indexation'!G$11)))</f>
        <v>30447.112499999992</v>
      </c>
      <c r="H67" s="40">
        <f ca="1">IF(H$6&lt;$B67,0,IF(H$6=$B67,'Growth Engine'!H$10*'Macro &amp; Indexation'!H$19*gross_yield,G67*(1+'Macro &amp; Indexation'!H$11)))</f>
        <v>31208.29031249999</v>
      </c>
      <c r="I67" s="40">
        <f ca="1">IF(I$6&lt;$B67,0,IF(I$6=$B67,'Growth Engine'!I$10*'Macro &amp; Indexation'!I$19*gross_yield,H67*(1+'Macro &amp; Indexation'!I$11)))</f>
        <v>31988.497570312487</v>
      </c>
      <c r="J67" s="40">
        <f ca="1">IF(J$6&lt;$B67,0,IF(J$6=$B67,'Growth Engine'!J$10*'Macro &amp; Indexation'!J$19*gross_yield,I67*(1+'Macro &amp; Indexation'!J$11)))</f>
        <v>32788.210009570299</v>
      </c>
      <c r="K67" s="40">
        <f ca="1">IF(K$6&lt;$B67,0,IF(K$6=$B67,'Growth Engine'!K$10*'Macro &amp; Indexation'!K$19*gross_yield,J67*(1+'Macro &amp; Indexation'!K$11)))</f>
        <v>33607.915259809553</v>
      </c>
      <c r="L67" s="40">
        <f ca="1">IF(L$6&lt;$B67,0,IF(L$6=$B67,'Growth Engine'!L$10*'Macro &amp; Indexation'!L$19*gross_yield,K67*(1+'Macro &amp; Indexation'!L$11)))</f>
        <v>34448.113141304791</v>
      </c>
      <c r="M67" s="40">
        <f ca="1">IF(M$6&lt;$B67,0,IF(M$6=$B67,'Growth Engine'!M$10*'Macro &amp; Indexation'!M$19*gross_yield,L67*(1+'Macro &amp; Indexation'!M$11)))</f>
        <v>35309.315969837407</v>
      </c>
      <c r="N67" s="40">
        <f ca="1">IF(N$6&lt;$B67,0,IF(N$6=$B67,'Growth Engine'!N$10*'Macro &amp; Indexation'!N$19*gross_yield,M67*(1+'Macro &amp; Indexation'!N$11)))</f>
        <v>36192.048869083337</v>
      </c>
      <c r="O67" s="40">
        <f ca="1">IF(O$6&lt;$B67,0,IF(O$6=$B67,'Growth Engine'!O$10*'Macro &amp; Indexation'!O$19*gross_yield,N67*(1+'Macro &amp; Indexation'!O$11)))</f>
        <v>37096.850090810418</v>
      </c>
      <c r="P67" s="40">
        <f ca="1">IF(P$6&lt;$B67,0,IF(P$6=$B67,'Growth Engine'!P$10*'Macro &amp; Indexation'!P$19*gross_yield,O67*(1+'Macro &amp; Indexation'!P$11)))</f>
        <v>38024.271343080676</v>
      </c>
      <c r="Q67" s="40">
        <f ca="1">IF(Q$6&lt;$B67,0,IF(Q$6=$B67,'Growth Engine'!Q$10*'Macro &amp; Indexation'!Q$19*gross_yield,P67*(1+'Macro &amp; Indexation'!Q$11)))</f>
        <v>38974.878126657692</v>
      </c>
      <c r="R67" s="40">
        <f ca="1">IF(R$6&lt;$B67,0,IF(R$6=$B67,'Growth Engine'!R$10*'Macro &amp; Indexation'!R$19*gross_yield,Q67*(1+'Macro &amp; Indexation'!R$11)))</f>
        <v>39949.250079824131</v>
      </c>
      <c r="S67" s="40">
        <f ca="1">IF(S$6&lt;$B67,0,IF(S$6=$B67,'Growth Engine'!S$10*'Macro &amp; Indexation'!S$19*gross_yield,R67*(1+'Macro &amp; Indexation'!S$11)))</f>
        <v>40947.981331819734</v>
      </c>
      <c r="T67" s="40">
        <f ca="1">IF(T$6&lt;$B67,0,IF(T$6=$B67,'Growth Engine'!T$10*'Macro &amp; Indexation'!T$19*gross_yield,S67*(1+'Macro &amp; Indexation'!T$11)))</f>
        <v>41971.680865115224</v>
      </c>
      <c r="U67" s="40">
        <f ca="1">IF(U$6&lt;$B67,0,IF(U$6=$B67,'Growth Engine'!U$10*'Macro &amp; Indexation'!U$19*gross_yield,T67*(1+'Macro &amp; Indexation'!U$11)))</f>
        <v>43020.972886743104</v>
      </c>
      <c r="V67" s="40">
        <f ca="1">IF(V$6&lt;$B67,0,IF(V$6=$B67,'Growth Engine'!V$10*'Macro &amp; Indexation'!V$19*gross_yield,U67*(1+'Macro &amp; Indexation'!V$11)))</f>
        <v>44096.497208911678</v>
      </c>
      <c r="W67" s="40">
        <f ca="1">IF(W$6&lt;$B67,0,IF(W$6=$B67,'Growth Engine'!W$10*'Macro &amp; Indexation'!W$19*gross_yield,V67*(1+'Macro &amp; Indexation'!W$11)))</f>
        <v>45198.909639134465</v>
      </c>
      <c r="X67" s="40">
        <f ca="1">IF(X$6&lt;$B67,0,IF(X$6=$B67,'Growth Engine'!X$10*'Macro &amp; Indexation'!X$19*gross_yield,W67*(1+'Macro &amp; Indexation'!X$11)))</f>
        <v>46328.882380112824</v>
      </c>
      <c r="Y67" s="40">
        <f ca="1">IF(Y$6&lt;$B67,0,IF(Y$6=$B67,'Growth Engine'!Y$10*'Macro &amp; Indexation'!Y$19*gross_yield,X67*(1+'Macro &amp; Indexation'!Y$11)))</f>
        <v>47487.104439615643</v>
      </c>
      <c r="Z67" s="40">
        <f ca="1">IF(Z$6&lt;$B67,0,IF(Z$6=$B67,'Growth Engine'!Z$10*'Macro &amp; Indexation'!Z$19*gross_yield,Y67*(1+'Macro &amp; Indexation'!Z$11)))</f>
        <v>48674.282050606031</v>
      </c>
      <c r="AA67" s="40">
        <f ca="1">IF(AA$6&lt;$B67,0,IF(AA$6=$B67,'Growth Engine'!AA$10*'Macro &amp; Indexation'!AA$19*gross_yield,Z67*(1+'Macro &amp; Indexation'!AA$11)))</f>
        <v>49891.13910187118</v>
      </c>
      <c r="AB67" s="40">
        <f ca="1">IF(AB$6&lt;$B67,0,IF(AB$6=$B67,'Growth Engine'!AB$10*'Macro &amp; Indexation'!AB$19*gross_yield,AA67*(1+'Macro &amp; Indexation'!AB$11)))</f>
        <v>51138.417579417954</v>
      </c>
      <c r="AC67" s="40">
        <f ca="1">IF(AC$6&lt;$B67,0,IF(AC$6=$B67,'Growth Engine'!AC$10*'Macro &amp; Indexation'!AC$19*gross_yield,AB67*(1+'Macro &amp; Indexation'!AC$11)))</f>
        <v>52416.878018903401</v>
      </c>
      <c r="AD67" s="40">
        <f ca="1">IF(AD$6&lt;$B67,0,IF(AD$6=$B67,'Growth Engine'!AD$10*'Macro &amp; Indexation'!AD$19*gross_yield,AC67*(1+'Macro &amp; Indexation'!AD$11)))</f>
        <v>53727.299969375978</v>
      </c>
      <c r="AE67" s="40">
        <f ca="1">IF(AE$6&lt;$B67,0,IF(AE$6=$B67,'Growth Engine'!AE$10*'Macro &amp; Indexation'!AE$19*gross_yield,AD67*(1+'Macro &amp; Indexation'!AE$11)))</f>
        <v>55070.482468610375</v>
      </c>
      <c r="AF67" s="40">
        <f ca="1">IF(AF$6&lt;$B67,0,IF(AF$6=$B67,'Growth Engine'!AF$10*'Macro &amp; Indexation'!AF$19*gross_yield,AE67*(1+'Macro &amp; Indexation'!AF$11)))</f>
        <v>56447.244530325632</v>
      </c>
      <c r="AG67" s="40">
        <f ca="1">IF(AG$6&lt;$B67,0,IF(AG$6=$B67,'Growth Engine'!AG$10*'Macro &amp; Indexation'!AG$19*gross_yield,AF67*(1+'Macro &amp; Indexation'!AG$11)))</f>
        <v>57858.425643583767</v>
      </c>
      <c r="AH67" s="40">
        <f ca="1">IF(AH$6&lt;$B67,0,IF(AH$6=$B67,'Growth Engine'!AH$10*'Macro &amp; Indexation'!AH$19*gross_yield,AG67*(1+'Macro &amp; Indexation'!AH$11)))</f>
        <v>59304.886284673354</v>
      </c>
      <c r="AI67" s="40">
        <f ca="1">IF(AI$6&lt;$B67,0,IF(AI$6=$B67,'Growth Engine'!AI$10*'Macro &amp; Indexation'!AI$19*gross_yield,AH67*(1+'Macro &amp; Indexation'!AI$11)))</f>
        <v>60787.508441790182</v>
      </c>
      <c r="AJ67" s="40">
        <f ca="1">IF(AJ$6&lt;$B67,0,IF(AJ$6=$B67,'Growth Engine'!AJ$10*'Macro &amp; Indexation'!AJ$19*gross_yield,AI67*(1+'Macro &amp; Indexation'!AJ$11)))</f>
        <v>62307.196152834927</v>
      </c>
      <c r="AK67" s="40">
        <f ca="1">IF(AK$6&lt;$B67,0,IF(AK$6=$B67,'Growth Engine'!AK$10*'Macro &amp; Indexation'!AK$19*gross_yield,AJ67*(1+'Macro &amp; Indexation'!AK$11)))</f>
        <v>63864.876056655798</v>
      </c>
      <c r="AL67" s="40">
        <f ca="1">IF(AL$6&lt;$B67,0,IF(AL$6=$B67,'Growth Engine'!AL$10*'Macro &amp; Indexation'!AL$19*gross_yield,AK67*(1+'Macro &amp; Indexation'!AL$11)))</f>
        <v>65461.497958072185</v>
      </c>
      <c r="AM67" s="40">
        <f ca="1">IF(AM$6&lt;$B67,0,IF(AM$6=$B67,'Growth Engine'!AM$10*'Macro &amp; Indexation'!AM$19*gross_yield,AL67*(1+'Macro &amp; Indexation'!AM$11)))</f>
        <v>67098.035407023985</v>
      </c>
      <c r="AN67" s="40">
        <f ca="1">IF(AN$6&lt;$B67,0,IF(AN$6=$B67,'Growth Engine'!AN$10*'Macro &amp; Indexation'!AN$19*gross_yield,AM67*(1+'Macro &amp; Indexation'!AN$11)))</f>
        <v>68775.486292199581</v>
      </c>
      <c r="AO67" s="40">
        <f ca="1">IF(AO$6&lt;$B67,0,IF(AO$6=$B67,'Growth Engine'!AO$10*'Macro &amp; Indexation'!AO$19*gross_yield,AN67*(1+'Macro &amp; Indexation'!AO$11)))</f>
        <v>70494.873449504565</v>
      </c>
      <c r="AP67" s="40">
        <f ca="1">IF(AP$6&lt;$B67,0,IF(AP$6=$B67,'Growth Engine'!AP$10*'Macro &amp; Indexation'!AP$19*gross_yield,AO67*(1+'Macro &amp; Indexation'!AP$11)))</f>
        <v>72257.245285742174</v>
      </c>
      <c r="AQ67" s="40">
        <f ca="1">IF(AQ$6&lt;$B67,0,IF(AQ$6=$B67,'Growth Engine'!AQ$10*'Macro &amp; Indexation'!AQ$19*gross_yield,AP67*(1+'Macro &amp; Indexation'!AQ$11)))</f>
        <v>74063.676417885727</v>
      </c>
      <c r="AR67" s="40">
        <f ca="1">IF(AR$6&lt;$B67,0,IF(AR$6=$B67,'Growth Engine'!AR$10*'Macro &amp; Indexation'!AR$19*gross_yield,AQ67*(1+'Macro &amp; Indexation'!AR$11)))</f>
        <v>75915.268328332866</v>
      </c>
      <c r="AS67" s="40">
        <f ca="1">IF(AS$6&lt;$B67,0,IF(AS$6=$B67,'Growth Engine'!AS$10*'Macro &amp; Indexation'!AS$19*gross_yield,AR67*(1+'Macro &amp; Indexation'!AS$11)))</f>
        <v>77813.150036541178</v>
      </c>
      <c r="AT67" s="40">
        <f ca="1">IF(AT$6&lt;$B67,0,IF(AT$6=$B67,'Growth Engine'!AT$10*'Macro &amp; Indexation'!AT$19*gross_yield,AS67*(1+'Macro &amp; Indexation'!AT$11)))</f>
        <v>79758.478787454704</v>
      </c>
      <c r="AU67" s="40">
        <f ca="1">IF(AU$6&lt;$B67,0,IF(AU$6=$B67,'Growth Engine'!AU$10*'Macro &amp; Indexation'!AU$19*gross_yield,AT67*(1+'Macro &amp; Indexation'!AU$11)))</f>
        <v>81752.44075714107</v>
      </c>
      <c r="AV67" s="40">
        <f ca="1">IF(AV$6&lt;$B67,0,IF(AV$6=$B67,'Growth Engine'!AV$10*'Macro &amp; Indexation'!AV$19*gross_yield,AU67*(1+'Macro &amp; Indexation'!AV$11)))</f>
        <v>83796.251776069592</v>
      </c>
      <c r="AW67" s="40">
        <f ca="1">IF(AW$6&lt;$B67,0,IF(AW$6=$B67,'Growth Engine'!AW$10*'Macro &amp; Indexation'!AW$19*gross_yield,AV67*(1+'Macro &amp; Indexation'!AW$11)))</f>
        <v>85891.158070471327</v>
      </c>
      <c r="AX67" s="40">
        <f ca="1">IF(AX$6&lt;$B67,0,IF(AX$6=$B67,'Growth Engine'!AX$10*'Macro &amp; Indexation'!AX$19*gross_yield,AW67*(1+'Macro &amp; Indexation'!AX$11)))</f>
        <v>88038.437022233105</v>
      </c>
      <c r="AY67" s="40">
        <f ca="1">IF(AY$6&lt;$B67,0,IF(AY$6=$B67,'Growth Engine'!AY$10*'Macro &amp; Indexation'!AY$19*gross_yield,AX67*(1+'Macro &amp; Indexation'!AY$11)))</f>
        <v>90239.397947788922</v>
      </c>
      <c r="AZ67" s="40">
        <f ca="1">IF(AZ$6&lt;$B67,0,IF(AZ$6=$B67,'Growth Engine'!AZ$10*'Macro &amp; Indexation'!AZ$19*gross_yield,AY67*(1+'Macro &amp; Indexation'!AZ$11)))</f>
        <v>92495.382896483643</v>
      </c>
      <c r="BA67" s="40">
        <f ca="1">IF(BA$6&lt;$B67,0,IF(BA$6=$B67,'Growth Engine'!BA$10*'Macro &amp; Indexation'!BA$19*gross_yield,AZ67*(1+'Macro &amp; Indexation'!BA$11)))</f>
        <v>94807.76746889572</v>
      </c>
    </row>
    <row r="68" spans="1:53" outlineLevel="1" x14ac:dyDescent="0.3">
      <c r="A68" t="s">
        <v>139</v>
      </c>
      <c r="B68">
        <v>3</v>
      </c>
      <c r="D68" s="40">
        <f>IF(D$6&lt;$B68,0,IF(D$6=$B68,'Growth Engine'!D$10*'Macro &amp; Indexation'!D$19*gross_yield,C68*(1+'Macro &amp; Indexation'!D$11)))</f>
        <v>0</v>
      </c>
      <c r="E68" s="40">
        <f>IF(E$6&lt;$B68,0,IF(E$6=$B68,'Growth Engine'!E$10*'Macro &amp; Indexation'!E$19*gross_yield,D68*(1+'Macro &amp; Indexation'!E$11)))</f>
        <v>0</v>
      </c>
      <c r="F68" s="40">
        <f ca="1">IF(F$6&lt;$B68,0,IF(F$6=$B68,'Growth Engine'!F$10*'Macro &amp; Indexation'!F$19*gross_yield,E68*(1+'Macro &amp; Indexation'!F$11)))</f>
        <v>44991.44999999999</v>
      </c>
      <c r="G68" s="40">
        <f ca="1">IF(G$6&lt;$B68,0,IF(G$6=$B68,'Growth Engine'!G$10*'Macro &amp; Indexation'!G$19*gross_yield,F68*(1+'Macro &amp; Indexation'!G$11)))</f>
        <v>46116.236249999987</v>
      </c>
      <c r="H68" s="40">
        <f ca="1">IF(H$6&lt;$B68,0,IF(H$6=$B68,'Growth Engine'!H$10*'Macro &amp; Indexation'!H$19*gross_yield,G68*(1+'Macro &amp; Indexation'!H$11)))</f>
        <v>47269.142156249982</v>
      </c>
      <c r="I68" s="40">
        <f ca="1">IF(I$6&lt;$B68,0,IF(I$6=$B68,'Growth Engine'!I$10*'Macro &amp; Indexation'!I$19*gross_yield,H68*(1+'Macro &amp; Indexation'!I$11)))</f>
        <v>48450.870710156225</v>
      </c>
      <c r="J68" s="40">
        <f ca="1">IF(J$6&lt;$B68,0,IF(J$6=$B68,'Growth Engine'!J$10*'Macro &amp; Indexation'!J$19*gross_yield,I68*(1+'Macro &amp; Indexation'!J$11)))</f>
        <v>49662.142477910129</v>
      </c>
      <c r="K68" s="40">
        <f ca="1">IF(K$6&lt;$B68,0,IF(K$6=$B68,'Growth Engine'!K$10*'Macro &amp; Indexation'!K$19*gross_yield,J68*(1+'Macro &amp; Indexation'!K$11)))</f>
        <v>50903.696039857881</v>
      </c>
      <c r="L68" s="40">
        <f ca="1">IF(L$6&lt;$B68,0,IF(L$6=$B68,'Growth Engine'!L$10*'Macro &amp; Indexation'!L$19*gross_yield,K68*(1+'Macro &amp; Indexation'!L$11)))</f>
        <v>52176.288440854325</v>
      </c>
      <c r="M68" s="40">
        <f ca="1">IF(M$6&lt;$B68,0,IF(M$6=$B68,'Growth Engine'!M$10*'Macro &amp; Indexation'!M$19*gross_yield,L68*(1+'Macro &amp; Indexation'!M$11)))</f>
        <v>53480.695651875678</v>
      </c>
      <c r="N68" s="40">
        <f ca="1">IF(N$6&lt;$B68,0,IF(N$6=$B68,'Growth Engine'!N$10*'Macro &amp; Indexation'!N$19*gross_yield,M68*(1+'Macro &amp; Indexation'!N$11)))</f>
        <v>54817.713043172567</v>
      </c>
      <c r="O68" s="40">
        <f ca="1">IF(O$6&lt;$B68,0,IF(O$6=$B68,'Growth Engine'!O$10*'Macro &amp; Indexation'!O$19*gross_yield,N68*(1+'Macro &amp; Indexation'!O$11)))</f>
        <v>56188.155869251874</v>
      </c>
      <c r="P68" s="40">
        <f ca="1">IF(P$6&lt;$B68,0,IF(P$6=$B68,'Growth Engine'!P$10*'Macro &amp; Indexation'!P$19*gross_yield,O68*(1+'Macro &amp; Indexation'!P$11)))</f>
        <v>57592.859765983165</v>
      </c>
      <c r="Q68" s="40">
        <f ca="1">IF(Q$6&lt;$B68,0,IF(Q$6=$B68,'Growth Engine'!Q$10*'Macro &amp; Indexation'!Q$19*gross_yield,P68*(1+'Macro &amp; Indexation'!Q$11)))</f>
        <v>59032.68126013274</v>
      </c>
      <c r="R68" s="40">
        <f ca="1">IF(R$6&lt;$B68,0,IF(R$6=$B68,'Growth Engine'!R$10*'Macro &amp; Indexation'!R$19*gross_yield,Q68*(1+'Macro &amp; Indexation'!R$11)))</f>
        <v>60508.498291636053</v>
      </c>
      <c r="S68" s="40">
        <f ca="1">IF(S$6&lt;$B68,0,IF(S$6=$B68,'Growth Engine'!S$10*'Macro &amp; Indexation'!S$19*gross_yield,R68*(1+'Macro &amp; Indexation'!S$11)))</f>
        <v>62021.210748926947</v>
      </c>
      <c r="T68" s="40">
        <f ca="1">IF(T$6&lt;$B68,0,IF(T$6=$B68,'Growth Engine'!T$10*'Macro &amp; Indexation'!T$19*gross_yield,S68*(1+'Macro &amp; Indexation'!T$11)))</f>
        <v>63571.741017650114</v>
      </c>
      <c r="U68" s="40">
        <f ca="1">IF(U$6&lt;$B68,0,IF(U$6=$B68,'Growth Engine'!U$10*'Macro &amp; Indexation'!U$19*gross_yield,T68*(1+'Macro &amp; Indexation'!U$11)))</f>
        <v>65161.034543091359</v>
      </c>
      <c r="V68" s="40">
        <f ca="1">IF(V$6&lt;$B68,0,IF(V$6=$B68,'Growth Engine'!V$10*'Macro &amp; Indexation'!V$19*gross_yield,U68*(1+'Macro &amp; Indexation'!V$11)))</f>
        <v>66790.060406668636</v>
      </c>
      <c r="W68" s="40">
        <f ca="1">IF(W$6&lt;$B68,0,IF(W$6=$B68,'Growth Engine'!W$10*'Macro &amp; Indexation'!W$19*gross_yield,V68*(1+'Macro &amp; Indexation'!W$11)))</f>
        <v>68459.811916835344</v>
      </c>
      <c r="X68" s="40">
        <f ca="1">IF(X$6&lt;$B68,0,IF(X$6=$B68,'Growth Engine'!X$10*'Macro &amp; Indexation'!X$19*gross_yield,W68*(1+'Macro &amp; Indexation'!X$11)))</f>
        <v>70171.30721475622</v>
      </c>
      <c r="Y68" s="40">
        <f ca="1">IF(Y$6&lt;$B68,0,IF(Y$6=$B68,'Growth Engine'!Y$10*'Macro &amp; Indexation'!Y$19*gross_yield,X68*(1+'Macro &amp; Indexation'!Y$11)))</f>
        <v>71925.589895125115</v>
      </c>
      <c r="Z68" s="40">
        <f ca="1">IF(Z$6&lt;$B68,0,IF(Z$6=$B68,'Growth Engine'!Z$10*'Macro &amp; Indexation'!Z$19*gross_yield,Y68*(1+'Macro &amp; Indexation'!Z$11)))</f>
        <v>73723.72964250324</v>
      </c>
      <c r="AA68" s="40">
        <f ca="1">IF(AA$6&lt;$B68,0,IF(AA$6=$B68,'Growth Engine'!AA$10*'Macro &amp; Indexation'!AA$19*gross_yield,Z68*(1+'Macro &amp; Indexation'!AA$11)))</f>
        <v>75566.822883565808</v>
      </c>
      <c r="AB68" s="40">
        <f ca="1">IF(AB$6&lt;$B68,0,IF(AB$6=$B68,'Growth Engine'!AB$10*'Macro &amp; Indexation'!AB$19*gross_yield,AA68*(1+'Macro &amp; Indexation'!AB$11)))</f>
        <v>77455.993455654941</v>
      </c>
      <c r="AC68" s="40">
        <f ca="1">IF(AC$6&lt;$B68,0,IF(AC$6=$B68,'Growth Engine'!AC$10*'Macro &amp; Indexation'!AC$19*gross_yield,AB68*(1+'Macro &amp; Indexation'!AC$11)))</f>
        <v>79392.393292046312</v>
      </c>
      <c r="AD68" s="40">
        <f ca="1">IF(AD$6&lt;$B68,0,IF(AD$6=$B68,'Growth Engine'!AD$10*'Macro &amp; Indexation'!AD$19*gross_yield,AC68*(1+'Macro &amp; Indexation'!AD$11)))</f>
        <v>81377.203124347463</v>
      </c>
      <c r="AE68" s="40">
        <f ca="1">IF(AE$6&lt;$B68,0,IF(AE$6=$B68,'Growth Engine'!AE$10*'Macro &amp; Indexation'!AE$19*gross_yield,AD68*(1+'Macro &amp; Indexation'!AE$11)))</f>
        <v>83411.633202456142</v>
      </c>
      <c r="AF68" s="40">
        <f ca="1">IF(AF$6&lt;$B68,0,IF(AF$6=$B68,'Growth Engine'!AF$10*'Macro &amp; Indexation'!AF$19*gross_yield,AE68*(1+'Macro &amp; Indexation'!AF$11)))</f>
        <v>85496.924032517534</v>
      </c>
      <c r="AG68" s="40">
        <f ca="1">IF(AG$6&lt;$B68,0,IF(AG$6=$B68,'Growth Engine'!AG$10*'Macro &amp; Indexation'!AG$19*gross_yield,AF68*(1+'Macro &amp; Indexation'!AG$11)))</f>
        <v>87634.347133330462</v>
      </c>
      <c r="AH68" s="40">
        <f ca="1">IF(AH$6&lt;$B68,0,IF(AH$6=$B68,'Growth Engine'!AH$10*'Macro &amp; Indexation'!AH$19*gross_yield,AG68*(1+'Macro &amp; Indexation'!AH$11)))</f>
        <v>89825.20581166372</v>
      </c>
      <c r="AI68" s="40">
        <f ca="1">IF(AI$6&lt;$B68,0,IF(AI$6=$B68,'Growth Engine'!AI$10*'Macro &amp; Indexation'!AI$19*gross_yield,AH68*(1+'Macro &amp; Indexation'!AI$11)))</f>
        <v>92070.835956955299</v>
      </c>
      <c r="AJ68" s="40">
        <f ca="1">IF(AJ$6&lt;$B68,0,IF(AJ$6=$B68,'Growth Engine'!AJ$10*'Macro &amp; Indexation'!AJ$19*gross_yield,AI68*(1+'Macro &amp; Indexation'!AJ$11)))</f>
        <v>94372.606855879174</v>
      </c>
      <c r="AK68" s="40">
        <f ca="1">IF(AK$6&lt;$B68,0,IF(AK$6=$B68,'Growth Engine'!AK$10*'Macro &amp; Indexation'!AK$19*gross_yield,AJ68*(1+'Macro &amp; Indexation'!AK$11)))</f>
        <v>96731.922027276145</v>
      </c>
      <c r="AL68" s="40">
        <f ca="1">IF(AL$6&lt;$B68,0,IF(AL$6=$B68,'Growth Engine'!AL$10*'Macro &amp; Indexation'!AL$19*gross_yield,AK68*(1+'Macro &amp; Indexation'!AL$11)))</f>
        <v>99150.220077958045</v>
      </c>
      <c r="AM68" s="40">
        <f ca="1">IF(AM$6&lt;$B68,0,IF(AM$6=$B68,'Growth Engine'!AM$10*'Macro &amp; Indexation'!AM$19*gross_yield,AL68*(1+'Macro &amp; Indexation'!AM$11)))</f>
        <v>101628.97557990698</v>
      </c>
      <c r="AN68" s="40">
        <f ca="1">IF(AN$6&lt;$B68,0,IF(AN$6=$B68,'Growth Engine'!AN$10*'Macro &amp; Indexation'!AN$19*gross_yield,AM68*(1+'Macro &amp; Indexation'!AN$11)))</f>
        <v>104169.69996940465</v>
      </c>
      <c r="AO68" s="40">
        <f ca="1">IF(AO$6&lt;$B68,0,IF(AO$6=$B68,'Growth Engine'!AO$10*'Macro &amp; Indexation'!AO$19*gross_yield,AN68*(1+'Macro &amp; Indexation'!AO$11)))</f>
        <v>106773.94246863975</v>
      </c>
      <c r="AP68" s="40">
        <f ca="1">IF(AP$6&lt;$B68,0,IF(AP$6=$B68,'Growth Engine'!AP$10*'Macro &amp; Indexation'!AP$19*gross_yield,AO68*(1+'Macro &amp; Indexation'!AP$11)))</f>
        <v>109443.29103035574</v>
      </c>
      <c r="AQ68" s="40">
        <f ca="1">IF(AQ$6&lt;$B68,0,IF(AQ$6=$B68,'Growth Engine'!AQ$10*'Macro &amp; Indexation'!AQ$19*gross_yield,AP68*(1+'Macro &amp; Indexation'!AQ$11)))</f>
        <v>112179.37330611463</v>
      </c>
      <c r="AR68" s="40">
        <f ca="1">IF(AR$6&lt;$B68,0,IF(AR$6=$B68,'Growth Engine'!AR$10*'Macro &amp; Indexation'!AR$19*gross_yield,AQ68*(1+'Macro &amp; Indexation'!AR$11)))</f>
        <v>114983.85763876748</v>
      </c>
      <c r="AS68" s="40">
        <f ca="1">IF(AS$6&lt;$B68,0,IF(AS$6=$B68,'Growth Engine'!AS$10*'Macro &amp; Indexation'!AS$19*gross_yield,AR68*(1+'Macro &amp; Indexation'!AS$11)))</f>
        <v>117858.45407973666</v>
      </c>
      <c r="AT68" s="40">
        <f ca="1">IF(AT$6&lt;$B68,0,IF(AT$6=$B68,'Growth Engine'!AT$10*'Macro &amp; Indexation'!AT$19*gross_yield,AS68*(1+'Macro &amp; Indexation'!AT$11)))</f>
        <v>120804.91543173007</v>
      </c>
      <c r="AU68" s="40">
        <f ca="1">IF(AU$6&lt;$B68,0,IF(AU$6=$B68,'Growth Engine'!AU$10*'Macro &amp; Indexation'!AU$19*gross_yield,AT68*(1+'Macro &amp; Indexation'!AU$11)))</f>
        <v>123825.03831752331</v>
      </c>
      <c r="AV68" s="40">
        <f ca="1">IF(AV$6&lt;$B68,0,IF(AV$6=$B68,'Growth Engine'!AV$10*'Macro &amp; Indexation'!AV$19*gross_yield,AU68*(1+'Macro &amp; Indexation'!AV$11)))</f>
        <v>126920.66427546139</v>
      </c>
      <c r="AW68" s="40">
        <f ca="1">IF(AW$6&lt;$B68,0,IF(AW$6=$B68,'Growth Engine'!AW$10*'Macro &amp; Indexation'!AW$19*gross_yield,AV68*(1+'Macro &amp; Indexation'!AW$11)))</f>
        <v>130093.68088234791</v>
      </c>
      <c r="AX68" s="40">
        <f ca="1">IF(AX$6&lt;$B68,0,IF(AX$6=$B68,'Growth Engine'!AX$10*'Macro &amp; Indexation'!AX$19*gross_yield,AW68*(1+'Macro &amp; Indexation'!AX$11)))</f>
        <v>133346.02290440659</v>
      </c>
      <c r="AY68" s="40">
        <f ca="1">IF(AY$6&lt;$B68,0,IF(AY$6=$B68,'Growth Engine'!AY$10*'Macro &amp; Indexation'!AY$19*gross_yield,AX68*(1+'Macro &amp; Indexation'!AY$11)))</f>
        <v>136679.67347701674</v>
      </c>
      <c r="AZ68" s="40">
        <f ca="1">IF(AZ$6&lt;$B68,0,IF(AZ$6=$B68,'Growth Engine'!AZ$10*'Macro &amp; Indexation'!AZ$19*gross_yield,AY68*(1+'Macro &amp; Indexation'!AZ$11)))</f>
        <v>140096.66531394215</v>
      </c>
      <c r="BA68" s="40">
        <f ca="1">IF(BA$6&lt;$B68,0,IF(BA$6=$B68,'Growth Engine'!BA$10*'Macro &amp; Indexation'!BA$19*gross_yield,AZ68*(1+'Macro &amp; Indexation'!BA$11)))</f>
        <v>143599.08194679068</v>
      </c>
    </row>
    <row r="69" spans="1:53" outlineLevel="1" x14ac:dyDescent="0.3">
      <c r="A69" t="s">
        <v>140</v>
      </c>
      <c r="B69">
        <v>4</v>
      </c>
      <c r="D69" s="40">
        <f>IF(D$6&lt;$B69,0,IF(D$6=$B69,'Growth Engine'!D$10*'Macro &amp; Indexation'!D$19*gross_yield,C69*(1+'Macro &amp; Indexation'!D$11)))</f>
        <v>0</v>
      </c>
      <c r="E69" s="40">
        <f>IF(E$6&lt;$B69,0,IF(E$6=$B69,'Growth Engine'!E$10*'Macro &amp; Indexation'!E$19*gross_yield,D69*(1+'Macro &amp; Indexation'!E$11)))</f>
        <v>0</v>
      </c>
      <c r="F69" s="40">
        <f>IF(F$6&lt;$B69,0,IF(F$6=$B69,'Growth Engine'!F$10*'Macro &amp; Indexation'!F$19*gross_yield,E69*(1+'Macro &amp; Indexation'!F$11)))</f>
        <v>0</v>
      </c>
      <c r="G69" s="40">
        <f ca="1">IF(G$6&lt;$B69,0,IF(G$6=$B69,'Growth Engine'!G$10*'Macro &amp; Indexation'!G$19*gross_yield,F69*(1+'Macro &amp; Indexation'!G$11)))</f>
        <v>46566.150750000001</v>
      </c>
      <c r="H69" s="40">
        <f ca="1">IF(H$6&lt;$B69,0,IF(H$6=$B69,'Growth Engine'!H$10*'Macro &amp; Indexation'!H$19*gross_yield,G69*(1+'Macro &amp; Indexation'!H$11)))</f>
        <v>47730.304518749996</v>
      </c>
      <c r="I69" s="40">
        <f ca="1">IF(I$6&lt;$B69,0,IF(I$6=$B69,'Growth Engine'!I$10*'Macro &amp; Indexation'!I$19*gross_yield,H69*(1+'Macro &amp; Indexation'!I$11)))</f>
        <v>48923.56213171874</v>
      </c>
      <c r="J69" s="40">
        <f ca="1">IF(J$6&lt;$B69,0,IF(J$6=$B69,'Growth Engine'!J$10*'Macro &amp; Indexation'!J$19*gross_yield,I69*(1+'Macro &amp; Indexation'!J$11)))</f>
        <v>50146.651185011702</v>
      </c>
      <c r="K69" s="40">
        <f ca="1">IF(K$6&lt;$B69,0,IF(K$6=$B69,'Growth Engine'!K$10*'Macro &amp; Indexation'!K$19*gross_yield,J69*(1+'Macro &amp; Indexation'!K$11)))</f>
        <v>51400.317464636988</v>
      </c>
      <c r="L69" s="40">
        <f ca="1">IF(L$6&lt;$B69,0,IF(L$6=$B69,'Growth Engine'!L$10*'Macro &amp; Indexation'!L$19*gross_yield,K69*(1+'Macro &amp; Indexation'!L$11)))</f>
        <v>52685.325401252907</v>
      </c>
      <c r="M69" s="40">
        <f ca="1">IF(M$6&lt;$B69,0,IF(M$6=$B69,'Growth Engine'!M$10*'Macro &amp; Indexation'!M$19*gross_yield,L69*(1+'Macro &amp; Indexation'!M$11)))</f>
        <v>54002.458536284226</v>
      </c>
      <c r="N69" s="40">
        <f ca="1">IF(N$6&lt;$B69,0,IF(N$6=$B69,'Growth Engine'!N$10*'Macro &amp; Indexation'!N$19*gross_yield,M69*(1+'Macro &amp; Indexation'!N$11)))</f>
        <v>55352.519999691329</v>
      </c>
      <c r="O69" s="40">
        <f ca="1">IF(O$6&lt;$B69,0,IF(O$6=$B69,'Growth Engine'!O$10*'Macro &amp; Indexation'!O$19*gross_yield,N69*(1+'Macro &amp; Indexation'!O$11)))</f>
        <v>56736.332999683604</v>
      </c>
      <c r="P69" s="40">
        <f ca="1">IF(P$6&lt;$B69,0,IF(P$6=$B69,'Growth Engine'!P$10*'Macro &amp; Indexation'!P$19*gross_yield,O69*(1+'Macro &amp; Indexation'!P$11)))</f>
        <v>58154.741324675691</v>
      </c>
      <c r="Q69" s="40">
        <f ca="1">IF(Q$6&lt;$B69,0,IF(Q$6=$B69,'Growth Engine'!Q$10*'Macro &amp; Indexation'!Q$19*gross_yield,P69*(1+'Macro &amp; Indexation'!Q$11)))</f>
        <v>59608.60985779258</v>
      </c>
      <c r="R69" s="40">
        <f ca="1">IF(R$6&lt;$B69,0,IF(R$6=$B69,'Growth Engine'!R$10*'Macro &amp; Indexation'!R$19*gross_yield,Q69*(1+'Macro &amp; Indexation'!R$11)))</f>
        <v>61098.825104237389</v>
      </c>
      <c r="S69" s="40">
        <f ca="1">IF(S$6&lt;$B69,0,IF(S$6=$B69,'Growth Engine'!S$10*'Macro &amp; Indexation'!S$19*gross_yield,R69*(1+'Macro &amp; Indexation'!S$11)))</f>
        <v>62626.295731843318</v>
      </c>
      <c r="T69" s="40">
        <f ca="1">IF(T$6&lt;$B69,0,IF(T$6=$B69,'Growth Engine'!T$10*'Macro &amp; Indexation'!T$19*gross_yield,S69*(1+'Macro &amp; Indexation'!T$11)))</f>
        <v>64191.953125139393</v>
      </c>
      <c r="U69" s="40">
        <f ca="1">IF(U$6&lt;$B69,0,IF(U$6=$B69,'Growth Engine'!U$10*'Macro &amp; Indexation'!U$19*gross_yield,T69*(1+'Macro &amp; Indexation'!U$11)))</f>
        <v>65796.751953267871</v>
      </c>
      <c r="V69" s="40">
        <f ca="1">IF(V$6&lt;$B69,0,IF(V$6=$B69,'Growth Engine'!V$10*'Macro &amp; Indexation'!V$19*gross_yield,U69*(1+'Macro &amp; Indexation'!V$11)))</f>
        <v>67441.670752099555</v>
      </c>
      <c r="W69" s="40">
        <f ca="1">IF(W$6&lt;$B69,0,IF(W$6=$B69,'Growth Engine'!W$10*'Macro &amp; Indexation'!W$19*gross_yield,V69*(1+'Macro &amp; Indexation'!W$11)))</f>
        <v>69127.712520902045</v>
      </c>
      <c r="X69" s="40">
        <f ca="1">IF(X$6&lt;$B69,0,IF(X$6=$B69,'Growth Engine'!X$10*'Macro &amp; Indexation'!X$19*gross_yield,W69*(1+'Macro &amp; Indexation'!X$11)))</f>
        <v>70855.905333924587</v>
      </c>
      <c r="Y69" s="40">
        <f ca="1">IF(Y$6&lt;$B69,0,IF(Y$6=$B69,'Growth Engine'!Y$10*'Macro &amp; Indexation'!Y$19*gross_yield,X69*(1+'Macro &amp; Indexation'!Y$11)))</f>
        <v>72627.302967272699</v>
      </c>
      <c r="Z69" s="40">
        <f ca="1">IF(Z$6&lt;$B69,0,IF(Z$6=$B69,'Growth Engine'!Z$10*'Macro &amp; Indexation'!Z$19*gross_yield,Y69*(1+'Macro &amp; Indexation'!Z$11)))</f>
        <v>74442.985541454516</v>
      </c>
      <c r="AA69" s="40">
        <f ca="1">IF(AA$6&lt;$B69,0,IF(AA$6=$B69,'Growth Engine'!AA$10*'Macro &amp; Indexation'!AA$19*gross_yield,Z69*(1+'Macro &amp; Indexation'!AA$11)))</f>
        <v>76304.060179990876</v>
      </c>
      <c r="AB69" s="40">
        <f ca="1">IF(AB$6&lt;$B69,0,IF(AB$6=$B69,'Growth Engine'!AB$10*'Macro &amp; Indexation'!AB$19*gross_yield,AA69*(1+'Macro &amp; Indexation'!AB$11)))</f>
        <v>78211.661684490638</v>
      </c>
      <c r="AC69" s="40">
        <f ca="1">IF(AC$6&lt;$B69,0,IF(AC$6=$B69,'Growth Engine'!AC$10*'Macro &amp; Indexation'!AC$19*gross_yield,AB69*(1+'Macro &amp; Indexation'!AC$11)))</f>
        <v>80166.953226602898</v>
      </c>
      <c r="AD69" s="40">
        <f ca="1">IF(AD$6&lt;$B69,0,IF(AD$6=$B69,'Growth Engine'!AD$10*'Macro &amp; Indexation'!AD$19*gross_yield,AC69*(1+'Macro &amp; Indexation'!AD$11)))</f>
        <v>82171.127057267964</v>
      </c>
      <c r="AE69" s="40">
        <f ca="1">IF(AE$6&lt;$B69,0,IF(AE$6=$B69,'Growth Engine'!AE$10*'Macro &amp; Indexation'!AE$19*gross_yield,AD69*(1+'Macro &amp; Indexation'!AE$11)))</f>
        <v>84225.405233699654</v>
      </c>
      <c r="AF69" s="40">
        <f ca="1">IF(AF$6&lt;$B69,0,IF(AF$6=$B69,'Growth Engine'!AF$10*'Macro &amp; Indexation'!AF$19*gross_yield,AE69*(1+'Macro &amp; Indexation'!AF$11)))</f>
        <v>86331.040364542132</v>
      </c>
      <c r="AG69" s="40">
        <f ca="1">IF(AG$6&lt;$B69,0,IF(AG$6=$B69,'Growth Engine'!AG$10*'Macro &amp; Indexation'!AG$19*gross_yield,AF69*(1+'Macro &amp; Indexation'!AG$11)))</f>
        <v>88489.316373655674</v>
      </c>
      <c r="AH69" s="40">
        <f ca="1">IF(AH$6&lt;$B69,0,IF(AH$6=$B69,'Growth Engine'!AH$10*'Macro &amp; Indexation'!AH$19*gross_yield,AG69*(1+'Macro &amp; Indexation'!AH$11)))</f>
        <v>90701.549282997061</v>
      </c>
      <c r="AI69" s="40">
        <f ca="1">IF(AI$6&lt;$B69,0,IF(AI$6=$B69,'Growth Engine'!AI$10*'Macro &amp; Indexation'!AI$19*gross_yield,AH69*(1+'Macro &amp; Indexation'!AI$11)))</f>
        <v>92969.088015071975</v>
      </c>
      <c r="AJ69" s="40">
        <f ca="1">IF(AJ$6&lt;$B69,0,IF(AJ$6=$B69,'Growth Engine'!AJ$10*'Macro &amp; Indexation'!AJ$19*gross_yield,AI69*(1+'Macro &amp; Indexation'!AJ$11)))</f>
        <v>95293.315215448762</v>
      </c>
      <c r="AK69" s="40">
        <f ca="1">IF(AK$6&lt;$B69,0,IF(AK$6=$B69,'Growth Engine'!AK$10*'Macro &amp; Indexation'!AK$19*gross_yield,AJ69*(1+'Macro &amp; Indexation'!AK$11)))</f>
        <v>97675.648095834971</v>
      </c>
      <c r="AL69" s="40">
        <f ca="1">IF(AL$6&lt;$B69,0,IF(AL$6=$B69,'Growth Engine'!AL$10*'Macro &amp; Indexation'!AL$19*gross_yield,AK69*(1+'Macro &amp; Indexation'!AL$11)))</f>
        <v>100117.53929823084</v>
      </c>
      <c r="AM69" s="40">
        <f ca="1">IF(AM$6&lt;$B69,0,IF(AM$6=$B69,'Growth Engine'!AM$10*'Macro &amp; Indexation'!AM$19*gross_yield,AL69*(1+'Macro &amp; Indexation'!AM$11)))</f>
        <v>102620.4777806866</v>
      </c>
      <c r="AN69" s="40">
        <f ca="1">IF(AN$6&lt;$B69,0,IF(AN$6=$B69,'Growth Engine'!AN$10*'Macro &amp; Indexation'!AN$19*gross_yield,AM69*(1+'Macro &amp; Indexation'!AN$11)))</f>
        <v>105185.98972520376</v>
      </c>
      <c r="AO69" s="40">
        <f ca="1">IF(AO$6&lt;$B69,0,IF(AO$6=$B69,'Growth Engine'!AO$10*'Macro &amp; Indexation'!AO$19*gross_yield,AN69*(1+'Macro &amp; Indexation'!AO$11)))</f>
        <v>107815.63946833384</v>
      </c>
      <c r="AP69" s="40">
        <f ca="1">IF(AP$6&lt;$B69,0,IF(AP$6=$B69,'Growth Engine'!AP$10*'Macro &amp; Indexation'!AP$19*gross_yield,AO69*(1+'Macro &amp; Indexation'!AP$11)))</f>
        <v>110511.03045504219</v>
      </c>
      <c r="AQ69" s="40">
        <f ca="1">IF(AQ$6&lt;$B69,0,IF(AQ$6=$B69,'Growth Engine'!AQ$10*'Macro &amp; Indexation'!AQ$19*gross_yield,AP69*(1+'Macro &amp; Indexation'!AQ$11)))</f>
        <v>113273.80621641823</v>
      </c>
      <c r="AR69" s="40">
        <f ca="1">IF(AR$6&lt;$B69,0,IF(AR$6=$B69,'Growth Engine'!AR$10*'Macro &amp; Indexation'!AR$19*gross_yield,AQ69*(1+'Macro &amp; Indexation'!AR$11)))</f>
        <v>116105.65137182867</v>
      </c>
      <c r="AS69" s="40">
        <f ca="1">IF(AS$6&lt;$B69,0,IF(AS$6=$B69,'Growth Engine'!AS$10*'Macro &amp; Indexation'!AS$19*gross_yield,AR69*(1+'Macro &amp; Indexation'!AS$11)))</f>
        <v>119008.29265612438</v>
      </c>
      <c r="AT69" s="40">
        <f ca="1">IF(AT$6&lt;$B69,0,IF(AT$6=$B69,'Growth Engine'!AT$10*'Macro &amp; Indexation'!AT$19*gross_yield,AS69*(1+'Macro &amp; Indexation'!AT$11)))</f>
        <v>121983.49997252748</v>
      </c>
      <c r="AU69" s="40">
        <f ca="1">IF(AU$6&lt;$B69,0,IF(AU$6=$B69,'Growth Engine'!AU$10*'Macro &amp; Indexation'!AU$19*gross_yield,AT69*(1+'Macro &amp; Indexation'!AU$11)))</f>
        <v>125033.08747184066</v>
      </c>
      <c r="AV69" s="40">
        <f ca="1">IF(AV$6&lt;$B69,0,IF(AV$6=$B69,'Growth Engine'!AV$10*'Macro &amp; Indexation'!AV$19*gross_yield,AU69*(1+'Macro &amp; Indexation'!AV$11)))</f>
        <v>128158.91465863666</v>
      </c>
      <c r="AW69" s="40">
        <f ca="1">IF(AW$6&lt;$B69,0,IF(AW$6=$B69,'Growth Engine'!AW$10*'Macro &amp; Indexation'!AW$19*gross_yield,AV69*(1+'Macro &amp; Indexation'!AW$11)))</f>
        <v>131362.88752510256</v>
      </c>
      <c r="AX69" s="40">
        <f ca="1">IF(AX$6&lt;$B69,0,IF(AX$6=$B69,'Growth Engine'!AX$10*'Macro &amp; Indexation'!AX$19*gross_yield,AW69*(1+'Macro &amp; Indexation'!AX$11)))</f>
        <v>134646.95971323011</v>
      </c>
      <c r="AY69" s="40">
        <f ca="1">IF(AY$6&lt;$B69,0,IF(AY$6=$B69,'Growth Engine'!AY$10*'Macro &amp; Indexation'!AY$19*gross_yield,AX69*(1+'Macro &amp; Indexation'!AY$11)))</f>
        <v>138013.13370606085</v>
      </c>
      <c r="AZ69" s="40">
        <f ca="1">IF(AZ$6&lt;$B69,0,IF(AZ$6=$B69,'Growth Engine'!AZ$10*'Macro &amp; Indexation'!AZ$19*gross_yield,AY69*(1+'Macro &amp; Indexation'!AZ$11)))</f>
        <v>141463.46204871236</v>
      </c>
      <c r="BA69" s="40">
        <f ca="1">IF(BA$6&lt;$B69,0,IF(BA$6=$B69,'Growth Engine'!BA$10*'Macro &amp; Indexation'!BA$19*gross_yield,AZ69*(1+'Macro &amp; Indexation'!BA$11)))</f>
        <v>145000.04859993016</v>
      </c>
    </row>
    <row r="70" spans="1:53" outlineLevel="1" x14ac:dyDescent="0.3">
      <c r="A70" t="s">
        <v>141</v>
      </c>
      <c r="B70">
        <v>5</v>
      </c>
      <c r="D70" s="40">
        <f>IF(D$6&lt;$B70,0,IF(D$6=$B70,'Growth Engine'!D$10*'Macro &amp; Indexation'!D$19*gross_yield,C70*(1+'Macro &amp; Indexation'!D$11)))</f>
        <v>0</v>
      </c>
      <c r="E70" s="40">
        <f>IF(E$6&lt;$B70,0,IF(E$6=$B70,'Growth Engine'!E$10*'Macro &amp; Indexation'!E$19*gross_yield,D70*(1+'Macro &amp; Indexation'!E$11)))</f>
        <v>0</v>
      </c>
      <c r="F70" s="40">
        <f>IF(F$6&lt;$B70,0,IF(F$6=$B70,'Growth Engine'!F$10*'Macro &amp; Indexation'!F$19*gross_yield,E70*(1+'Macro &amp; Indexation'!F$11)))</f>
        <v>0</v>
      </c>
      <c r="G70" s="40">
        <f>IF(G$6&lt;$B70,0,IF(G$6=$B70,'Growth Engine'!G$10*'Macro &amp; Indexation'!G$19*gross_yield,F70*(1+'Macro &amp; Indexation'!G$11)))</f>
        <v>0</v>
      </c>
      <c r="H70" s="40">
        <f ca="1">IF(H$6&lt;$B70,0,IF(H$6=$B70,'Growth Engine'!H$10*'Macro &amp; Indexation'!H$19*gross_yield,G70*(1+'Macro &amp; Indexation'!H$11)))</f>
        <v>48195.966026249997</v>
      </c>
      <c r="I70" s="40">
        <f ca="1">IF(I$6&lt;$B70,0,IF(I$6=$B70,'Growth Engine'!I$10*'Macro &amp; Indexation'!I$19*gross_yield,H70*(1+'Macro &amp; Indexation'!I$11)))</f>
        <v>49400.865176906242</v>
      </c>
      <c r="J70" s="40">
        <f ca="1">IF(J$6&lt;$B70,0,IF(J$6=$B70,'Growth Engine'!J$10*'Macro &amp; Indexation'!J$19*gross_yield,I70*(1+'Macro &amp; Indexation'!J$11)))</f>
        <v>50635.88680632889</v>
      </c>
      <c r="K70" s="40">
        <f ca="1">IF(K$6&lt;$B70,0,IF(K$6=$B70,'Growth Engine'!K$10*'Macro &amp; Indexation'!K$19*gross_yield,J70*(1+'Macro &amp; Indexation'!K$11)))</f>
        <v>51901.78397648711</v>
      </c>
      <c r="L70" s="40">
        <f ca="1">IF(L$6&lt;$B70,0,IF(L$6=$B70,'Growth Engine'!L$10*'Macro &amp; Indexation'!L$19*gross_yield,K70*(1+'Macro &amp; Indexation'!L$11)))</f>
        <v>53199.328575899286</v>
      </c>
      <c r="M70" s="40">
        <f ca="1">IF(M$6&lt;$B70,0,IF(M$6=$B70,'Growth Engine'!M$10*'Macro &amp; Indexation'!M$19*gross_yield,L70*(1+'Macro &amp; Indexation'!M$11)))</f>
        <v>54529.311790296764</v>
      </c>
      <c r="N70" s="40">
        <f ca="1">IF(N$6&lt;$B70,0,IF(N$6=$B70,'Growth Engine'!N$10*'Macro &amp; Indexation'!N$19*gross_yield,M70*(1+'Macro &amp; Indexation'!N$11)))</f>
        <v>55892.54458505418</v>
      </c>
      <c r="O70" s="40">
        <f ca="1">IF(O$6&lt;$B70,0,IF(O$6=$B70,'Growth Engine'!O$10*'Macro &amp; Indexation'!O$19*gross_yield,N70*(1+'Macro &amp; Indexation'!O$11)))</f>
        <v>57289.85819968053</v>
      </c>
      <c r="P70" s="40">
        <f ca="1">IF(P$6&lt;$B70,0,IF(P$6=$B70,'Growth Engine'!P$10*'Macro &amp; Indexation'!P$19*gross_yield,O70*(1+'Macro &amp; Indexation'!P$11)))</f>
        <v>58722.104654672541</v>
      </c>
      <c r="Q70" s="40">
        <f ca="1">IF(Q$6&lt;$B70,0,IF(Q$6=$B70,'Growth Engine'!Q$10*'Macro &amp; Indexation'!Q$19*gross_yield,P70*(1+'Macro &amp; Indexation'!Q$11)))</f>
        <v>60190.157271039352</v>
      </c>
      <c r="R70" s="40">
        <f ca="1">IF(R$6&lt;$B70,0,IF(R$6=$B70,'Growth Engine'!R$10*'Macro &amp; Indexation'!R$19*gross_yield,Q70*(1+'Macro &amp; Indexation'!R$11)))</f>
        <v>61694.911202815332</v>
      </c>
      <c r="S70" s="40">
        <f ca="1">IF(S$6&lt;$B70,0,IF(S$6=$B70,'Growth Engine'!S$10*'Macro &amp; Indexation'!S$19*gross_yield,R70*(1+'Macro &amp; Indexation'!S$11)))</f>
        <v>63237.28398288571</v>
      </c>
      <c r="T70" s="40">
        <f ca="1">IF(T$6&lt;$B70,0,IF(T$6=$B70,'Growth Engine'!T$10*'Macro &amp; Indexation'!T$19*gross_yield,S70*(1+'Macro &amp; Indexation'!T$11)))</f>
        <v>64818.216082457846</v>
      </c>
      <c r="U70" s="40">
        <f ca="1">IF(U$6&lt;$B70,0,IF(U$6=$B70,'Growth Engine'!U$10*'Macro &amp; Indexation'!U$19*gross_yield,T70*(1+'Macro &amp; Indexation'!U$11)))</f>
        <v>66438.671484519291</v>
      </c>
      <c r="V70" s="40">
        <f ca="1">IF(V$6&lt;$B70,0,IF(V$6=$B70,'Growth Engine'!V$10*'Macro &amp; Indexation'!V$19*gross_yield,U70*(1+'Macro &amp; Indexation'!V$11)))</f>
        <v>68099.63827163227</v>
      </c>
      <c r="W70" s="40">
        <f ca="1">IF(W$6&lt;$B70,0,IF(W$6=$B70,'Growth Engine'!W$10*'Macro &amp; Indexation'!W$19*gross_yield,V70*(1+'Macro &amp; Indexation'!W$11)))</f>
        <v>69802.129228423073</v>
      </c>
      <c r="X70" s="40">
        <f ca="1">IF(X$6&lt;$B70,0,IF(X$6=$B70,'Growth Engine'!X$10*'Macro &amp; Indexation'!X$19*gross_yield,W70*(1+'Macro &amp; Indexation'!X$11)))</f>
        <v>71547.182459133648</v>
      </c>
      <c r="Y70" s="40">
        <f ca="1">IF(Y$6&lt;$B70,0,IF(Y$6=$B70,'Growth Engine'!Y$10*'Macro &amp; Indexation'!Y$19*gross_yield,X70*(1+'Macro &amp; Indexation'!Y$11)))</f>
        <v>73335.862020611981</v>
      </c>
      <c r="Z70" s="40">
        <f ca="1">IF(Z$6&lt;$B70,0,IF(Z$6=$B70,'Growth Engine'!Z$10*'Macro &amp; Indexation'!Z$19*gross_yield,Y70*(1+'Macro &amp; Indexation'!Z$11)))</f>
        <v>75169.25857112727</v>
      </c>
      <c r="AA70" s="40">
        <f ca="1">IF(AA$6&lt;$B70,0,IF(AA$6=$B70,'Growth Engine'!AA$10*'Macro &amp; Indexation'!AA$19*gross_yield,Z70*(1+'Macro &amp; Indexation'!AA$11)))</f>
        <v>77048.490035405441</v>
      </c>
      <c r="AB70" s="40">
        <f ca="1">IF(AB$6&lt;$B70,0,IF(AB$6=$B70,'Growth Engine'!AB$10*'Macro &amp; Indexation'!AB$19*gross_yield,AA70*(1+'Macro &amp; Indexation'!AB$11)))</f>
        <v>78974.702286290572</v>
      </c>
      <c r="AC70" s="40">
        <f ca="1">IF(AC$6&lt;$B70,0,IF(AC$6=$B70,'Growth Engine'!AC$10*'Macro &amp; Indexation'!AC$19*gross_yield,AB70*(1+'Macro &amp; Indexation'!AC$11)))</f>
        <v>80949.069843447825</v>
      </c>
      <c r="AD70" s="40">
        <f ca="1">IF(AD$6&lt;$B70,0,IF(AD$6=$B70,'Growth Engine'!AD$10*'Macro &amp; Indexation'!AD$19*gross_yield,AC70*(1+'Macro &amp; Indexation'!AD$11)))</f>
        <v>82972.796589534017</v>
      </c>
      <c r="AE70" s="40">
        <f ca="1">IF(AE$6&lt;$B70,0,IF(AE$6=$B70,'Growth Engine'!AE$10*'Macro &amp; Indexation'!AE$19*gross_yield,AD70*(1+'Macro &amp; Indexation'!AE$11)))</f>
        <v>85047.116504272359</v>
      </c>
      <c r="AF70" s="40">
        <f ca="1">IF(AF$6&lt;$B70,0,IF(AF$6=$B70,'Growth Engine'!AF$10*'Macro &amp; Indexation'!AF$19*gross_yield,AE70*(1+'Macro &amp; Indexation'!AF$11)))</f>
        <v>87173.294416879158</v>
      </c>
      <c r="AG70" s="40">
        <f ca="1">IF(AG$6&lt;$B70,0,IF(AG$6=$B70,'Growth Engine'!AG$10*'Macro &amp; Indexation'!AG$19*gross_yield,AF70*(1+'Macro &amp; Indexation'!AG$11)))</f>
        <v>89352.626777301135</v>
      </c>
      <c r="AH70" s="40">
        <f ca="1">IF(AH$6&lt;$B70,0,IF(AH$6=$B70,'Growth Engine'!AH$10*'Macro &amp; Indexation'!AH$19*gross_yield,AG70*(1+'Macro &amp; Indexation'!AH$11)))</f>
        <v>91586.44244673365</v>
      </c>
      <c r="AI70" s="40">
        <f ca="1">IF(AI$6&lt;$B70,0,IF(AI$6=$B70,'Growth Engine'!AI$10*'Macro &amp; Indexation'!AI$19*gross_yield,AH70*(1+'Macro &amp; Indexation'!AI$11)))</f>
        <v>93876.103507901978</v>
      </c>
      <c r="AJ70" s="40">
        <f ca="1">IF(AJ$6&lt;$B70,0,IF(AJ$6=$B70,'Growth Engine'!AJ$10*'Macro &amp; Indexation'!AJ$19*gross_yield,AI70*(1+'Macro &amp; Indexation'!AJ$11)))</f>
        <v>96223.006095599514</v>
      </c>
      <c r="AK70" s="40">
        <f ca="1">IF(AK$6&lt;$B70,0,IF(AK$6=$B70,'Growth Engine'!AK$10*'Macro &amp; Indexation'!AK$19*gross_yield,AJ70*(1+'Macro &amp; Indexation'!AK$11)))</f>
        <v>98628.581247989496</v>
      </c>
      <c r="AL70" s="40">
        <f ca="1">IF(AL$6&lt;$B70,0,IF(AL$6=$B70,'Growth Engine'!AL$10*'Macro &amp; Indexation'!AL$19*gross_yield,AK70*(1+'Macro &amp; Indexation'!AL$11)))</f>
        <v>101094.29577918923</v>
      </c>
      <c r="AM70" s="40">
        <f ca="1">IF(AM$6&lt;$B70,0,IF(AM$6=$B70,'Growth Engine'!AM$10*'Macro &amp; Indexation'!AM$19*gross_yield,AL70*(1+'Macro &amp; Indexation'!AM$11)))</f>
        <v>103621.65317366895</v>
      </c>
      <c r="AN70" s="40">
        <f ca="1">IF(AN$6&lt;$B70,0,IF(AN$6=$B70,'Growth Engine'!AN$10*'Macro &amp; Indexation'!AN$19*gross_yield,AM70*(1+'Macro &amp; Indexation'!AN$11)))</f>
        <v>106212.19450301066</v>
      </c>
      <c r="AO70" s="40">
        <f ca="1">IF(AO$6&lt;$B70,0,IF(AO$6=$B70,'Growth Engine'!AO$10*'Macro &amp; Indexation'!AO$19*gross_yield,AN70*(1+'Macro &amp; Indexation'!AO$11)))</f>
        <v>108867.49936558591</v>
      </c>
      <c r="AP70" s="40">
        <f ca="1">IF(AP$6&lt;$B70,0,IF(AP$6=$B70,'Growth Engine'!AP$10*'Macro &amp; Indexation'!AP$19*gross_yield,AO70*(1+'Macro &amp; Indexation'!AP$11)))</f>
        <v>111589.18684972555</v>
      </c>
      <c r="AQ70" s="40">
        <f ca="1">IF(AQ$6&lt;$B70,0,IF(AQ$6=$B70,'Growth Engine'!AQ$10*'Macro &amp; Indexation'!AQ$19*gross_yield,AP70*(1+'Macro &amp; Indexation'!AQ$11)))</f>
        <v>114378.91652096868</v>
      </c>
      <c r="AR70" s="40">
        <f ca="1">IF(AR$6&lt;$B70,0,IF(AR$6=$B70,'Growth Engine'!AR$10*'Macro &amp; Indexation'!AR$19*gross_yield,AQ70*(1+'Macro &amp; Indexation'!AR$11)))</f>
        <v>117238.38943399288</v>
      </c>
      <c r="AS70" s="40">
        <f ca="1">IF(AS$6&lt;$B70,0,IF(AS$6=$B70,'Growth Engine'!AS$10*'Macro &amp; Indexation'!AS$19*gross_yield,AR70*(1+'Macro &amp; Indexation'!AS$11)))</f>
        <v>120169.3491698427</v>
      </c>
      <c r="AT70" s="40">
        <f ca="1">IF(AT$6&lt;$B70,0,IF(AT$6=$B70,'Growth Engine'!AT$10*'Macro &amp; Indexation'!AT$19*gross_yield,AS70*(1+'Macro &amp; Indexation'!AT$11)))</f>
        <v>123173.58289908875</v>
      </c>
      <c r="AU70" s="40">
        <f ca="1">IF(AU$6&lt;$B70,0,IF(AU$6=$B70,'Growth Engine'!AU$10*'Macro &amp; Indexation'!AU$19*gross_yield,AT70*(1+'Macro &amp; Indexation'!AU$11)))</f>
        <v>126252.92247156597</v>
      </c>
      <c r="AV70" s="40">
        <f ca="1">IF(AV$6&lt;$B70,0,IF(AV$6=$B70,'Growth Engine'!AV$10*'Macro &amp; Indexation'!AV$19*gross_yield,AU70*(1+'Macro &amp; Indexation'!AV$11)))</f>
        <v>129409.2455333551</v>
      </c>
      <c r="AW70" s="40">
        <f ca="1">IF(AW$6&lt;$B70,0,IF(AW$6=$B70,'Growth Engine'!AW$10*'Macro &amp; Indexation'!AW$19*gross_yield,AV70*(1+'Macro &amp; Indexation'!AW$11)))</f>
        <v>132644.47667168896</v>
      </c>
      <c r="AX70" s="40">
        <f ca="1">IF(AX$6&lt;$B70,0,IF(AX$6=$B70,'Growth Engine'!AX$10*'Macro &amp; Indexation'!AX$19*gross_yield,AW70*(1+'Macro &amp; Indexation'!AX$11)))</f>
        <v>135960.58858848116</v>
      </c>
      <c r="AY70" s="40">
        <f ca="1">IF(AY$6&lt;$B70,0,IF(AY$6=$B70,'Growth Engine'!AY$10*'Macro &amp; Indexation'!AY$19*gross_yield,AX70*(1+'Macro &amp; Indexation'!AY$11)))</f>
        <v>139359.60330319317</v>
      </c>
      <c r="AZ70" s="40">
        <f ca="1">IF(AZ$6&lt;$B70,0,IF(AZ$6=$B70,'Growth Engine'!AZ$10*'Macro &amp; Indexation'!AZ$19*gross_yield,AY70*(1+'Macro &amp; Indexation'!AZ$11)))</f>
        <v>142843.59338577298</v>
      </c>
      <c r="BA70" s="40">
        <f ca="1">IF(BA$6&lt;$B70,0,IF(BA$6=$B70,'Growth Engine'!BA$10*'Macro &amp; Indexation'!BA$19*gross_yield,AZ70*(1+'Macro &amp; Indexation'!BA$11)))</f>
        <v>146414.6832204173</v>
      </c>
    </row>
    <row r="71" spans="1:53" outlineLevel="1" x14ac:dyDescent="0.3">
      <c r="A71" t="s">
        <v>142</v>
      </c>
      <c r="B71">
        <v>6</v>
      </c>
      <c r="D71" s="40">
        <f>IF(D$6&lt;$B71,0,IF(D$6=$B71,'Growth Engine'!D$10*'Macro &amp; Indexation'!D$19*gross_yield,C71*(1+'Macro &amp; Indexation'!D$11)))</f>
        <v>0</v>
      </c>
      <c r="E71" s="40">
        <f>IF(E$6&lt;$B71,0,IF(E$6=$B71,'Growth Engine'!E$10*'Macro &amp; Indexation'!E$19*gross_yield,D71*(1+'Macro &amp; Indexation'!E$11)))</f>
        <v>0</v>
      </c>
      <c r="F71" s="40">
        <f>IF(F$6&lt;$B71,0,IF(F$6=$B71,'Growth Engine'!F$10*'Macro &amp; Indexation'!F$19*gross_yield,E71*(1+'Macro &amp; Indexation'!F$11)))</f>
        <v>0</v>
      </c>
      <c r="G71" s="40">
        <f>IF(G$6&lt;$B71,0,IF(G$6=$B71,'Growth Engine'!G$10*'Macro &amp; Indexation'!G$19*gross_yield,F71*(1+'Macro &amp; Indexation'!G$11)))</f>
        <v>0</v>
      </c>
      <c r="H71" s="40">
        <f>IF(H$6&lt;$B71,0,IF(H$6=$B71,'Growth Engine'!H$10*'Macro &amp; Indexation'!H$19*gross_yield,G71*(1+'Macro &amp; Indexation'!H$11)))</f>
        <v>0</v>
      </c>
      <c r="I71" s="40">
        <f ca="1">IF(I$6&lt;$B71,0,IF(I$6=$B71,'Growth Engine'!I$10*'Macro &amp; Indexation'!I$19*gross_yield,H71*(1+'Macro &amp; Indexation'!I$11)))</f>
        <v>49882.82483716873</v>
      </c>
      <c r="J71" s="40">
        <f ca="1">IF(J$6&lt;$B71,0,IF(J$6=$B71,'Growth Engine'!J$10*'Macro &amp; Indexation'!J$19*gross_yield,I71*(1+'Macro &amp; Indexation'!J$11)))</f>
        <v>51129.895458097941</v>
      </c>
      <c r="K71" s="40">
        <f ca="1">IF(K$6&lt;$B71,0,IF(K$6=$B71,'Growth Engine'!K$10*'Macro &amp; Indexation'!K$19*gross_yield,J71*(1+'Macro &amp; Indexation'!K$11)))</f>
        <v>52408.142844550384</v>
      </c>
      <c r="L71" s="40">
        <f ca="1">IF(L$6&lt;$B71,0,IF(L$6=$B71,'Growth Engine'!L$10*'Macro &amp; Indexation'!L$19*gross_yield,K71*(1+'Macro &amp; Indexation'!L$11)))</f>
        <v>53718.346415664142</v>
      </c>
      <c r="M71" s="40">
        <f ca="1">IF(M$6&lt;$B71,0,IF(M$6=$B71,'Growth Engine'!M$10*'Macro &amp; Indexation'!M$19*gross_yield,L71*(1+'Macro &amp; Indexation'!M$11)))</f>
        <v>55061.305076055738</v>
      </c>
      <c r="N71" s="40">
        <f ca="1">IF(N$6&lt;$B71,0,IF(N$6=$B71,'Growth Engine'!N$10*'Macro &amp; Indexation'!N$19*gross_yield,M71*(1+'Macro &amp; Indexation'!N$11)))</f>
        <v>56437.837702957127</v>
      </c>
      <c r="O71" s="40">
        <f ca="1">IF(O$6&lt;$B71,0,IF(O$6=$B71,'Growth Engine'!O$10*'Macro &amp; Indexation'!O$19*gross_yield,N71*(1+'Macro &amp; Indexation'!O$11)))</f>
        <v>57848.783645531053</v>
      </c>
      <c r="P71" s="40">
        <f ca="1">IF(P$6&lt;$B71,0,IF(P$6=$B71,'Growth Engine'!P$10*'Macro &amp; Indexation'!P$19*gross_yield,O71*(1+'Macro &amp; Indexation'!P$11)))</f>
        <v>59295.003236669327</v>
      </c>
      <c r="Q71" s="40">
        <f ca="1">IF(Q$6&lt;$B71,0,IF(Q$6=$B71,'Growth Engine'!Q$10*'Macro &amp; Indexation'!Q$19*gross_yield,P71*(1+'Macro &amp; Indexation'!Q$11)))</f>
        <v>60777.378317586052</v>
      </c>
      <c r="R71" s="40">
        <f ca="1">IF(R$6&lt;$B71,0,IF(R$6=$B71,'Growth Engine'!R$10*'Macro &amp; Indexation'!R$19*gross_yield,Q71*(1+'Macro &amp; Indexation'!R$11)))</f>
        <v>62296.812775525701</v>
      </c>
      <c r="S71" s="40">
        <f ca="1">IF(S$6&lt;$B71,0,IF(S$6=$B71,'Growth Engine'!S$10*'Macro &amp; Indexation'!S$19*gross_yield,R71*(1+'Macro &amp; Indexation'!S$11)))</f>
        <v>63854.233094913841</v>
      </c>
      <c r="T71" s="40">
        <f ca="1">IF(T$6&lt;$B71,0,IF(T$6=$B71,'Growth Engine'!T$10*'Macro &amp; Indexation'!T$19*gross_yield,S71*(1+'Macro &amp; Indexation'!T$11)))</f>
        <v>65450.588922286683</v>
      </c>
      <c r="U71" s="40">
        <f ca="1">IF(U$6&lt;$B71,0,IF(U$6=$B71,'Growth Engine'!U$10*'Macro &amp; Indexation'!U$19*gross_yield,T71*(1+'Macro &amp; Indexation'!U$11)))</f>
        <v>67086.853645343843</v>
      </c>
      <c r="V71" s="40">
        <f ca="1">IF(V$6&lt;$B71,0,IF(V$6=$B71,'Growth Engine'!V$10*'Macro &amp; Indexation'!V$19*gross_yield,U71*(1+'Macro &amp; Indexation'!V$11)))</f>
        <v>68764.024986477438</v>
      </c>
      <c r="W71" s="40">
        <f ca="1">IF(W$6&lt;$B71,0,IF(W$6=$B71,'Growth Engine'!W$10*'Macro &amp; Indexation'!W$19*gross_yield,V71*(1+'Macro &amp; Indexation'!W$11)))</f>
        <v>70483.125611139374</v>
      </c>
      <c r="X71" s="40">
        <f ca="1">IF(X$6&lt;$B71,0,IF(X$6=$B71,'Growth Engine'!X$10*'Macro &amp; Indexation'!X$19*gross_yield,W71*(1+'Macro &amp; Indexation'!X$11)))</f>
        <v>72245.203751417852</v>
      </c>
      <c r="Y71" s="40">
        <f ca="1">IF(Y$6&lt;$B71,0,IF(Y$6=$B71,'Growth Engine'!Y$10*'Macro &amp; Indexation'!Y$19*gross_yield,X71*(1+'Macro &amp; Indexation'!Y$11)))</f>
        <v>74051.333845203291</v>
      </c>
      <c r="Z71" s="40">
        <f ca="1">IF(Z$6&lt;$B71,0,IF(Z$6=$B71,'Growth Engine'!Z$10*'Macro &amp; Indexation'!Z$19*gross_yield,Y71*(1+'Macro &amp; Indexation'!Z$11)))</f>
        <v>75902.617191333367</v>
      </c>
      <c r="AA71" s="40">
        <f ca="1">IF(AA$6&lt;$B71,0,IF(AA$6=$B71,'Growth Engine'!AA$10*'Macro &amp; Indexation'!AA$19*gross_yield,Z71*(1+'Macro &amp; Indexation'!AA$11)))</f>
        <v>77800.182621116692</v>
      </c>
      <c r="AB71" s="40">
        <f ca="1">IF(AB$6&lt;$B71,0,IF(AB$6=$B71,'Growth Engine'!AB$10*'Macro &amp; Indexation'!AB$19*gross_yield,AA71*(1+'Macro &amp; Indexation'!AB$11)))</f>
        <v>79745.187186644602</v>
      </c>
      <c r="AC71" s="40">
        <f ca="1">IF(AC$6&lt;$B71,0,IF(AC$6=$B71,'Growth Engine'!AC$10*'Macro &amp; Indexation'!AC$19*gross_yield,AB71*(1+'Macro &amp; Indexation'!AC$11)))</f>
        <v>81738.816866310706</v>
      </c>
      <c r="AD71" s="40">
        <f ca="1">IF(AD$6&lt;$B71,0,IF(AD$6=$B71,'Growth Engine'!AD$10*'Macro &amp; Indexation'!AD$19*gross_yield,AC71*(1+'Macro &amp; Indexation'!AD$11)))</f>
        <v>83782.287287968473</v>
      </c>
      <c r="AE71" s="40">
        <f ca="1">IF(AE$6&lt;$B71,0,IF(AE$6=$B71,'Growth Engine'!AE$10*'Macro &amp; Indexation'!AE$19*gross_yield,AD71*(1+'Macro &amp; Indexation'!AE$11)))</f>
        <v>85876.844470167678</v>
      </c>
      <c r="AF71" s="40">
        <f ca="1">IF(AF$6&lt;$B71,0,IF(AF$6=$B71,'Growth Engine'!AF$10*'Macro &amp; Indexation'!AF$19*gross_yield,AE71*(1+'Macro &amp; Indexation'!AF$11)))</f>
        <v>88023.765581921863</v>
      </c>
      <c r="AG71" s="40">
        <f ca="1">IF(AG$6&lt;$B71,0,IF(AG$6=$B71,'Growth Engine'!AG$10*'Macro &amp; Indexation'!AG$19*gross_yield,AF71*(1+'Macro &amp; Indexation'!AG$11)))</f>
        <v>90224.359721469897</v>
      </c>
      <c r="AH71" s="40">
        <f ca="1">IF(AH$6&lt;$B71,0,IF(AH$6=$B71,'Growth Engine'!AH$10*'Macro &amp; Indexation'!AH$19*gross_yield,AG71*(1+'Macro &amp; Indexation'!AH$11)))</f>
        <v>92479.968714506642</v>
      </c>
      <c r="AI71" s="40">
        <f ca="1">IF(AI$6&lt;$B71,0,IF(AI$6=$B71,'Growth Engine'!AI$10*'Macro &amp; Indexation'!AI$19*gross_yield,AH71*(1+'Macro &amp; Indexation'!AI$11)))</f>
        <v>94791.967932369298</v>
      </c>
      <c r="AJ71" s="40">
        <f ca="1">IF(AJ$6&lt;$B71,0,IF(AJ$6=$B71,'Growth Engine'!AJ$10*'Macro &amp; Indexation'!AJ$19*gross_yield,AI71*(1+'Macro &amp; Indexation'!AJ$11)))</f>
        <v>97161.76713067852</v>
      </c>
      <c r="AK71" s="40">
        <f ca="1">IF(AK$6&lt;$B71,0,IF(AK$6=$B71,'Growth Engine'!AK$10*'Macro &amp; Indexation'!AK$19*gross_yield,AJ71*(1+'Macro &amp; Indexation'!AK$11)))</f>
        <v>99590.811308945471</v>
      </c>
      <c r="AL71" s="40">
        <f ca="1">IF(AL$6&lt;$B71,0,IF(AL$6=$B71,'Growth Engine'!AL$10*'Macro &amp; Indexation'!AL$19*gross_yield,AK71*(1+'Macro &amp; Indexation'!AL$11)))</f>
        <v>102080.58159166909</v>
      </c>
      <c r="AM71" s="40">
        <f ca="1">IF(AM$6&lt;$B71,0,IF(AM$6=$B71,'Growth Engine'!AM$10*'Macro &amp; Indexation'!AM$19*gross_yield,AL71*(1+'Macro &amp; Indexation'!AM$11)))</f>
        <v>104632.59613146081</v>
      </c>
      <c r="AN71" s="40">
        <f ca="1">IF(AN$6&lt;$B71,0,IF(AN$6=$B71,'Growth Engine'!AN$10*'Macro &amp; Indexation'!AN$19*gross_yield,AM71*(1+'Macro &amp; Indexation'!AN$11)))</f>
        <v>107248.41103474732</v>
      </c>
      <c r="AO71" s="40">
        <f ca="1">IF(AO$6&lt;$B71,0,IF(AO$6=$B71,'Growth Engine'!AO$10*'Macro &amp; Indexation'!AO$19*gross_yield,AN71*(1+'Macro &amp; Indexation'!AO$11)))</f>
        <v>109929.62131061598</v>
      </c>
      <c r="AP71" s="40">
        <f ca="1">IF(AP$6&lt;$B71,0,IF(AP$6=$B71,'Growth Engine'!AP$10*'Macro &amp; Indexation'!AP$19*gross_yield,AO71*(1+'Macro &amp; Indexation'!AP$11)))</f>
        <v>112677.86184338137</v>
      </c>
      <c r="AQ71" s="40">
        <f ca="1">IF(AQ$6&lt;$B71,0,IF(AQ$6=$B71,'Growth Engine'!AQ$10*'Macro &amp; Indexation'!AQ$19*gross_yield,AP71*(1+'Macro &amp; Indexation'!AQ$11)))</f>
        <v>115494.80838946589</v>
      </c>
      <c r="AR71" s="40">
        <f ca="1">IF(AR$6&lt;$B71,0,IF(AR$6=$B71,'Growth Engine'!AR$10*'Macro &amp; Indexation'!AR$19*gross_yield,AQ71*(1+'Macro &amp; Indexation'!AR$11)))</f>
        <v>118382.17859920253</v>
      </c>
      <c r="AS71" s="40">
        <f ca="1">IF(AS$6&lt;$B71,0,IF(AS$6=$B71,'Growth Engine'!AS$10*'Macro &amp; Indexation'!AS$19*gross_yield,AR71*(1+'Macro &amp; Indexation'!AS$11)))</f>
        <v>121341.73306418258</v>
      </c>
      <c r="AT71" s="40">
        <f ca="1">IF(AT$6&lt;$B71,0,IF(AT$6=$B71,'Growth Engine'!AT$10*'Macro &amp; Indexation'!AT$19*gross_yield,AS71*(1+'Macro &amp; Indexation'!AT$11)))</f>
        <v>124375.27639078714</v>
      </c>
      <c r="AU71" s="40">
        <f ca="1">IF(AU$6&lt;$B71,0,IF(AU$6=$B71,'Growth Engine'!AU$10*'Macro &amp; Indexation'!AU$19*gross_yield,AT71*(1+'Macro &amp; Indexation'!AU$11)))</f>
        <v>127484.65830055681</v>
      </c>
      <c r="AV71" s="40">
        <f ca="1">IF(AV$6&lt;$B71,0,IF(AV$6=$B71,'Growth Engine'!AV$10*'Macro &amp; Indexation'!AV$19*gross_yield,AU71*(1+'Macro &amp; Indexation'!AV$11)))</f>
        <v>130671.77475807072</v>
      </c>
      <c r="AW71" s="40">
        <f ca="1">IF(AW$6&lt;$B71,0,IF(AW$6=$B71,'Growth Engine'!AW$10*'Macro &amp; Indexation'!AW$19*gross_yield,AV71*(1+'Macro &amp; Indexation'!AW$11)))</f>
        <v>133938.56912702249</v>
      </c>
      <c r="AX71" s="40">
        <f ca="1">IF(AX$6&lt;$B71,0,IF(AX$6=$B71,'Growth Engine'!AX$10*'Macro &amp; Indexation'!AX$19*gross_yield,AW71*(1+'Macro &amp; Indexation'!AX$11)))</f>
        <v>137287.03335519804</v>
      </c>
      <c r="AY71" s="40">
        <f ca="1">IF(AY$6&lt;$B71,0,IF(AY$6=$B71,'Growth Engine'!AY$10*'Macro &amp; Indexation'!AY$19*gross_yield,AX71*(1+'Macro &amp; Indexation'!AY$11)))</f>
        <v>140719.20918907798</v>
      </c>
      <c r="AZ71" s="40">
        <f ca="1">IF(AZ$6&lt;$B71,0,IF(AZ$6=$B71,'Growth Engine'!AZ$10*'Macro &amp; Indexation'!AZ$19*gross_yield,AY71*(1+'Macro &amp; Indexation'!AZ$11)))</f>
        <v>144237.18941880492</v>
      </c>
      <c r="BA71" s="40">
        <f ca="1">IF(BA$6&lt;$B71,0,IF(BA$6=$B71,'Growth Engine'!BA$10*'Macro &amp; Indexation'!BA$19*gross_yield,AZ71*(1+'Macro &amp; Indexation'!BA$11)))</f>
        <v>147843.11915427502</v>
      </c>
    </row>
    <row r="72" spans="1:53" outlineLevel="1" x14ac:dyDescent="0.3">
      <c r="A72" t="s">
        <v>143</v>
      </c>
      <c r="B72">
        <v>7</v>
      </c>
      <c r="D72" s="40">
        <f>IF(D$6&lt;$B72,0,IF(D$6=$B72,'Growth Engine'!D$10*'Macro &amp; Indexation'!D$19*gross_yield,C72*(1+'Macro &amp; Indexation'!D$11)))</f>
        <v>0</v>
      </c>
      <c r="E72" s="40">
        <f>IF(E$6&lt;$B72,0,IF(E$6=$B72,'Growth Engine'!E$10*'Macro &amp; Indexation'!E$19*gross_yield,D72*(1+'Macro &amp; Indexation'!E$11)))</f>
        <v>0</v>
      </c>
      <c r="F72" s="40">
        <f>IF(F$6&lt;$B72,0,IF(F$6=$B72,'Growth Engine'!F$10*'Macro &amp; Indexation'!F$19*gross_yield,E72*(1+'Macro &amp; Indexation'!F$11)))</f>
        <v>0</v>
      </c>
      <c r="G72" s="40">
        <f>IF(G$6&lt;$B72,0,IF(G$6=$B72,'Growth Engine'!G$10*'Macro &amp; Indexation'!G$19*gross_yield,F72*(1+'Macro &amp; Indexation'!G$11)))</f>
        <v>0</v>
      </c>
      <c r="H72" s="40">
        <f>IF(H$6&lt;$B72,0,IF(H$6=$B72,'Growth Engine'!H$10*'Macro &amp; Indexation'!H$19*gross_yield,G72*(1+'Macro &amp; Indexation'!H$11)))</f>
        <v>0</v>
      </c>
      <c r="I72" s="40">
        <f>IF(I$6&lt;$B72,0,IF(I$6=$B72,'Growth Engine'!I$10*'Macro &amp; Indexation'!I$19*gross_yield,H72*(1+'Macro &amp; Indexation'!I$11)))</f>
        <v>0</v>
      </c>
      <c r="J72" s="40">
        <f ca="1">IF(J$6&lt;$B72,0,IF(J$6=$B72,'Growth Engine'!J$10*'Macro &amp; Indexation'!J$19*gross_yield,I72*(1+'Macro &amp; Indexation'!J$11)))</f>
        <v>51628.723706469631</v>
      </c>
      <c r="K72" s="40">
        <f ca="1">IF(K$6&lt;$B72,0,IF(K$6=$B72,'Growth Engine'!K$10*'Macro &amp; Indexation'!K$19*gross_yield,J72*(1+'Macro &amp; Indexation'!K$11)))</f>
        <v>52919.441799131368</v>
      </c>
      <c r="L72" s="40">
        <f ca="1">IF(L$6&lt;$B72,0,IF(L$6=$B72,'Growth Engine'!L$10*'Macro &amp; Indexation'!L$19*gross_yield,K72*(1+'Macro &amp; Indexation'!L$11)))</f>
        <v>54242.427844109647</v>
      </c>
      <c r="M72" s="40">
        <f ca="1">IF(M$6&lt;$B72,0,IF(M$6=$B72,'Growth Engine'!M$10*'Macro &amp; Indexation'!M$19*gross_yield,L72*(1+'Macro &amp; Indexation'!M$11)))</f>
        <v>55598.488540212384</v>
      </c>
      <c r="N72" s="40">
        <f ca="1">IF(N$6&lt;$B72,0,IF(N$6=$B72,'Growth Engine'!N$10*'Macro &amp; Indexation'!N$19*gross_yield,M72*(1+'Macro &amp; Indexation'!N$11)))</f>
        <v>56988.450753717691</v>
      </c>
      <c r="O72" s="40">
        <f ca="1">IF(O$6&lt;$B72,0,IF(O$6=$B72,'Growth Engine'!O$10*'Macro &amp; Indexation'!O$19*gross_yield,N72*(1+'Macro &amp; Indexation'!O$11)))</f>
        <v>58413.162022560631</v>
      </c>
      <c r="P72" s="40">
        <f ca="1">IF(P$6&lt;$B72,0,IF(P$6=$B72,'Growth Engine'!P$10*'Macro &amp; Indexation'!P$19*gross_yield,O72*(1+'Macro &amp; Indexation'!P$11)))</f>
        <v>59873.491073124642</v>
      </c>
      <c r="Q72" s="40">
        <f ca="1">IF(Q$6&lt;$B72,0,IF(Q$6=$B72,'Growth Engine'!Q$10*'Macro &amp; Indexation'!Q$19*gross_yield,P72*(1+'Macro &amp; Indexation'!Q$11)))</f>
        <v>61370.328349952753</v>
      </c>
      <c r="R72" s="40">
        <f ca="1">IF(R$6&lt;$B72,0,IF(R$6=$B72,'Growth Engine'!R$10*'Macro &amp; Indexation'!R$19*gross_yield,Q72*(1+'Macro &amp; Indexation'!R$11)))</f>
        <v>62904.586558701565</v>
      </c>
      <c r="S72" s="40">
        <f ca="1">IF(S$6&lt;$B72,0,IF(S$6=$B72,'Growth Engine'!S$10*'Macro &amp; Indexation'!S$19*gross_yield,R72*(1+'Macro &amp; Indexation'!S$11)))</f>
        <v>64477.2012226691</v>
      </c>
      <c r="T72" s="40">
        <f ca="1">IF(T$6&lt;$B72,0,IF(T$6=$B72,'Growth Engine'!T$10*'Macro &amp; Indexation'!T$19*gross_yield,S72*(1+'Macro &amp; Indexation'!T$11)))</f>
        <v>66089.131253235828</v>
      </c>
      <c r="U72" s="40">
        <f ca="1">IF(U$6&lt;$B72,0,IF(U$6=$B72,'Growth Engine'!U$10*'Macro &amp; Indexation'!U$19*gross_yield,T72*(1+'Macro &amp; Indexation'!U$11)))</f>
        <v>67741.359534566713</v>
      </c>
      <c r="V72" s="40">
        <f ca="1">IF(V$6&lt;$B72,0,IF(V$6=$B72,'Growth Engine'!V$10*'Macro &amp; Indexation'!V$19*gross_yield,U72*(1+'Macro &amp; Indexation'!V$11)))</f>
        <v>69434.89352293087</v>
      </c>
      <c r="W72" s="40">
        <f ca="1">IF(W$6&lt;$B72,0,IF(W$6=$B72,'Growth Engine'!W$10*'Macro &amp; Indexation'!W$19*gross_yield,V72*(1+'Macro &amp; Indexation'!W$11)))</f>
        <v>71170.76586100414</v>
      </c>
      <c r="X72" s="40">
        <f ca="1">IF(X$6&lt;$B72,0,IF(X$6=$B72,'Growth Engine'!X$10*'Macro &amp; Indexation'!X$19*gross_yield,W72*(1+'Macro &amp; Indexation'!X$11)))</f>
        <v>72950.035007529237</v>
      </c>
      <c r="Y72" s="40">
        <f ca="1">IF(Y$6&lt;$B72,0,IF(Y$6=$B72,'Growth Engine'!Y$10*'Macro &amp; Indexation'!Y$19*gross_yield,X72*(1+'Macro &amp; Indexation'!Y$11)))</f>
        <v>74773.785882717464</v>
      </c>
      <c r="Z72" s="40">
        <f ca="1">IF(Z$6&lt;$B72,0,IF(Z$6=$B72,'Growth Engine'!Z$10*'Macro &amp; Indexation'!Z$19*gross_yield,Y72*(1+'Macro &amp; Indexation'!Z$11)))</f>
        <v>76643.130529785398</v>
      </c>
      <c r="AA72" s="40">
        <f ca="1">IF(AA$6&lt;$B72,0,IF(AA$6=$B72,'Growth Engine'!AA$10*'Macro &amp; Indexation'!AA$19*gross_yield,Z72*(1+'Macro &amp; Indexation'!AA$11)))</f>
        <v>78559.208793030033</v>
      </c>
      <c r="AB72" s="40">
        <f ca="1">IF(AB$6&lt;$B72,0,IF(AB$6=$B72,'Growth Engine'!AB$10*'Macro &amp; Indexation'!AB$19*gross_yield,AA72*(1+'Macro &amp; Indexation'!AB$11)))</f>
        <v>80523.189012855772</v>
      </c>
      <c r="AC72" s="40">
        <f ca="1">IF(AC$6&lt;$B72,0,IF(AC$6=$B72,'Growth Engine'!AC$10*'Macro &amp; Indexation'!AC$19*gross_yield,AB72*(1+'Macro &amp; Indexation'!AC$11)))</f>
        <v>82536.268738177154</v>
      </c>
      <c r="AD72" s="40">
        <f ca="1">IF(AD$6&lt;$B72,0,IF(AD$6=$B72,'Growth Engine'!AD$10*'Macro &amp; Indexation'!AD$19*gross_yield,AC72*(1+'Macro &amp; Indexation'!AD$11)))</f>
        <v>84599.675456631579</v>
      </c>
      <c r="AE72" s="40">
        <f ca="1">IF(AE$6&lt;$B72,0,IF(AE$6=$B72,'Growth Engine'!AE$10*'Macro &amp; Indexation'!AE$19*gross_yield,AD72*(1+'Macro &amp; Indexation'!AE$11)))</f>
        <v>86714.66734304736</v>
      </c>
      <c r="AF72" s="40">
        <f ca="1">IF(AF$6&lt;$B72,0,IF(AF$6=$B72,'Growth Engine'!AF$10*'Macro &amp; Indexation'!AF$19*gross_yield,AE72*(1+'Macro &amp; Indexation'!AF$11)))</f>
        <v>88882.534026623543</v>
      </c>
      <c r="AG72" s="40">
        <f ca="1">IF(AG$6&lt;$B72,0,IF(AG$6=$B72,'Growth Engine'!AG$10*'Macro &amp; Indexation'!AG$19*gross_yield,AF72*(1+'Macro &amp; Indexation'!AG$11)))</f>
        <v>91104.59737728913</v>
      </c>
      <c r="AH72" s="40">
        <f ca="1">IF(AH$6&lt;$B72,0,IF(AH$6=$B72,'Growth Engine'!AH$10*'Macro &amp; Indexation'!AH$19*gross_yield,AG72*(1+'Macro &amp; Indexation'!AH$11)))</f>
        <v>93382.212311721349</v>
      </c>
      <c r="AI72" s="40">
        <f ca="1">IF(AI$6&lt;$B72,0,IF(AI$6=$B72,'Growth Engine'!AI$10*'Macro &amp; Indexation'!AI$19*gross_yield,AH72*(1+'Macro &amp; Indexation'!AI$11)))</f>
        <v>95716.767619514372</v>
      </c>
      <c r="AJ72" s="40">
        <f ca="1">IF(AJ$6&lt;$B72,0,IF(AJ$6=$B72,'Growth Engine'!AJ$10*'Macro &amp; Indexation'!AJ$19*gross_yield,AI72*(1+'Macro &amp; Indexation'!AJ$11)))</f>
        <v>98109.686810002226</v>
      </c>
      <c r="AK72" s="40">
        <f ca="1">IF(AK$6&lt;$B72,0,IF(AK$6=$B72,'Growth Engine'!AK$10*'Macro &amp; Indexation'!AK$19*gross_yield,AJ72*(1+'Macro &amp; Indexation'!AK$11)))</f>
        <v>100562.42898025227</v>
      </c>
      <c r="AL72" s="40">
        <f ca="1">IF(AL$6&lt;$B72,0,IF(AL$6=$B72,'Growth Engine'!AL$10*'Macro &amp; Indexation'!AL$19*gross_yield,AK72*(1+'Macro &amp; Indexation'!AL$11)))</f>
        <v>103076.48970475857</v>
      </c>
      <c r="AM72" s="40">
        <f ca="1">IF(AM$6&lt;$B72,0,IF(AM$6=$B72,'Growth Engine'!AM$10*'Macro &amp; Indexation'!AM$19*gross_yield,AL72*(1+'Macro &amp; Indexation'!AM$11)))</f>
        <v>105653.40194737753</v>
      </c>
      <c r="AN72" s="40">
        <f ca="1">IF(AN$6&lt;$B72,0,IF(AN$6=$B72,'Growth Engine'!AN$10*'Macro &amp; Indexation'!AN$19*gross_yield,AM72*(1+'Macro &amp; Indexation'!AN$11)))</f>
        <v>108294.73699606195</v>
      </c>
      <c r="AO72" s="40">
        <f ca="1">IF(AO$6&lt;$B72,0,IF(AO$6=$B72,'Growth Engine'!AO$10*'Macro &amp; Indexation'!AO$19*gross_yield,AN72*(1+'Macro &amp; Indexation'!AO$11)))</f>
        <v>111002.10542096349</v>
      </c>
      <c r="AP72" s="40">
        <f ca="1">IF(AP$6&lt;$B72,0,IF(AP$6=$B72,'Growth Engine'!AP$10*'Macro &amp; Indexation'!AP$19*gross_yield,AO72*(1+'Macro &amp; Indexation'!AP$11)))</f>
        <v>113777.15805648756</v>
      </c>
      <c r="AQ72" s="40">
        <f ca="1">IF(AQ$6&lt;$B72,0,IF(AQ$6=$B72,'Growth Engine'!AQ$10*'Macro &amp; Indexation'!AQ$19*gross_yield,AP72*(1+'Macro &amp; Indexation'!AQ$11)))</f>
        <v>116621.58700789974</v>
      </c>
      <c r="AR72" s="40">
        <f ca="1">IF(AR$6&lt;$B72,0,IF(AR$6=$B72,'Growth Engine'!AR$10*'Macro &amp; Indexation'!AR$19*gross_yield,AQ72*(1+'Macro &amp; Indexation'!AR$11)))</f>
        <v>119537.12668309722</v>
      </c>
      <c r="AS72" s="40">
        <f ca="1">IF(AS$6&lt;$B72,0,IF(AS$6=$B72,'Growth Engine'!AS$10*'Macro &amp; Indexation'!AS$19*gross_yield,AR72*(1+'Macro &amp; Indexation'!AS$11)))</f>
        <v>122525.55485017464</v>
      </c>
      <c r="AT72" s="40">
        <f ca="1">IF(AT$6&lt;$B72,0,IF(AT$6=$B72,'Growth Engine'!AT$10*'Macro &amp; Indexation'!AT$19*gross_yield,AS72*(1+'Macro &amp; Indexation'!AT$11)))</f>
        <v>125588.69372142899</v>
      </c>
      <c r="AU72" s="40">
        <f ca="1">IF(AU$6&lt;$B72,0,IF(AU$6=$B72,'Growth Engine'!AU$10*'Macro &amp; Indexation'!AU$19*gross_yield,AT72*(1+'Macro &amp; Indexation'!AU$11)))</f>
        <v>128728.4110644647</v>
      </c>
      <c r="AV72" s="40">
        <f ca="1">IF(AV$6&lt;$B72,0,IF(AV$6=$B72,'Growth Engine'!AV$10*'Macro &amp; Indexation'!AV$19*gross_yield,AU72*(1+'Macro &amp; Indexation'!AV$11)))</f>
        <v>131946.6213410763</v>
      </c>
      <c r="AW72" s="40">
        <f ca="1">IF(AW$6&lt;$B72,0,IF(AW$6=$B72,'Growth Engine'!AW$10*'Macro &amp; Indexation'!AW$19*gross_yield,AV72*(1+'Macro &amp; Indexation'!AW$11)))</f>
        <v>135245.28687460319</v>
      </c>
      <c r="AX72" s="40">
        <f ca="1">IF(AX$6&lt;$B72,0,IF(AX$6=$B72,'Growth Engine'!AX$10*'Macro &amp; Indexation'!AX$19*gross_yield,AW72*(1+'Macro &amp; Indexation'!AX$11)))</f>
        <v>138626.41904646825</v>
      </c>
      <c r="AY72" s="40">
        <f ca="1">IF(AY$6&lt;$B72,0,IF(AY$6=$B72,'Growth Engine'!AY$10*'Macro &amp; Indexation'!AY$19*gross_yield,AX72*(1+'Macro &amp; Indexation'!AY$11)))</f>
        <v>142092.07952262994</v>
      </c>
      <c r="AZ72" s="40">
        <f ca="1">IF(AZ$6&lt;$B72,0,IF(AZ$6=$B72,'Growth Engine'!AZ$10*'Macro &amp; Indexation'!AZ$19*gross_yield,AY72*(1+'Macro &amp; Indexation'!AZ$11)))</f>
        <v>145644.38151069568</v>
      </c>
      <c r="BA72" s="40">
        <f ca="1">IF(BA$6&lt;$B72,0,IF(BA$6=$B72,'Growth Engine'!BA$10*'Macro &amp; Indexation'!BA$19*gross_yield,AZ72*(1+'Macro &amp; Indexation'!BA$11)))</f>
        <v>149285.49104846307</v>
      </c>
    </row>
    <row r="73" spans="1:53" outlineLevel="1" x14ac:dyDescent="0.3">
      <c r="A73" t="s">
        <v>144</v>
      </c>
      <c r="B73">
        <v>8</v>
      </c>
      <c r="D73" s="40">
        <f>IF(D$6&lt;$B73,0,IF(D$6=$B73,'Growth Engine'!D$10*'Macro &amp; Indexation'!D$19*gross_yield,C73*(1+'Macro &amp; Indexation'!D$11)))</f>
        <v>0</v>
      </c>
      <c r="E73" s="40">
        <f>IF(E$6&lt;$B73,0,IF(E$6=$B73,'Growth Engine'!E$10*'Macro &amp; Indexation'!E$19*gross_yield,D73*(1+'Macro &amp; Indexation'!E$11)))</f>
        <v>0</v>
      </c>
      <c r="F73" s="40">
        <f>IF(F$6&lt;$B73,0,IF(F$6=$B73,'Growth Engine'!F$10*'Macro &amp; Indexation'!F$19*gross_yield,E73*(1+'Macro &amp; Indexation'!F$11)))</f>
        <v>0</v>
      </c>
      <c r="G73" s="40">
        <f>IF(G$6&lt;$B73,0,IF(G$6=$B73,'Growth Engine'!G$10*'Macro &amp; Indexation'!G$19*gross_yield,F73*(1+'Macro &amp; Indexation'!G$11)))</f>
        <v>0</v>
      </c>
      <c r="H73" s="40">
        <f>IF(H$6&lt;$B73,0,IF(H$6=$B73,'Growth Engine'!H$10*'Macro &amp; Indexation'!H$19*gross_yield,G73*(1+'Macro &amp; Indexation'!H$11)))</f>
        <v>0</v>
      </c>
      <c r="I73" s="40">
        <f>IF(I$6&lt;$B73,0,IF(I$6=$B73,'Growth Engine'!I$10*'Macro &amp; Indexation'!I$19*gross_yield,H73*(1+'Macro &amp; Indexation'!I$11)))</f>
        <v>0</v>
      </c>
      <c r="J73" s="40">
        <f>IF(J$6&lt;$B73,0,IF(J$6=$B73,'Growth Engine'!J$10*'Macro &amp; Indexation'!J$19*gross_yield,I73*(1+'Macro &amp; Indexation'!J$11)))</f>
        <v>0</v>
      </c>
      <c r="K73" s="40">
        <f ca="1">IF(K$6&lt;$B73,0,IF(K$6=$B73,'Growth Engine'!K$10*'Macro &amp; Indexation'!K$19*gross_yield,J73*(1+'Macro &amp; Indexation'!K$11)))</f>
        <v>53435.72903619607</v>
      </c>
      <c r="L73" s="40">
        <f ca="1">IF(L$6&lt;$B73,0,IF(L$6=$B73,'Growth Engine'!L$10*'Macro &amp; Indexation'!L$19*gross_yield,K73*(1+'Macro &amp; Indexation'!L$11)))</f>
        <v>54771.622262100966</v>
      </c>
      <c r="M73" s="40">
        <f ca="1">IF(M$6&lt;$B73,0,IF(M$6=$B73,'Growth Engine'!M$10*'Macro &amp; Indexation'!M$19*gross_yield,L73*(1+'Macro &amp; Indexation'!M$11)))</f>
        <v>56140.912818653487</v>
      </c>
      <c r="N73" s="40">
        <f ca="1">IF(N$6&lt;$B73,0,IF(N$6=$B73,'Growth Engine'!N$10*'Macro &amp; Indexation'!N$19*gross_yield,M73*(1+'Macro &amp; Indexation'!N$11)))</f>
        <v>57544.435639119816</v>
      </c>
      <c r="O73" s="40">
        <f ca="1">IF(O$6&lt;$B73,0,IF(O$6=$B73,'Growth Engine'!O$10*'Macro &amp; Indexation'!O$19*gross_yield,N73*(1+'Macro &amp; Indexation'!O$11)))</f>
        <v>58983.046530097803</v>
      </c>
      <c r="P73" s="40">
        <f ca="1">IF(P$6&lt;$B73,0,IF(P$6=$B73,'Growth Engine'!P$10*'Macro &amp; Indexation'!P$19*gross_yield,O73*(1+'Macro &amp; Indexation'!P$11)))</f>
        <v>60457.62269335024</v>
      </c>
      <c r="Q73" s="40">
        <f ca="1">IF(Q$6&lt;$B73,0,IF(Q$6=$B73,'Growth Engine'!Q$10*'Macro &amp; Indexation'!Q$19*gross_yield,P73*(1+'Macro &amp; Indexation'!Q$11)))</f>
        <v>61969.063260683994</v>
      </c>
      <c r="R73" s="40">
        <f ca="1">IF(R$6&lt;$B73,0,IF(R$6=$B73,'Growth Engine'!R$10*'Macro &amp; Indexation'!R$19*gross_yield,Q73*(1+'Macro &amp; Indexation'!R$11)))</f>
        <v>63518.289842201091</v>
      </c>
      <c r="S73" s="40">
        <f ca="1">IF(S$6&lt;$B73,0,IF(S$6=$B73,'Growth Engine'!S$10*'Macro &amp; Indexation'!S$19*gross_yield,R73*(1+'Macro &amp; Indexation'!S$11)))</f>
        <v>65106.24708825611</v>
      </c>
      <c r="T73" s="40">
        <f ca="1">IF(T$6&lt;$B73,0,IF(T$6=$B73,'Growth Engine'!T$10*'Macro &amp; Indexation'!T$19*gross_yield,S73*(1+'Macro &amp; Indexation'!T$11)))</f>
        <v>66733.903265462504</v>
      </c>
      <c r="U73" s="40">
        <f ca="1">IF(U$6&lt;$B73,0,IF(U$6=$B73,'Growth Engine'!U$10*'Macro &amp; Indexation'!U$19*gross_yield,T73*(1+'Macro &amp; Indexation'!U$11)))</f>
        <v>68402.250847099058</v>
      </c>
      <c r="V73" s="40">
        <f ca="1">IF(V$6&lt;$B73,0,IF(V$6=$B73,'Growth Engine'!V$10*'Macro &amp; Indexation'!V$19*gross_yield,U73*(1+'Macro &amp; Indexation'!V$11)))</f>
        <v>70112.307118276527</v>
      </c>
      <c r="W73" s="40">
        <f ca="1">IF(W$6&lt;$B73,0,IF(W$6=$B73,'Growth Engine'!W$10*'Macro &amp; Indexation'!W$19*gross_yield,V73*(1+'Macro &amp; Indexation'!W$11)))</f>
        <v>71865.114796233436</v>
      </c>
      <c r="X73" s="40">
        <f ca="1">IF(X$6&lt;$B73,0,IF(X$6=$B73,'Growth Engine'!X$10*'Macro &amp; Indexation'!X$19*gross_yield,W73*(1+'Macro &amp; Indexation'!X$11)))</f>
        <v>73661.742666139267</v>
      </c>
      <c r="Y73" s="40">
        <f ca="1">IF(Y$6&lt;$B73,0,IF(Y$6=$B73,'Growth Engine'!Y$10*'Macro &amp; Indexation'!Y$19*gross_yield,X73*(1+'Macro &amp; Indexation'!Y$11)))</f>
        <v>75503.286232792743</v>
      </c>
      <c r="Z73" s="40">
        <f ca="1">IF(Z$6&lt;$B73,0,IF(Z$6=$B73,'Growth Engine'!Z$10*'Macro &amp; Indexation'!Z$19*gross_yield,Y73*(1+'Macro &amp; Indexation'!Z$11)))</f>
        <v>77390.868388612551</v>
      </c>
      <c r="AA73" s="40">
        <f ca="1">IF(AA$6&lt;$B73,0,IF(AA$6=$B73,'Growth Engine'!AA$10*'Macro &amp; Indexation'!AA$19*gross_yield,Z73*(1+'Macro &amp; Indexation'!AA$11)))</f>
        <v>79325.640098327858</v>
      </c>
      <c r="AB73" s="40">
        <f ca="1">IF(AB$6&lt;$B73,0,IF(AB$6=$B73,'Growth Engine'!AB$10*'Macro &amp; Indexation'!AB$19*gross_yield,AA73*(1+'Macro &amp; Indexation'!AB$11)))</f>
        <v>81308.781100786044</v>
      </c>
      <c r="AC73" s="40">
        <f ca="1">IF(AC$6&lt;$B73,0,IF(AC$6=$B73,'Growth Engine'!AC$10*'Macro &amp; Indexation'!AC$19*gross_yield,AB73*(1+'Macro &amp; Indexation'!AC$11)))</f>
        <v>83341.500628305686</v>
      </c>
      <c r="AD73" s="40">
        <f ca="1">IF(AD$6&lt;$B73,0,IF(AD$6=$B73,'Growth Engine'!AD$10*'Macro &amp; Indexation'!AD$19*gross_yield,AC73*(1+'Macro &amp; Indexation'!AD$11)))</f>
        <v>85425.038144013321</v>
      </c>
      <c r="AE73" s="40">
        <f ca="1">IF(AE$6&lt;$B73,0,IF(AE$6=$B73,'Growth Engine'!AE$10*'Macro &amp; Indexation'!AE$19*gross_yield,AD73*(1+'Macro &amp; Indexation'!AE$11)))</f>
        <v>87560.66409761364</v>
      </c>
      <c r="AF73" s="40">
        <f ca="1">IF(AF$6&lt;$B73,0,IF(AF$6=$B73,'Growth Engine'!AF$10*'Macro &amp; Indexation'!AF$19*gross_yield,AE73*(1+'Macro &amp; Indexation'!AF$11)))</f>
        <v>89749.68070005397</v>
      </c>
      <c r="AG73" s="40">
        <f ca="1">IF(AG$6&lt;$B73,0,IF(AG$6=$B73,'Growth Engine'!AG$10*'Macro &amp; Indexation'!AG$19*gross_yield,AF73*(1+'Macro &amp; Indexation'!AG$11)))</f>
        <v>91993.42271755531</v>
      </c>
      <c r="AH73" s="40">
        <f ca="1">IF(AH$6&lt;$B73,0,IF(AH$6=$B73,'Growth Engine'!AH$10*'Macro &amp; Indexation'!AH$19*gross_yield,AG73*(1+'Macro &amp; Indexation'!AH$11)))</f>
        <v>94293.258285494187</v>
      </c>
      <c r="AI73" s="40">
        <f ca="1">IF(AI$6&lt;$B73,0,IF(AI$6=$B73,'Growth Engine'!AI$10*'Macro &amp; Indexation'!AI$19*gross_yield,AH73*(1+'Macro &amp; Indexation'!AI$11)))</f>
        <v>96650.589742631535</v>
      </c>
      <c r="AJ73" s="40">
        <f ca="1">IF(AJ$6&lt;$B73,0,IF(AJ$6=$B73,'Growth Engine'!AJ$10*'Macro &amp; Indexation'!AJ$19*gross_yield,AI73*(1+'Macro &amp; Indexation'!AJ$11)))</f>
        <v>99066.854486197321</v>
      </c>
      <c r="AK73" s="40">
        <f ca="1">IF(AK$6&lt;$B73,0,IF(AK$6=$B73,'Growth Engine'!AK$10*'Macro &amp; Indexation'!AK$19*gross_yield,AJ73*(1+'Macro &amp; Indexation'!AK$11)))</f>
        <v>101543.52584835225</v>
      </c>
      <c r="AL73" s="40">
        <f ca="1">IF(AL$6&lt;$B73,0,IF(AL$6=$B73,'Growth Engine'!AL$10*'Macro &amp; Indexation'!AL$19*gross_yield,AK73*(1+'Macro &amp; Indexation'!AL$11)))</f>
        <v>104082.11399456105</v>
      </c>
      <c r="AM73" s="40">
        <f ca="1">IF(AM$6&lt;$B73,0,IF(AM$6=$B73,'Growth Engine'!AM$10*'Macro &amp; Indexation'!AM$19*gross_yield,AL73*(1+'Macro &amp; Indexation'!AM$11)))</f>
        <v>106684.16684442507</v>
      </c>
      <c r="AN73" s="40">
        <f ca="1">IF(AN$6&lt;$B73,0,IF(AN$6=$B73,'Growth Engine'!AN$10*'Macro &amp; Indexation'!AN$19*gross_yield,AM73*(1+'Macro &amp; Indexation'!AN$11)))</f>
        <v>109351.27101553569</v>
      </c>
      <c r="AO73" s="40">
        <f ca="1">IF(AO$6&lt;$B73,0,IF(AO$6=$B73,'Growth Engine'!AO$10*'Macro &amp; Indexation'!AO$19*gross_yield,AN73*(1+'Macro &amp; Indexation'!AO$11)))</f>
        <v>112085.05279092408</v>
      </c>
      <c r="AP73" s="40">
        <f ca="1">IF(AP$6&lt;$B73,0,IF(AP$6=$B73,'Growth Engine'!AP$10*'Macro &amp; Indexation'!AP$19*gross_yield,AO73*(1+'Macro &amp; Indexation'!AP$11)))</f>
        <v>114887.17911069717</v>
      </c>
      <c r="AQ73" s="40">
        <f ca="1">IF(AQ$6&lt;$B73,0,IF(AQ$6=$B73,'Growth Engine'!AQ$10*'Macro &amp; Indexation'!AQ$19*gross_yield,AP73*(1+'Macro &amp; Indexation'!AQ$11)))</f>
        <v>117759.35858846459</v>
      </c>
      <c r="AR73" s="40">
        <f ca="1">IF(AR$6&lt;$B73,0,IF(AR$6=$B73,'Growth Engine'!AR$10*'Macro &amp; Indexation'!AR$19*gross_yield,AQ73*(1+'Macro &amp; Indexation'!AR$11)))</f>
        <v>120703.34255317619</v>
      </c>
      <c r="AS73" s="40">
        <f ca="1">IF(AS$6&lt;$B73,0,IF(AS$6=$B73,'Growth Engine'!AS$10*'Macro &amp; Indexation'!AS$19*gross_yield,AR73*(1+'Macro &amp; Indexation'!AS$11)))</f>
        <v>123720.92611700558</v>
      </c>
      <c r="AT73" s="40">
        <f ca="1">IF(AT$6&lt;$B73,0,IF(AT$6=$B73,'Growth Engine'!AT$10*'Macro &amp; Indexation'!AT$19*gross_yield,AS73*(1+'Macro &amp; Indexation'!AT$11)))</f>
        <v>126813.94926993072</v>
      </c>
      <c r="AU73" s="40">
        <f ca="1">IF(AU$6&lt;$B73,0,IF(AU$6=$B73,'Growth Engine'!AU$10*'Macro &amp; Indexation'!AU$19*gross_yield,AT73*(1+'Macro &amp; Indexation'!AU$11)))</f>
        <v>129984.29800167897</v>
      </c>
      <c r="AV73" s="40">
        <f ca="1">IF(AV$6&lt;$B73,0,IF(AV$6=$B73,'Growth Engine'!AV$10*'Macro &amp; Indexation'!AV$19*gross_yield,AU73*(1+'Macro &amp; Indexation'!AV$11)))</f>
        <v>133233.90545172093</v>
      </c>
      <c r="AW73" s="40">
        <f ca="1">IF(AW$6&lt;$B73,0,IF(AW$6=$B73,'Growth Engine'!AW$10*'Macro &amp; Indexation'!AW$19*gross_yield,AV73*(1+'Macro &amp; Indexation'!AW$11)))</f>
        <v>136564.75308801394</v>
      </c>
      <c r="AX73" s="40">
        <f ca="1">IF(AX$6&lt;$B73,0,IF(AX$6=$B73,'Growth Engine'!AX$10*'Macro &amp; Indexation'!AX$19*gross_yield,AW73*(1+'Macro &amp; Indexation'!AX$11)))</f>
        <v>139978.87191521429</v>
      </c>
      <c r="AY73" s="40">
        <f ca="1">IF(AY$6&lt;$B73,0,IF(AY$6=$B73,'Growth Engine'!AY$10*'Macro &amp; Indexation'!AY$19*gross_yield,AX73*(1+'Macro &amp; Indexation'!AY$11)))</f>
        <v>143478.34371309463</v>
      </c>
      <c r="AZ73" s="40">
        <f ca="1">IF(AZ$6&lt;$B73,0,IF(AZ$6=$B73,'Growth Engine'!AZ$10*'Macro &amp; Indexation'!AZ$19*gross_yield,AY73*(1+'Macro &amp; Indexation'!AZ$11)))</f>
        <v>147065.30230592197</v>
      </c>
      <c r="BA73" s="40">
        <f ca="1">IF(BA$6&lt;$B73,0,IF(BA$6=$B73,'Growth Engine'!BA$10*'Macro &amp; Indexation'!BA$19*gross_yield,AZ73*(1+'Macro &amp; Indexation'!BA$11)))</f>
        <v>150741.93486357</v>
      </c>
    </row>
    <row r="74" spans="1:53" outlineLevel="1" x14ac:dyDescent="0.3">
      <c r="A74" t="s">
        <v>145</v>
      </c>
      <c r="B74">
        <v>9</v>
      </c>
      <c r="D74" s="40">
        <f>IF(D$6&lt;$B74,0,IF(D$6=$B74,'Growth Engine'!D$10*'Macro &amp; Indexation'!D$19*gross_yield,C74*(1+'Macro &amp; Indexation'!D$11)))</f>
        <v>0</v>
      </c>
      <c r="E74" s="40">
        <f>IF(E$6&lt;$B74,0,IF(E$6=$B74,'Growth Engine'!E$10*'Macro &amp; Indexation'!E$19*gross_yield,D74*(1+'Macro &amp; Indexation'!E$11)))</f>
        <v>0</v>
      </c>
      <c r="F74" s="40">
        <f>IF(F$6&lt;$B74,0,IF(F$6=$B74,'Growth Engine'!F$10*'Macro &amp; Indexation'!F$19*gross_yield,E74*(1+'Macro &amp; Indexation'!F$11)))</f>
        <v>0</v>
      </c>
      <c r="G74" s="40">
        <f>IF(G$6&lt;$B74,0,IF(G$6=$B74,'Growth Engine'!G$10*'Macro &amp; Indexation'!G$19*gross_yield,F74*(1+'Macro &amp; Indexation'!G$11)))</f>
        <v>0</v>
      </c>
      <c r="H74" s="40">
        <f>IF(H$6&lt;$B74,0,IF(H$6=$B74,'Growth Engine'!H$10*'Macro &amp; Indexation'!H$19*gross_yield,G74*(1+'Macro &amp; Indexation'!H$11)))</f>
        <v>0</v>
      </c>
      <c r="I74" s="40">
        <f>IF(I$6&lt;$B74,0,IF(I$6=$B74,'Growth Engine'!I$10*'Macro &amp; Indexation'!I$19*gross_yield,H74*(1+'Macro &amp; Indexation'!I$11)))</f>
        <v>0</v>
      </c>
      <c r="J74" s="40">
        <f>IF(J$6&lt;$B74,0,IF(J$6=$B74,'Growth Engine'!J$10*'Macro &amp; Indexation'!J$19*gross_yield,I74*(1+'Macro &amp; Indexation'!J$11)))</f>
        <v>0</v>
      </c>
      <c r="K74" s="40">
        <f>IF(K$6&lt;$B74,0,IF(K$6=$B74,'Growth Engine'!K$10*'Macro &amp; Indexation'!K$19*gross_yield,J74*(1+'Macro &amp; Indexation'!K$11)))</f>
        <v>0</v>
      </c>
      <c r="L74" s="40">
        <f ca="1">IF(L$6&lt;$B74,0,IF(L$6=$B74,'Growth Engine'!L$10*'Macro &amp; Indexation'!L$19*gross_yield,K74*(1+'Macro &amp; Indexation'!L$11)))</f>
        <v>55305.979552462923</v>
      </c>
      <c r="M74" s="40">
        <f ca="1">IF(M$6&lt;$B74,0,IF(M$6=$B74,'Growth Engine'!M$10*'Macro &amp; Indexation'!M$19*gross_yield,L74*(1+'Macro &amp; Indexation'!M$11)))</f>
        <v>56688.629041274493</v>
      </c>
      <c r="N74" s="40">
        <f ca="1">IF(N$6&lt;$B74,0,IF(N$6=$B74,'Growth Engine'!N$10*'Macro &amp; Indexation'!N$19*gross_yield,M74*(1+'Macro &amp; Indexation'!N$11)))</f>
        <v>58105.844767306349</v>
      </c>
      <c r="O74" s="40">
        <f ca="1">IF(O$6&lt;$B74,0,IF(O$6=$B74,'Growth Engine'!O$10*'Macro &amp; Indexation'!O$19*gross_yield,N74*(1+'Macro &amp; Indexation'!O$11)))</f>
        <v>59558.490886489002</v>
      </c>
      <c r="P74" s="40">
        <f ca="1">IF(P$6&lt;$B74,0,IF(P$6=$B74,'Growth Engine'!P$10*'Macro &amp; Indexation'!P$19*gross_yield,O74*(1+'Macro &amp; Indexation'!P$11)))</f>
        <v>61047.453158651224</v>
      </c>
      <c r="Q74" s="40">
        <f ca="1">IF(Q$6&lt;$B74,0,IF(Q$6=$B74,'Growth Engine'!Q$10*'Macro &amp; Indexation'!Q$19*gross_yield,P74*(1+'Macro &amp; Indexation'!Q$11)))</f>
        <v>62573.639487617496</v>
      </c>
      <c r="R74" s="40">
        <f ca="1">IF(R$6&lt;$B74,0,IF(R$6=$B74,'Growth Engine'!R$10*'Macro &amp; Indexation'!R$19*gross_yield,Q74*(1+'Macro &amp; Indexation'!R$11)))</f>
        <v>64137.980474807926</v>
      </c>
      <c r="S74" s="40">
        <f ca="1">IF(S$6&lt;$B74,0,IF(S$6=$B74,'Growth Engine'!S$10*'Macro &amp; Indexation'!S$19*gross_yield,R74*(1+'Macro &amp; Indexation'!S$11)))</f>
        <v>65741.429986678122</v>
      </c>
      <c r="T74" s="40">
        <f ca="1">IF(T$6&lt;$B74,0,IF(T$6=$B74,'Growth Engine'!T$10*'Macro &amp; Indexation'!T$19*gross_yield,S74*(1+'Macro &amp; Indexation'!T$11)))</f>
        <v>67384.965736345068</v>
      </c>
      <c r="U74" s="40">
        <f ca="1">IF(U$6&lt;$B74,0,IF(U$6=$B74,'Growth Engine'!U$10*'Macro &amp; Indexation'!U$19*gross_yield,T74*(1+'Macro &amp; Indexation'!U$11)))</f>
        <v>69069.589879753694</v>
      </c>
      <c r="V74" s="40">
        <f ca="1">IF(V$6&lt;$B74,0,IF(V$6=$B74,'Growth Engine'!V$10*'Macro &amp; Indexation'!V$19*gross_yield,U74*(1+'Macro &amp; Indexation'!V$11)))</f>
        <v>70796.329626747523</v>
      </c>
      <c r="W74" s="40">
        <f ca="1">IF(W$6&lt;$B74,0,IF(W$6=$B74,'Growth Engine'!W$10*'Macro &amp; Indexation'!W$19*gross_yield,V74*(1+'Macro &amp; Indexation'!W$11)))</f>
        <v>72566.237867416203</v>
      </c>
      <c r="X74" s="40">
        <f ca="1">IF(X$6&lt;$B74,0,IF(X$6=$B74,'Growth Engine'!X$10*'Macro &amp; Indexation'!X$19*gross_yield,W74*(1+'Macro &amp; Indexation'!X$11)))</f>
        <v>74380.393814101597</v>
      </c>
      <c r="Y74" s="40">
        <f ca="1">IF(Y$6&lt;$B74,0,IF(Y$6=$B74,'Growth Engine'!Y$10*'Macro &amp; Indexation'!Y$19*gross_yield,X74*(1+'Macro &amp; Indexation'!Y$11)))</f>
        <v>76239.903659454125</v>
      </c>
      <c r="Z74" s="40">
        <f ca="1">IF(Z$6&lt;$B74,0,IF(Z$6=$B74,'Growth Engine'!Z$10*'Macro &amp; Indexation'!Z$19*gross_yield,Y74*(1+'Macro &amp; Indexation'!Z$11)))</f>
        <v>78145.901250940471</v>
      </c>
      <c r="AA74" s="40">
        <f ca="1">IF(AA$6&lt;$B74,0,IF(AA$6=$B74,'Growth Engine'!AA$10*'Macro &amp; Indexation'!AA$19*gross_yield,Z74*(1+'Macro &amp; Indexation'!AA$11)))</f>
        <v>80099.548782213969</v>
      </c>
      <c r="AB74" s="40">
        <f ca="1">IF(AB$6&lt;$B74,0,IF(AB$6=$B74,'Growth Engine'!AB$10*'Macro &amp; Indexation'!AB$19*gross_yield,AA74*(1+'Macro &amp; Indexation'!AB$11)))</f>
        <v>82102.037501769315</v>
      </c>
      <c r="AC74" s="40">
        <f ca="1">IF(AC$6&lt;$B74,0,IF(AC$6=$B74,'Growth Engine'!AC$10*'Macro &amp; Indexation'!AC$19*gross_yield,AB74*(1+'Macro &amp; Indexation'!AC$11)))</f>
        <v>84154.588439313535</v>
      </c>
      <c r="AD74" s="40">
        <f ca="1">IF(AD$6&lt;$B74,0,IF(AD$6=$B74,'Growth Engine'!AD$10*'Macro &amp; Indexation'!AD$19*gross_yield,AC74*(1+'Macro &amp; Indexation'!AD$11)))</f>
        <v>86258.453150296365</v>
      </c>
      <c r="AE74" s="40">
        <f ca="1">IF(AE$6&lt;$B74,0,IF(AE$6=$B74,'Growth Engine'!AE$10*'Macro &amp; Indexation'!AE$19*gross_yield,AD74*(1+'Macro &amp; Indexation'!AE$11)))</f>
        <v>88414.914479053768</v>
      </c>
      <c r="AF74" s="40">
        <f ca="1">IF(AF$6&lt;$B74,0,IF(AF$6=$B74,'Growth Engine'!AF$10*'Macro &amp; Indexation'!AF$19*gross_yield,AE74*(1+'Macro &amp; Indexation'!AF$11)))</f>
        <v>90625.287341030111</v>
      </c>
      <c r="AG74" s="40">
        <f ca="1">IF(AG$6&lt;$B74,0,IF(AG$6=$B74,'Growth Engine'!AG$10*'Macro &amp; Indexation'!AG$19*gross_yield,AF74*(1+'Macro &amp; Indexation'!AG$11)))</f>
        <v>92890.919524555851</v>
      </c>
      <c r="AH74" s="40">
        <f ca="1">IF(AH$6&lt;$B74,0,IF(AH$6=$B74,'Growth Engine'!AH$10*'Macro &amp; Indexation'!AH$19*gross_yield,AG74*(1+'Macro &amp; Indexation'!AH$11)))</f>
        <v>95213.192512669746</v>
      </c>
      <c r="AI74" s="40">
        <f ca="1">IF(AI$6&lt;$B74,0,IF(AI$6=$B74,'Growth Engine'!AI$10*'Macro &amp; Indexation'!AI$19*gross_yield,AH74*(1+'Macro &amp; Indexation'!AI$11)))</f>
        <v>97593.522325486483</v>
      </c>
      <c r="AJ74" s="40">
        <f ca="1">IF(AJ$6&lt;$B74,0,IF(AJ$6=$B74,'Growth Engine'!AJ$10*'Macro &amp; Indexation'!AJ$19*gross_yield,AI74*(1+'Macro &amp; Indexation'!AJ$11)))</f>
        <v>100033.36038362364</v>
      </c>
      <c r="AK74" s="40">
        <f ca="1">IF(AK$6&lt;$B74,0,IF(AK$6=$B74,'Growth Engine'!AK$10*'Macro &amp; Indexation'!AK$19*gross_yield,AJ74*(1+'Macro &amp; Indexation'!AK$11)))</f>
        <v>102534.19439321423</v>
      </c>
      <c r="AL74" s="40">
        <f ca="1">IF(AL$6&lt;$B74,0,IF(AL$6=$B74,'Growth Engine'!AL$10*'Macro &amp; Indexation'!AL$19*gross_yield,AK74*(1+'Macro &amp; Indexation'!AL$11)))</f>
        <v>105097.54925304458</v>
      </c>
      <c r="AM74" s="40">
        <f ca="1">IF(AM$6&lt;$B74,0,IF(AM$6=$B74,'Growth Engine'!AM$10*'Macro &amp; Indexation'!AM$19*gross_yield,AL74*(1+'Macro &amp; Indexation'!AM$11)))</f>
        <v>107724.98798437069</v>
      </c>
      <c r="AN74" s="40">
        <f ca="1">IF(AN$6&lt;$B74,0,IF(AN$6=$B74,'Growth Engine'!AN$10*'Macro &amp; Indexation'!AN$19*gross_yield,AM74*(1+'Macro &amp; Indexation'!AN$11)))</f>
        <v>110418.11268397994</v>
      </c>
      <c r="AO74" s="40">
        <f ca="1">IF(AO$6&lt;$B74,0,IF(AO$6=$B74,'Growth Engine'!AO$10*'Macro &amp; Indexation'!AO$19*gross_yield,AN74*(1+'Macro &amp; Indexation'!AO$11)))</f>
        <v>113178.56550107943</v>
      </c>
      <c r="AP74" s="40">
        <f ca="1">IF(AP$6&lt;$B74,0,IF(AP$6=$B74,'Growth Engine'!AP$10*'Macro &amp; Indexation'!AP$19*gross_yield,AO74*(1+'Macro &amp; Indexation'!AP$11)))</f>
        <v>116008.0296386064</v>
      </c>
      <c r="AQ74" s="40">
        <f ca="1">IF(AQ$6&lt;$B74,0,IF(AQ$6=$B74,'Growth Engine'!AQ$10*'Macro &amp; Indexation'!AQ$19*gross_yield,AP74*(1+'Macro &amp; Indexation'!AQ$11)))</f>
        <v>118908.23037957156</v>
      </c>
      <c r="AR74" s="40">
        <f ca="1">IF(AR$6&lt;$B74,0,IF(AR$6=$B74,'Growth Engine'!AR$10*'Macro &amp; Indexation'!AR$19*gross_yield,AQ74*(1+'Macro &amp; Indexation'!AR$11)))</f>
        <v>121880.93613906084</v>
      </c>
      <c r="AS74" s="40">
        <f ca="1">IF(AS$6&lt;$B74,0,IF(AS$6=$B74,'Growth Engine'!AS$10*'Macro &amp; Indexation'!AS$19*gross_yield,AR74*(1+'Macro &amp; Indexation'!AS$11)))</f>
        <v>124927.95954253736</v>
      </c>
      <c r="AT74" s="40">
        <f ca="1">IF(AT$6&lt;$B74,0,IF(AT$6=$B74,'Growth Engine'!AT$10*'Macro &amp; Indexation'!AT$19*gross_yield,AS74*(1+'Macro &amp; Indexation'!AT$11)))</f>
        <v>128051.15853110078</v>
      </c>
      <c r="AU74" s="40">
        <f ca="1">IF(AU$6&lt;$B74,0,IF(AU$6=$B74,'Growth Engine'!AU$10*'Macro &amp; Indexation'!AU$19*gross_yield,AT74*(1+'Macro &amp; Indexation'!AU$11)))</f>
        <v>131252.43749437828</v>
      </c>
      <c r="AV74" s="40">
        <f ca="1">IF(AV$6&lt;$B74,0,IF(AV$6=$B74,'Growth Engine'!AV$10*'Macro &amp; Indexation'!AV$19*gross_yield,AU74*(1+'Macro &amp; Indexation'!AV$11)))</f>
        <v>134533.74843173771</v>
      </c>
      <c r="AW74" s="40">
        <f ca="1">IF(AW$6&lt;$B74,0,IF(AW$6=$B74,'Growth Engine'!AW$10*'Macro &amp; Indexation'!AW$19*gross_yield,AV74*(1+'Macro &amp; Indexation'!AW$11)))</f>
        <v>137897.09214253115</v>
      </c>
      <c r="AX74" s="40">
        <f ca="1">IF(AX$6&lt;$B74,0,IF(AX$6=$B74,'Growth Engine'!AX$10*'Macro &amp; Indexation'!AX$19*gross_yield,AW74*(1+'Macro &amp; Indexation'!AX$11)))</f>
        <v>141344.51944609443</v>
      </c>
      <c r="AY74" s="40">
        <f ca="1">IF(AY$6&lt;$B74,0,IF(AY$6=$B74,'Growth Engine'!AY$10*'Macro &amp; Indexation'!AY$19*gross_yield,AX74*(1+'Macro &amp; Indexation'!AY$11)))</f>
        <v>144878.13243224678</v>
      </c>
      <c r="AZ74" s="40">
        <f ca="1">IF(AZ$6&lt;$B74,0,IF(AZ$6=$B74,'Growth Engine'!AZ$10*'Macro &amp; Indexation'!AZ$19*gross_yield,AY74*(1+'Macro &amp; Indexation'!AZ$11)))</f>
        <v>148500.08574305294</v>
      </c>
      <c r="BA74" s="40">
        <f ca="1">IF(BA$6&lt;$B74,0,IF(BA$6=$B74,'Growth Engine'!BA$10*'Macro &amp; Indexation'!BA$19*gross_yield,AZ74*(1+'Macro &amp; Indexation'!BA$11)))</f>
        <v>152212.58788662925</v>
      </c>
    </row>
    <row r="75" spans="1:53" outlineLevel="1" x14ac:dyDescent="0.3">
      <c r="A75" t="s">
        <v>146</v>
      </c>
      <c r="B75">
        <v>10</v>
      </c>
      <c r="D75" s="40">
        <f>IF(D$6&lt;$B75,0,IF(D$6=$B75,'Growth Engine'!D$10*'Macro &amp; Indexation'!D$19*gross_yield,C75*(1+'Macro &amp; Indexation'!D$11)))</f>
        <v>0</v>
      </c>
      <c r="E75" s="40">
        <f>IF(E$6&lt;$B75,0,IF(E$6=$B75,'Growth Engine'!E$10*'Macro &amp; Indexation'!E$19*gross_yield,D75*(1+'Macro &amp; Indexation'!E$11)))</f>
        <v>0</v>
      </c>
      <c r="F75" s="40">
        <f>IF(F$6&lt;$B75,0,IF(F$6=$B75,'Growth Engine'!F$10*'Macro &amp; Indexation'!F$19*gross_yield,E75*(1+'Macro &amp; Indexation'!F$11)))</f>
        <v>0</v>
      </c>
      <c r="G75" s="40">
        <f>IF(G$6&lt;$B75,0,IF(G$6=$B75,'Growth Engine'!G$10*'Macro &amp; Indexation'!G$19*gross_yield,F75*(1+'Macro &amp; Indexation'!G$11)))</f>
        <v>0</v>
      </c>
      <c r="H75" s="40">
        <f>IF(H$6&lt;$B75,0,IF(H$6=$B75,'Growth Engine'!H$10*'Macro &amp; Indexation'!H$19*gross_yield,G75*(1+'Macro &amp; Indexation'!H$11)))</f>
        <v>0</v>
      </c>
      <c r="I75" s="40">
        <f>IF(I$6&lt;$B75,0,IF(I$6=$B75,'Growth Engine'!I$10*'Macro &amp; Indexation'!I$19*gross_yield,H75*(1+'Macro &amp; Indexation'!I$11)))</f>
        <v>0</v>
      </c>
      <c r="J75" s="40">
        <f>IF(J$6&lt;$B75,0,IF(J$6=$B75,'Growth Engine'!J$10*'Macro &amp; Indexation'!J$19*gross_yield,I75*(1+'Macro &amp; Indexation'!J$11)))</f>
        <v>0</v>
      </c>
      <c r="K75" s="40">
        <f>IF(K$6&lt;$B75,0,IF(K$6=$B75,'Growth Engine'!K$10*'Macro &amp; Indexation'!K$19*gross_yield,J75*(1+'Macro &amp; Indexation'!K$11)))</f>
        <v>0</v>
      </c>
      <c r="L75" s="40">
        <f>IF(L$6&lt;$B75,0,IF(L$6=$B75,'Growth Engine'!L$10*'Macro &amp; Indexation'!L$19*gross_yield,K75*(1+'Macro &amp; Indexation'!L$11)))</f>
        <v>0</v>
      </c>
      <c r="M75" s="40">
        <f ca="1">IF(M$6&lt;$B75,0,IF(M$6=$B75,'Growth Engine'!M$10*'Macro &amp; Indexation'!M$19*gross_yield,L75*(1+'Macro &amp; Indexation'!M$11)))</f>
        <v>57241.68883679912</v>
      </c>
      <c r="N75" s="40">
        <f ca="1">IF(N$6&lt;$B75,0,IF(N$6=$B75,'Growth Engine'!N$10*'Macro &amp; Indexation'!N$19*gross_yield,M75*(1+'Macro &amp; Indexation'!N$11)))</f>
        <v>58672.731057719095</v>
      </c>
      <c r="O75" s="40">
        <f ca="1">IF(O$6&lt;$B75,0,IF(O$6=$B75,'Growth Engine'!O$10*'Macro &amp; Indexation'!O$19*gross_yield,N75*(1+'Macro &amp; Indexation'!O$11)))</f>
        <v>60139.549334162068</v>
      </c>
      <c r="P75" s="40">
        <f ca="1">IF(P$6&lt;$B75,0,IF(P$6=$B75,'Growth Engine'!P$10*'Macro &amp; Indexation'!P$19*gross_yield,O75*(1+'Macro &amp; Indexation'!P$11)))</f>
        <v>61643.038067516114</v>
      </c>
      <c r="Q75" s="40">
        <f ca="1">IF(Q$6&lt;$B75,0,IF(Q$6=$B75,'Growth Engine'!Q$10*'Macro &amp; Indexation'!Q$19*gross_yield,P75*(1+'Macro &amp; Indexation'!Q$11)))</f>
        <v>63184.114019204011</v>
      </c>
      <c r="R75" s="40">
        <f ca="1">IF(R$6&lt;$B75,0,IF(R$6=$B75,'Growth Engine'!R$10*'Macro &amp; Indexation'!R$19*gross_yield,Q75*(1+'Macro &amp; Indexation'!R$11)))</f>
        <v>64763.716869684104</v>
      </c>
      <c r="S75" s="40">
        <f ca="1">IF(S$6&lt;$B75,0,IF(S$6=$B75,'Growth Engine'!S$10*'Macro &amp; Indexation'!S$19*gross_yield,R75*(1+'Macro &amp; Indexation'!S$11)))</f>
        <v>66382.809791426203</v>
      </c>
      <c r="T75" s="40">
        <f ca="1">IF(T$6&lt;$B75,0,IF(T$6=$B75,'Growth Engine'!T$10*'Macro &amp; Indexation'!T$19*gross_yield,S75*(1+'Macro &amp; Indexation'!T$11)))</f>
        <v>68042.380036211849</v>
      </c>
      <c r="U75" s="40">
        <f ca="1">IF(U$6&lt;$B75,0,IF(U$6=$B75,'Growth Engine'!U$10*'Macro &amp; Indexation'!U$19*gross_yield,T75*(1+'Macro &amp; Indexation'!U$11)))</f>
        <v>69743.439537117141</v>
      </c>
      <c r="V75" s="40">
        <f ca="1">IF(V$6&lt;$B75,0,IF(V$6=$B75,'Growth Engine'!V$10*'Macro &amp; Indexation'!V$19*gross_yield,U75*(1+'Macro &amp; Indexation'!V$11)))</f>
        <v>71487.025525545061</v>
      </c>
      <c r="W75" s="40">
        <f ca="1">IF(W$6&lt;$B75,0,IF(W$6=$B75,'Growth Engine'!W$10*'Macro &amp; Indexation'!W$19*gross_yield,V75*(1+'Macro &amp; Indexation'!W$11)))</f>
        <v>73274.201163683683</v>
      </c>
      <c r="X75" s="40">
        <f ca="1">IF(X$6&lt;$B75,0,IF(X$6=$B75,'Growth Engine'!X$10*'Macro &amp; Indexation'!X$19*gross_yield,W75*(1+'Macro &amp; Indexation'!X$11)))</f>
        <v>75106.056192775766</v>
      </c>
      <c r="Y75" s="40">
        <f ca="1">IF(Y$6&lt;$B75,0,IF(Y$6=$B75,'Growth Engine'!Y$10*'Macro &amp; Indexation'!Y$19*gross_yield,X75*(1+'Macro &amp; Indexation'!Y$11)))</f>
        <v>76983.707597595159</v>
      </c>
      <c r="Z75" s="40">
        <f ca="1">IF(Z$6&lt;$B75,0,IF(Z$6=$B75,'Growth Engine'!Z$10*'Macro &amp; Indexation'!Z$19*gross_yield,Y75*(1+'Macro &amp; Indexation'!Z$11)))</f>
        <v>78908.300287535036</v>
      </c>
      <c r="AA75" s="40">
        <f ca="1">IF(AA$6&lt;$B75,0,IF(AA$6=$B75,'Growth Engine'!AA$10*'Macro &amp; Indexation'!AA$19*gross_yield,Z75*(1+'Macro &amp; Indexation'!AA$11)))</f>
        <v>80881.007794723409</v>
      </c>
      <c r="AB75" s="40">
        <f ca="1">IF(AB$6&lt;$B75,0,IF(AB$6=$B75,'Growth Engine'!AB$10*'Macro &amp; Indexation'!AB$19*gross_yield,AA75*(1+'Macro &amp; Indexation'!AB$11)))</f>
        <v>82903.032989591491</v>
      </c>
      <c r="AC75" s="40">
        <f ca="1">IF(AC$6&lt;$B75,0,IF(AC$6=$B75,'Growth Engine'!AC$10*'Macro &amp; Indexation'!AC$19*gross_yield,AB75*(1+'Macro &amp; Indexation'!AC$11)))</f>
        <v>84975.608814331266</v>
      </c>
      <c r="AD75" s="40">
        <f ca="1">IF(AD$6&lt;$B75,0,IF(AD$6=$B75,'Growth Engine'!AD$10*'Macro &amp; Indexation'!AD$19*gross_yield,AC75*(1+'Macro &amp; Indexation'!AD$11)))</f>
        <v>87099.999034689536</v>
      </c>
      <c r="AE75" s="40">
        <f ca="1">IF(AE$6&lt;$B75,0,IF(AE$6=$B75,'Growth Engine'!AE$10*'Macro &amp; Indexation'!AE$19*gross_yield,AD75*(1+'Macro &amp; Indexation'!AE$11)))</f>
        <v>89277.49901055677</v>
      </c>
      <c r="AF75" s="40">
        <f ca="1">IF(AF$6&lt;$B75,0,IF(AF$6=$B75,'Growth Engine'!AF$10*'Macro &amp; Indexation'!AF$19*gross_yield,AE75*(1+'Macro &amp; Indexation'!AF$11)))</f>
        <v>91509.436485820683</v>
      </c>
      <c r="AG75" s="40">
        <f ca="1">IF(AG$6&lt;$B75,0,IF(AG$6=$B75,'Growth Engine'!AG$10*'Macro &amp; Indexation'!AG$19*gross_yield,AF75*(1+'Macro &amp; Indexation'!AG$11)))</f>
        <v>93797.172397966191</v>
      </c>
      <c r="AH75" s="40">
        <f ca="1">IF(AH$6&lt;$B75,0,IF(AH$6=$B75,'Growth Engine'!AH$10*'Macro &amp; Indexation'!AH$19*gross_yield,AG75*(1+'Macro &amp; Indexation'!AH$11)))</f>
        <v>96142.101707915339</v>
      </c>
      <c r="AI75" s="40">
        <f ca="1">IF(AI$6&lt;$B75,0,IF(AI$6=$B75,'Growth Engine'!AI$10*'Macro &amp; Indexation'!AI$19*gross_yield,AH75*(1+'Macro &amp; Indexation'!AI$11)))</f>
        <v>98545.65425061321</v>
      </c>
      <c r="AJ75" s="40">
        <f ca="1">IF(AJ$6&lt;$B75,0,IF(AJ$6=$B75,'Growth Engine'!AJ$10*'Macro &amp; Indexation'!AJ$19*gross_yield,AI75*(1+'Macro &amp; Indexation'!AJ$11)))</f>
        <v>101009.29560687853</v>
      </c>
      <c r="AK75" s="40">
        <f ca="1">IF(AK$6&lt;$B75,0,IF(AK$6=$B75,'Growth Engine'!AK$10*'Macro &amp; Indexation'!AK$19*gross_yield,AJ75*(1+'Macro &amp; Indexation'!AK$11)))</f>
        <v>103534.52799705048</v>
      </c>
      <c r="AL75" s="40">
        <f ca="1">IF(AL$6&lt;$B75,0,IF(AL$6=$B75,'Growth Engine'!AL$10*'Macro &amp; Indexation'!AL$19*gross_yield,AK75*(1+'Macro &amp; Indexation'!AL$11)))</f>
        <v>106122.89119697674</v>
      </c>
      <c r="AM75" s="40">
        <f ca="1">IF(AM$6&lt;$B75,0,IF(AM$6=$B75,'Growth Engine'!AM$10*'Macro &amp; Indexation'!AM$19*gross_yield,AL75*(1+'Macro &amp; Indexation'!AM$11)))</f>
        <v>108775.96347690115</v>
      </c>
      <c r="AN75" s="40">
        <f ca="1">IF(AN$6&lt;$B75,0,IF(AN$6=$B75,'Growth Engine'!AN$10*'Macro &amp; Indexation'!AN$19*gross_yield,AM75*(1+'Macro &amp; Indexation'!AN$11)))</f>
        <v>111495.36256382367</v>
      </c>
      <c r="AO75" s="40">
        <f ca="1">IF(AO$6&lt;$B75,0,IF(AO$6=$B75,'Growth Engine'!AO$10*'Macro &amp; Indexation'!AO$19*gross_yield,AN75*(1+'Macro &amp; Indexation'!AO$11)))</f>
        <v>114282.74662791924</v>
      </c>
      <c r="AP75" s="40">
        <f ca="1">IF(AP$6&lt;$B75,0,IF(AP$6=$B75,'Growth Engine'!AP$10*'Macro &amp; Indexation'!AP$19*gross_yield,AO75*(1+'Macro &amp; Indexation'!AP$11)))</f>
        <v>117139.81529361721</v>
      </c>
      <c r="AQ75" s="40">
        <f ca="1">IF(AQ$6&lt;$B75,0,IF(AQ$6=$B75,'Growth Engine'!AQ$10*'Macro &amp; Indexation'!AQ$19*gross_yield,AP75*(1+'Macro &amp; Indexation'!AQ$11)))</f>
        <v>120068.31067595763</v>
      </c>
      <c r="AR75" s="40">
        <f ca="1">IF(AR$6&lt;$B75,0,IF(AR$6=$B75,'Growth Engine'!AR$10*'Macro &amp; Indexation'!AR$19*gross_yield,AQ75*(1+'Macro &amp; Indexation'!AR$11)))</f>
        <v>123070.01844285657</v>
      </c>
      <c r="AS75" s="40">
        <f ca="1">IF(AS$6&lt;$B75,0,IF(AS$6=$B75,'Growth Engine'!AS$10*'Macro &amp; Indexation'!AS$19*gross_yield,AR75*(1+'Macro &amp; Indexation'!AS$11)))</f>
        <v>126146.76890392798</v>
      </c>
      <c r="AT75" s="40">
        <f ca="1">IF(AT$6&lt;$B75,0,IF(AT$6=$B75,'Growth Engine'!AT$10*'Macro &amp; Indexation'!AT$19*gross_yield,AS75*(1+'Macro &amp; Indexation'!AT$11)))</f>
        <v>129300.43812652616</v>
      </c>
      <c r="AU75" s="40">
        <f ca="1">IF(AU$6&lt;$B75,0,IF(AU$6=$B75,'Growth Engine'!AU$10*'Macro &amp; Indexation'!AU$19*gross_yield,AT75*(1+'Macro &amp; Indexation'!AU$11)))</f>
        <v>132532.94907968931</v>
      </c>
      <c r="AV75" s="40">
        <f ca="1">IF(AV$6&lt;$B75,0,IF(AV$6=$B75,'Growth Engine'!AV$10*'Macro &amp; Indexation'!AV$19*gross_yield,AU75*(1+'Macro &amp; Indexation'!AV$11)))</f>
        <v>135846.27280668152</v>
      </c>
      <c r="AW75" s="40">
        <f ca="1">IF(AW$6&lt;$B75,0,IF(AW$6=$B75,'Growth Engine'!AW$10*'Macro &amp; Indexation'!AW$19*gross_yield,AV75*(1+'Macro &amp; Indexation'!AW$11)))</f>
        <v>139242.42962684855</v>
      </c>
      <c r="AX75" s="40">
        <f ca="1">IF(AX$6&lt;$B75,0,IF(AX$6=$B75,'Growth Engine'!AX$10*'Macro &amp; Indexation'!AX$19*gross_yield,AW75*(1+'Macro &amp; Indexation'!AX$11)))</f>
        <v>142723.49036751976</v>
      </c>
      <c r="AY75" s="40">
        <f ca="1">IF(AY$6&lt;$B75,0,IF(AY$6=$B75,'Growth Engine'!AY$10*'Macro &amp; Indexation'!AY$19*gross_yield,AX75*(1+'Macro &amp; Indexation'!AY$11)))</f>
        <v>146291.57762670773</v>
      </c>
      <c r="AZ75" s="40">
        <f ca="1">IF(AZ$6&lt;$B75,0,IF(AZ$6=$B75,'Growth Engine'!AZ$10*'Macro &amp; Indexation'!AZ$19*gross_yield,AY75*(1+'Macro &amp; Indexation'!AZ$11)))</f>
        <v>149948.86706737542</v>
      </c>
      <c r="BA75" s="40">
        <f ca="1">IF(BA$6&lt;$B75,0,IF(BA$6=$B75,'Growth Engine'!BA$10*'Macro &amp; Indexation'!BA$19*gross_yield,AZ75*(1+'Macro &amp; Indexation'!BA$11)))</f>
        <v>153697.58874405979</v>
      </c>
    </row>
    <row r="76" spans="1:53" outlineLevel="1" x14ac:dyDescent="0.3">
      <c r="A76" t="s">
        <v>147</v>
      </c>
      <c r="B76">
        <v>11</v>
      </c>
      <c r="D76" s="40">
        <f>IF(D$6&lt;$B76,0,IF(D$6=$B76,'Growth Engine'!D$10*'Macro &amp; Indexation'!D$19*gross_yield,C76*(1+'Macro &amp; Indexation'!D$11)))</f>
        <v>0</v>
      </c>
      <c r="E76" s="40">
        <f>IF(E$6&lt;$B76,0,IF(E$6=$B76,'Growth Engine'!E$10*'Macro &amp; Indexation'!E$19*gross_yield,D76*(1+'Macro &amp; Indexation'!E$11)))</f>
        <v>0</v>
      </c>
      <c r="F76" s="40">
        <f>IF(F$6&lt;$B76,0,IF(F$6=$B76,'Growth Engine'!F$10*'Macro &amp; Indexation'!F$19*gross_yield,E76*(1+'Macro &amp; Indexation'!F$11)))</f>
        <v>0</v>
      </c>
      <c r="G76" s="40">
        <f>IF(G$6&lt;$B76,0,IF(G$6=$B76,'Growth Engine'!G$10*'Macro &amp; Indexation'!G$19*gross_yield,F76*(1+'Macro &amp; Indexation'!G$11)))</f>
        <v>0</v>
      </c>
      <c r="H76" s="40">
        <f>IF(H$6&lt;$B76,0,IF(H$6=$B76,'Growth Engine'!H$10*'Macro &amp; Indexation'!H$19*gross_yield,G76*(1+'Macro &amp; Indexation'!H$11)))</f>
        <v>0</v>
      </c>
      <c r="I76" s="40">
        <f>IF(I$6&lt;$B76,0,IF(I$6=$B76,'Growth Engine'!I$10*'Macro &amp; Indexation'!I$19*gross_yield,H76*(1+'Macro &amp; Indexation'!I$11)))</f>
        <v>0</v>
      </c>
      <c r="J76" s="40">
        <f>IF(J$6&lt;$B76,0,IF(J$6=$B76,'Growth Engine'!J$10*'Macro &amp; Indexation'!J$19*gross_yield,I76*(1+'Macro &amp; Indexation'!J$11)))</f>
        <v>0</v>
      </c>
      <c r="K76" s="40">
        <f>IF(K$6&lt;$B76,0,IF(K$6=$B76,'Growth Engine'!K$10*'Macro &amp; Indexation'!K$19*gross_yield,J76*(1+'Macro &amp; Indexation'!K$11)))</f>
        <v>0</v>
      </c>
      <c r="L76" s="40">
        <f>IF(L$6&lt;$B76,0,IF(L$6=$B76,'Growth Engine'!L$10*'Macro &amp; Indexation'!L$19*gross_yield,K76*(1+'Macro &amp; Indexation'!L$11)))</f>
        <v>0</v>
      </c>
      <c r="M76" s="40">
        <f>IF(M$6&lt;$B76,0,IF(M$6=$B76,'Growth Engine'!M$10*'Macro &amp; Indexation'!M$19*gross_yield,L76*(1+'Macro &amp; Indexation'!M$11)))</f>
        <v>0</v>
      </c>
      <c r="N76" s="40">
        <f ca="1">IF(N$6&lt;$B76,0,IF(N$6=$B76,'Growth Engine'!N$10*'Macro &amp; Indexation'!N$19*gross_yield,M76*(1+'Macro &amp; Indexation'!N$11)))</f>
        <v>19748.382648695697</v>
      </c>
      <c r="O76" s="40">
        <f ca="1">IF(O$6&lt;$B76,0,IF(O$6=$B76,'Growth Engine'!O$10*'Macro &amp; Indexation'!O$19*gross_yield,N76*(1+'Macro &amp; Indexation'!O$11)))</f>
        <v>20242.092214913089</v>
      </c>
      <c r="P76" s="40">
        <f ca="1">IF(P$6&lt;$B76,0,IF(P$6=$B76,'Growth Engine'!P$10*'Macro &amp; Indexation'!P$19*gross_yield,O76*(1+'Macro &amp; Indexation'!P$11)))</f>
        <v>20748.144520285914</v>
      </c>
      <c r="Q76" s="40">
        <f ca="1">IF(Q$6&lt;$B76,0,IF(Q$6=$B76,'Growth Engine'!Q$10*'Macro &amp; Indexation'!Q$19*gross_yield,P76*(1+'Macro &amp; Indexation'!Q$11)))</f>
        <v>21266.848133293061</v>
      </c>
      <c r="R76" s="40">
        <f ca="1">IF(R$6&lt;$B76,0,IF(R$6=$B76,'Growth Engine'!R$10*'Macro &amp; Indexation'!R$19*gross_yield,Q76*(1+'Macro &amp; Indexation'!R$11)))</f>
        <v>21798.519336625384</v>
      </c>
      <c r="S76" s="40">
        <f ca="1">IF(S$6&lt;$B76,0,IF(S$6=$B76,'Growth Engine'!S$10*'Macro &amp; Indexation'!S$19*gross_yield,R76*(1+'Macro &amp; Indexation'!S$11)))</f>
        <v>22343.482320041017</v>
      </c>
      <c r="T76" s="40">
        <f ca="1">IF(T$6&lt;$B76,0,IF(T$6=$B76,'Growth Engine'!T$10*'Macro &amp; Indexation'!T$19*gross_yield,S76*(1+'Macro &amp; Indexation'!T$11)))</f>
        <v>22902.069378042041</v>
      </c>
      <c r="U76" s="40">
        <f ca="1">IF(U$6&lt;$B76,0,IF(U$6=$B76,'Growth Engine'!U$10*'Macro &amp; Indexation'!U$19*gross_yield,T76*(1+'Macro &amp; Indexation'!U$11)))</f>
        <v>23474.621112493089</v>
      </c>
      <c r="V76" s="40">
        <f ca="1">IF(V$6&lt;$B76,0,IF(V$6=$B76,'Growth Engine'!V$10*'Macro &amp; Indexation'!V$19*gross_yield,U76*(1+'Macro &amp; Indexation'!V$11)))</f>
        <v>24061.486640305415</v>
      </c>
      <c r="W76" s="40">
        <f ca="1">IF(W$6&lt;$B76,0,IF(W$6=$B76,'Growth Engine'!W$10*'Macro &amp; Indexation'!W$19*gross_yield,V76*(1+'Macro &amp; Indexation'!W$11)))</f>
        <v>24663.023806313049</v>
      </c>
      <c r="X76" s="40">
        <f ca="1">IF(X$6&lt;$B76,0,IF(X$6=$B76,'Growth Engine'!X$10*'Macro &amp; Indexation'!X$19*gross_yield,W76*(1+'Macro &amp; Indexation'!X$11)))</f>
        <v>25279.599401470874</v>
      </c>
      <c r="Y76" s="40">
        <f ca="1">IF(Y$6&lt;$B76,0,IF(Y$6=$B76,'Growth Engine'!Y$10*'Macro &amp; Indexation'!Y$19*gross_yield,X76*(1+'Macro &amp; Indexation'!Y$11)))</f>
        <v>25911.589386507643</v>
      </c>
      <c r="Z76" s="40">
        <f ca="1">IF(Z$6&lt;$B76,0,IF(Z$6=$B76,'Growth Engine'!Z$10*'Macro &amp; Indexation'!Z$19*gross_yield,Y76*(1+'Macro &amp; Indexation'!Z$11)))</f>
        <v>26559.379121170332</v>
      </c>
      <c r="AA76" s="40">
        <f ca="1">IF(AA$6&lt;$B76,0,IF(AA$6=$B76,'Growth Engine'!AA$10*'Macro &amp; Indexation'!AA$19*gross_yield,Z76*(1+'Macro &amp; Indexation'!AA$11)))</f>
        <v>27223.363599199587</v>
      </c>
      <c r="AB76" s="40">
        <f ca="1">IF(AB$6&lt;$B76,0,IF(AB$6=$B76,'Growth Engine'!AB$10*'Macro &amp; Indexation'!AB$19*gross_yield,AA76*(1+'Macro &amp; Indexation'!AB$11)))</f>
        <v>27903.947689179575</v>
      </c>
      <c r="AC76" s="40">
        <f ca="1">IF(AC$6&lt;$B76,0,IF(AC$6=$B76,'Growth Engine'!AC$10*'Macro &amp; Indexation'!AC$19*gross_yield,AB76*(1+'Macro &amp; Indexation'!AC$11)))</f>
        <v>28601.546381409062</v>
      </c>
      <c r="AD76" s="40">
        <f ca="1">IF(AD$6&lt;$B76,0,IF(AD$6=$B76,'Growth Engine'!AD$10*'Macro &amp; Indexation'!AD$19*gross_yield,AC76*(1+'Macro &amp; Indexation'!AD$11)))</f>
        <v>29316.585040944286</v>
      </c>
      <c r="AE76" s="40">
        <f ca="1">IF(AE$6&lt;$B76,0,IF(AE$6=$B76,'Growth Engine'!AE$10*'Macro &amp; Indexation'!AE$19*gross_yield,AD76*(1+'Macro &amp; Indexation'!AE$11)))</f>
        <v>30049.499666967891</v>
      </c>
      <c r="AF76" s="40">
        <f ca="1">IF(AF$6&lt;$B76,0,IF(AF$6=$B76,'Growth Engine'!AF$10*'Macro &amp; Indexation'!AF$19*gross_yield,AE76*(1+'Macro &amp; Indexation'!AF$11)))</f>
        <v>30800.737158642085</v>
      </c>
      <c r="AG76" s="40">
        <f ca="1">IF(AG$6&lt;$B76,0,IF(AG$6=$B76,'Growth Engine'!AG$10*'Macro &amp; Indexation'!AG$19*gross_yield,AF76*(1+'Macro &amp; Indexation'!AG$11)))</f>
        <v>31570.755587608135</v>
      </c>
      <c r="AH76" s="40">
        <f ca="1">IF(AH$6&lt;$B76,0,IF(AH$6=$B76,'Growth Engine'!AH$10*'Macro &amp; Indexation'!AH$19*gross_yield,AG76*(1+'Macro &amp; Indexation'!AH$11)))</f>
        <v>32360.024477298335</v>
      </c>
      <c r="AI76" s="40">
        <f ca="1">IF(AI$6&lt;$B76,0,IF(AI$6=$B76,'Growth Engine'!AI$10*'Macro &amp; Indexation'!AI$19*gross_yield,AH76*(1+'Macro &amp; Indexation'!AI$11)))</f>
        <v>33169.025089230789</v>
      </c>
      <c r="AJ76" s="40">
        <f ca="1">IF(AJ$6&lt;$B76,0,IF(AJ$6=$B76,'Growth Engine'!AJ$10*'Macro &amp; Indexation'!AJ$19*gross_yield,AI76*(1+'Macro &amp; Indexation'!AJ$11)))</f>
        <v>33998.250716461553</v>
      </c>
      <c r="AK76" s="40">
        <f ca="1">IF(AK$6&lt;$B76,0,IF(AK$6=$B76,'Growth Engine'!AK$10*'Macro &amp; Indexation'!AK$19*gross_yield,AJ76*(1+'Macro &amp; Indexation'!AK$11)))</f>
        <v>34848.206984373086</v>
      </c>
      <c r="AL76" s="40">
        <f ca="1">IF(AL$6&lt;$B76,0,IF(AL$6=$B76,'Growth Engine'!AL$10*'Macro &amp; Indexation'!AL$19*gross_yield,AK76*(1+'Macro &amp; Indexation'!AL$11)))</f>
        <v>35719.412158982414</v>
      </c>
      <c r="AM76" s="40">
        <f ca="1">IF(AM$6&lt;$B76,0,IF(AM$6=$B76,'Growth Engine'!AM$10*'Macro &amp; Indexation'!AM$19*gross_yield,AL76*(1+'Macro &amp; Indexation'!AM$11)))</f>
        <v>36612.397462956971</v>
      </c>
      <c r="AN76" s="40">
        <f ca="1">IF(AN$6&lt;$B76,0,IF(AN$6=$B76,'Growth Engine'!AN$10*'Macro &amp; Indexation'!AN$19*gross_yield,AM76*(1+'Macro &amp; Indexation'!AN$11)))</f>
        <v>37527.707399530889</v>
      </c>
      <c r="AO76" s="40">
        <f ca="1">IF(AO$6&lt;$B76,0,IF(AO$6=$B76,'Growth Engine'!AO$10*'Macro &amp; Indexation'!AO$19*gross_yield,AN76*(1+'Macro &amp; Indexation'!AO$11)))</f>
        <v>38465.900084519155</v>
      </c>
      <c r="AP76" s="40">
        <f ca="1">IF(AP$6&lt;$B76,0,IF(AP$6=$B76,'Growth Engine'!AP$10*'Macro &amp; Indexation'!AP$19*gross_yield,AO76*(1+'Macro &amp; Indexation'!AP$11)))</f>
        <v>39427.547586632129</v>
      </c>
      <c r="AQ76" s="40">
        <f ca="1">IF(AQ$6&lt;$B76,0,IF(AQ$6=$B76,'Growth Engine'!AQ$10*'Macro &amp; Indexation'!AQ$19*gross_yield,AP76*(1+'Macro &amp; Indexation'!AQ$11)))</f>
        <v>40413.236276297925</v>
      </c>
      <c r="AR76" s="40">
        <f ca="1">IF(AR$6&lt;$B76,0,IF(AR$6=$B76,'Growth Engine'!AR$10*'Macro &amp; Indexation'!AR$19*gross_yield,AQ76*(1+'Macro &amp; Indexation'!AR$11)))</f>
        <v>41423.56718320537</v>
      </c>
      <c r="AS76" s="40">
        <f ca="1">IF(AS$6&lt;$B76,0,IF(AS$6=$B76,'Growth Engine'!AS$10*'Macro &amp; Indexation'!AS$19*gross_yield,AR76*(1+'Macro &amp; Indexation'!AS$11)))</f>
        <v>42459.156362785499</v>
      </c>
      <c r="AT76" s="40">
        <f ca="1">IF(AT$6&lt;$B76,0,IF(AT$6=$B76,'Growth Engine'!AT$10*'Macro &amp; Indexation'!AT$19*gross_yield,AS76*(1+'Macro &amp; Indexation'!AT$11)))</f>
        <v>43520.635271855135</v>
      </c>
      <c r="AU76" s="40">
        <f ca="1">IF(AU$6&lt;$B76,0,IF(AU$6=$B76,'Growth Engine'!AU$10*'Macro &amp; Indexation'!AU$19*gross_yield,AT76*(1+'Macro &amp; Indexation'!AU$11)))</f>
        <v>44608.65115365151</v>
      </c>
      <c r="AV76" s="40">
        <f ca="1">IF(AV$6&lt;$B76,0,IF(AV$6=$B76,'Growth Engine'!AV$10*'Macro &amp; Indexation'!AV$19*gross_yield,AU76*(1+'Macro &amp; Indexation'!AV$11)))</f>
        <v>45723.867432492792</v>
      </c>
      <c r="AW76" s="40">
        <f ca="1">IF(AW$6&lt;$B76,0,IF(AW$6=$B76,'Growth Engine'!AW$10*'Macro &amp; Indexation'!AW$19*gross_yield,AV76*(1+'Macro &amp; Indexation'!AW$11)))</f>
        <v>46866.964118305106</v>
      </c>
      <c r="AX76" s="40">
        <f ca="1">IF(AX$6&lt;$B76,0,IF(AX$6=$B76,'Growth Engine'!AX$10*'Macro &amp; Indexation'!AX$19*gross_yield,AW76*(1+'Macro &amp; Indexation'!AX$11)))</f>
        <v>48038.638221262729</v>
      </c>
      <c r="AY76" s="40">
        <f ca="1">IF(AY$6&lt;$B76,0,IF(AY$6=$B76,'Growth Engine'!AY$10*'Macro &amp; Indexation'!AY$19*gross_yield,AX76*(1+'Macro &amp; Indexation'!AY$11)))</f>
        <v>49239.604176794295</v>
      </c>
      <c r="AZ76" s="40">
        <f ca="1">IF(AZ$6&lt;$B76,0,IF(AZ$6=$B76,'Growth Engine'!AZ$10*'Macro &amp; Indexation'!AZ$19*gross_yield,AY76*(1+'Macro &amp; Indexation'!AZ$11)))</f>
        <v>50470.594281214151</v>
      </c>
      <c r="BA76" s="40">
        <f ca="1">IF(BA$6&lt;$B76,0,IF(BA$6=$B76,'Growth Engine'!BA$10*'Macro &amp; Indexation'!BA$19*gross_yield,AZ76*(1+'Macro &amp; Indexation'!BA$11)))</f>
        <v>51732.359138244501</v>
      </c>
    </row>
    <row r="77" spans="1:53" outlineLevel="1" x14ac:dyDescent="0.3">
      <c r="A77" t="s">
        <v>148</v>
      </c>
      <c r="B77">
        <v>12</v>
      </c>
      <c r="D77" s="40">
        <f>IF(D$6&lt;$B77,0,IF(D$6=$B77,'Growth Engine'!D$10*'Macro &amp; Indexation'!D$19*gross_yield,C77*(1+'Macro &amp; Indexation'!D$11)))</f>
        <v>0</v>
      </c>
      <c r="E77" s="40">
        <f>IF(E$6&lt;$B77,0,IF(E$6=$B77,'Growth Engine'!E$10*'Macro &amp; Indexation'!E$19*gross_yield,D77*(1+'Macro &amp; Indexation'!E$11)))</f>
        <v>0</v>
      </c>
      <c r="F77" s="40">
        <f>IF(F$6&lt;$B77,0,IF(F$6=$B77,'Growth Engine'!F$10*'Macro &amp; Indexation'!F$19*gross_yield,E77*(1+'Macro &amp; Indexation'!F$11)))</f>
        <v>0</v>
      </c>
      <c r="G77" s="40">
        <f>IF(G$6&lt;$B77,0,IF(G$6=$B77,'Growth Engine'!G$10*'Macro &amp; Indexation'!G$19*gross_yield,F77*(1+'Macro &amp; Indexation'!G$11)))</f>
        <v>0</v>
      </c>
      <c r="H77" s="40">
        <f>IF(H$6&lt;$B77,0,IF(H$6=$B77,'Growth Engine'!H$10*'Macro &amp; Indexation'!H$19*gross_yield,G77*(1+'Macro &amp; Indexation'!H$11)))</f>
        <v>0</v>
      </c>
      <c r="I77" s="40">
        <f>IF(I$6&lt;$B77,0,IF(I$6=$B77,'Growth Engine'!I$10*'Macro &amp; Indexation'!I$19*gross_yield,H77*(1+'Macro &amp; Indexation'!I$11)))</f>
        <v>0</v>
      </c>
      <c r="J77" s="40">
        <f>IF(J$6&lt;$B77,0,IF(J$6=$B77,'Growth Engine'!J$10*'Macro &amp; Indexation'!J$19*gross_yield,I77*(1+'Macro &amp; Indexation'!J$11)))</f>
        <v>0</v>
      </c>
      <c r="K77" s="40">
        <f>IF(K$6&lt;$B77,0,IF(K$6=$B77,'Growth Engine'!K$10*'Macro &amp; Indexation'!K$19*gross_yield,J77*(1+'Macro &amp; Indexation'!K$11)))</f>
        <v>0</v>
      </c>
      <c r="L77" s="40">
        <f>IF(L$6&lt;$B77,0,IF(L$6=$B77,'Growth Engine'!L$10*'Macro &amp; Indexation'!L$19*gross_yield,K77*(1+'Macro &amp; Indexation'!L$11)))</f>
        <v>0</v>
      </c>
      <c r="M77" s="40">
        <f>IF(M$6&lt;$B77,0,IF(M$6=$B77,'Growth Engine'!M$10*'Macro &amp; Indexation'!M$19*gross_yield,L77*(1+'Macro &amp; Indexation'!M$11)))</f>
        <v>0</v>
      </c>
      <c r="N77" s="40">
        <f>IF(N$6&lt;$B77,0,IF(N$6=$B77,'Growth Engine'!N$10*'Macro &amp; Indexation'!N$19*gross_yield,M77*(1+'Macro &amp; Indexation'!N$11)))</f>
        <v>0</v>
      </c>
      <c r="O77" s="40">
        <f ca="1">IF(O$6&lt;$B77,0,IF(O$6=$B77,'Growth Engine'!O$10*'Macro &amp; Indexation'!O$19*gross_yield,N77*(1+'Macro &amp; Indexation'!O$11)))</f>
        <v>0</v>
      </c>
      <c r="P77" s="40">
        <f ca="1">IF(P$6&lt;$B77,0,IF(P$6=$B77,'Growth Engine'!P$10*'Macro &amp; Indexation'!P$19*gross_yield,O77*(1+'Macro &amp; Indexation'!P$11)))</f>
        <v>0</v>
      </c>
      <c r="Q77" s="40">
        <f ca="1">IF(Q$6&lt;$B77,0,IF(Q$6=$B77,'Growth Engine'!Q$10*'Macro &amp; Indexation'!Q$19*gross_yield,P77*(1+'Macro &amp; Indexation'!Q$11)))</f>
        <v>0</v>
      </c>
      <c r="R77" s="40">
        <f ca="1">IF(R$6&lt;$B77,0,IF(R$6=$B77,'Growth Engine'!R$10*'Macro &amp; Indexation'!R$19*gross_yield,Q77*(1+'Macro &amp; Indexation'!R$11)))</f>
        <v>0</v>
      </c>
      <c r="S77" s="40">
        <f ca="1">IF(S$6&lt;$B77,0,IF(S$6=$B77,'Growth Engine'!S$10*'Macro &amp; Indexation'!S$19*gross_yield,R77*(1+'Macro &amp; Indexation'!S$11)))</f>
        <v>0</v>
      </c>
      <c r="T77" s="40">
        <f ca="1">IF(T$6&lt;$B77,0,IF(T$6=$B77,'Growth Engine'!T$10*'Macro &amp; Indexation'!T$19*gross_yield,S77*(1+'Macro &amp; Indexation'!T$11)))</f>
        <v>0</v>
      </c>
      <c r="U77" s="40">
        <f ca="1">IF(U$6&lt;$B77,0,IF(U$6=$B77,'Growth Engine'!U$10*'Macro &amp; Indexation'!U$19*gross_yield,T77*(1+'Macro &amp; Indexation'!U$11)))</f>
        <v>0</v>
      </c>
      <c r="V77" s="40">
        <f ca="1">IF(V$6&lt;$B77,0,IF(V$6=$B77,'Growth Engine'!V$10*'Macro &amp; Indexation'!V$19*gross_yield,U77*(1+'Macro &amp; Indexation'!V$11)))</f>
        <v>0</v>
      </c>
      <c r="W77" s="40">
        <f ca="1">IF(W$6&lt;$B77,0,IF(W$6=$B77,'Growth Engine'!W$10*'Macro &amp; Indexation'!W$19*gross_yield,V77*(1+'Macro &amp; Indexation'!W$11)))</f>
        <v>0</v>
      </c>
      <c r="X77" s="40">
        <f ca="1">IF(X$6&lt;$B77,0,IF(X$6=$B77,'Growth Engine'!X$10*'Macro &amp; Indexation'!X$19*gross_yield,W77*(1+'Macro &amp; Indexation'!X$11)))</f>
        <v>0</v>
      </c>
      <c r="Y77" s="40">
        <f ca="1">IF(Y$6&lt;$B77,0,IF(Y$6=$B77,'Growth Engine'!Y$10*'Macro &amp; Indexation'!Y$19*gross_yield,X77*(1+'Macro &amp; Indexation'!Y$11)))</f>
        <v>0</v>
      </c>
      <c r="Z77" s="40">
        <f ca="1">IF(Z$6&lt;$B77,0,IF(Z$6=$B77,'Growth Engine'!Z$10*'Macro &amp; Indexation'!Z$19*gross_yield,Y77*(1+'Macro &amp; Indexation'!Z$11)))</f>
        <v>0</v>
      </c>
      <c r="AA77" s="40">
        <f ca="1">IF(AA$6&lt;$B77,0,IF(AA$6=$B77,'Growth Engine'!AA$10*'Macro &amp; Indexation'!AA$19*gross_yield,Z77*(1+'Macro &amp; Indexation'!AA$11)))</f>
        <v>0</v>
      </c>
      <c r="AB77" s="40">
        <f ca="1">IF(AB$6&lt;$B77,0,IF(AB$6=$B77,'Growth Engine'!AB$10*'Macro &amp; Indexation'!AB$19*gross_yield,AA77*(1+'Macro &amp; Indexation'!AB$11)))</f>
        <v>0</v>
      </c>
      <c r="AC77" s="40">
        <f ca="1">IF(AC$6&lt;$B77,0,IF(AC$6=$B77,'Growth Engine'!AC$10*'Macro &amp; Indexation'!AC$19*gross_yield,AB77*(1+'Macro &amp; Indexation'!AC$11)))</f>
        <v>0</v>
      </c>
      <c r="AD77" s="40">
        <f ca="1">IF(AD$6&lt;$B77,0,IF(AD$6=$B77,'Growth Engine'!AD$10*'Macro &amp; Indexation'!AD$19*gross_yield,AC77*(1+'Macro &amp; Indexation'!AD$11)))</f>
        <v>0</v>
      </c>
      <c r="AE77" s="40">
        <f ca="1">IF(AE$6&lt;$B77,0,IF(AE$6=$B77,'Growth Engine'!AE$10*'Macro &amp; Indexation'!AE$19*gross_yield,AD77*(1+'Macro &amp; Indexation'!AE$11)))</f>
        <v>0</v>
      </c>
      <c r="AF77" s="40">
        <f ca="1">IF(AF$6&lt;$B77,0,IF(AF$6=$B77,'Growth Engine'!AF$10*'Macro &amp; Indexation'!AF$19*gross_yield,AE77*(1+'Macro &amp; Indexation'!AF$11)))</f>
        <v>0</v>
      </c>
      <c r="AG77" s="40">
        <f ca="1">IF(AG$6&lt;$B77,0,IF(AG$6=$B77,'Growth Engine'!AG$10*'Macro &amp; Indexation'!AG$19*gross_yield,AF77*(1+'Macro &amp; Indexation'!AG$11)))</f>
        <v>0</v>
      </c>
      <c r="AH77" s="40">
        <f ca="1">IF(AH$6&lt;$B77,0,IF(AH$6=$B77,'Growth Engine'!AH$10*'Macro &amp; Indexation'!AH$19*gross_yield,AG77*(1+'Macro &amp; Indexation'!AH$11)))</f>
        <v>0</v>
      </c>
      <c r="AI77" s="40">
        <f ca="1">IF(AI$6&lt;$B77,0,IF(AI$6=$B77,'Growth Engine'!AI$10*'Macro &amp; Indexation'!AI$19*gross_yield,AH77*(1+'Macro &amp; Indexation'!AI$11)))</f>
        <v>0</v>
      </c>
      <c r="AJ77" s="40">
        <f ca="1">IF(AJ$6&lt;$B77,0,IF(AJ$6=$B77,'Growth Engine'!AJ$10*'Macro &amp; Indexation'!AJ$19*gross_yield,AI77*(1+'Macro &amp; Indexation'!AJ$11)))</f>
        <v>0</v>
      </c>
      <c r="AK77" s="40">
        <f ca="1">IF(AK$6&lt;$B77,0,IF(AK$6=$B77,'Growth Engine'!AK$10*'Macro &amp; Indexation'!AK$19*gross_yield,AJ77*(1+'Macro &amp; Indexation'!AK$11)))</f>
        <v>0</v>
      </c>
      <c r="AL77" s="40">
        <f ca="1">IF(AL$6&lt;$B77,0,IF(AL$6=$B77,'Growth Engine'!AL$10*'Macro &amp; Indexation'!AL$19*gross_yield,AK77*(1+'Macro &amp; Indexation'!AL$11)))</f>
        <v>0</v>
      </c>
      <c r="AM77" s="40">
        <f ca="1">IF(AM$6&lt;$B77,0,IF(AM$6=$B77,'Growth Engine'!AM$10*'Macro &amp; Indexation'!AM$19*gross_yield,AL77*(1+'Macro &amp; Indexation'!AM$11)))</f>
        <v>0</v>
      </c>
      <c r="AN77" s="40">
        <f ca="1">IF(AN$6&lt;$B77,0,IF(AN$6=$B77,'Growth Engine'!AN$10*'Macro &amp; Indexation'!AN$19*gross_yield,AM77*(1+'Macro &amp; Indexation'!AN$11)))</f>
        <v>0</v>
      </c>
      <c r="AO77" s="40">
        <f ca="1">IF(AO$6&lt;$B77,0,IF(AO$6=$B77,'Growth Engine'!AO$10*'Macro &amp; Indexation'!AO$19*gross_yield,AN77*(1+'Macro &amp; Indexation'!AO$11)))</f>
        <v>0</v>
      </c>
      <c r="AP77" s="40">
        <f ca="1">IF(AP$6&lt;$B77,0,IF(AP$6=$B77,'Growth Engine'!AP$10*'Macro &amp; Indexation'!AP$19*gross_yield,AO77*(1+'Macro &amp; Indexation'!AP$11)))</f>
        <v>0</v>
      </c>
      <c r="AQ77" s="40">
        <f ca="1">IF(AQ$6&lt;$B77,0,IF(AQ$6=$B77,'Growth Engine'!AQ$10*'Macro &amp; Indexation'!AQ$19*gross_yield,AP77*(1+'Macro &amp; Indexation'!AQ$11)))</f>
        <v>0</v>
      </c>
      <c r="AR77" s="40">
        <f ca="1">IF(AR$6&lt;$B77,0,IF(AR$6=$B77,'Growth Engine'!AR$10*'Macro &amp; Indexation'!AR$19*gross_yield,AQ77*(1+'Macro &amp; Indexation'!AR$11)))</f>
        <v>0</v>
      </c>
      <c r="AS77" s="40">
        <f ca="1">IF(AS$6&lt;$B77,0,IF(AS$6=$B77,'Growth Engine'!AS$10*'Macro &amp; Indexation'!AS$19*gross_yield,AR77*(1+'Macro &amp; Indexation'!AS$11)))</f>
        <v>0</v>
      </c>
      <c r="AT77" s="40">
        <f ca="1">IF(AT$6&lt;$B77,0,IF(AT$6=$B77,'Growth Engine'!AT$10*'Macro &amp; Indexation'!AT$19*gross_yield,AS77*(1+'Macro &amp; Indexation'!AT$11)))</f>
        <v>0</v>
      </c>
      <c r="AU77" s="40">
        <f ca="1">IF(AU$6&lt;$B77,0,IF(AU$6=$B77,'Growth Engine'!AU$10*'Macro &amp; Indexation'!AU$19*gross_yield,AT77*(1+'Macro &amp; Indexation'!AU$11)))</f>
        <v>0</v>
      </c>
      <c r="AV77" s="40">
        <f ca="1">IF(AV$6&lt;$B77,0,IF(AV$6=$B77,'Growth Engine'!AV$10*'Macro &amp; Indexation'!AV$19*gross_yield,AU77*(1+'Macro &amp; Indexation'!AV$11)))</f>
        <v>0</v>
      </c>
      <c r="AW77" s="40">
        <f ca="1">IF(AW$6&lt;$B77,0,IF(AW$6=$B77,'Growth Engine'!AW$10*'Macro &amp; Indexation'!AW$19*gross_yield,AV77*(1+'Macro &amp; Indexation'!AW$11)))</f>
        <v>0</v>
      </c>
      <c r="AX77" s="40">
        <f ca="1">IF(AX$6&lt;$B77,0,IF(AX$6=$B77,'Growth Engine'!AX$10*'Macro &amp; Indexation'!AX$19*gross_yield,AW77*(1+'Macro &amp; Indexation'!AX$11)))</f>
        <v>0</v>
      </c>
      <c r="AY77" s="40">
        <f ca="1">IF(AY$6&lt;$B77,0,IF(AY$6=$B77,'Growth Engine'!AY$10*'Macro &amp; Indexation'!AY$19*gross_yield,AX77*(1+'Macro &amp; Indexation'!AY$11)))</f>
        <v>0</v>
      </c>
      <c r="AZ77" s="40">
        <f ca="1">IF(AZ$6&lt;$B77,0,IF(AZ$6=$B77,'Growth Engine'!AZ$10*'Macro &amp; Indexation'!AZ$19*gross_yield,AY77*(1+'Macro &amp; Indexation'!AZ$11)))</f>
        <v>0</v>
      </c>
      <c r="BA77" s="40">
        <f ca="1">IF(BA$6&lt;$B77,0,IF(BA$6=$B77,'Growth Engine'!BA$10*'Macro &amp; Indexation'!BA$19*gross_yield,AZ77*(1+'Macro &amp; Indexation'!BA$11)))</f>
        <v>0</v>
      </c>
    </row>
    <row r="78" spans="1:53" outlineLevel="1" x14ac:dyDescent="0.3">
      <c r="A78" t="s">
        <v>149</v>
      </c>
      <c r="B78">
        <v>13</v>
      </c>
      <c r="D78" s="40">
        <f>IF(D$6&lt;$B78,0,IF(D$6=$B78,'Growth Engine'!D$10*'Macro &amp; Indexation'!D$19*gross_yield,C78*(1+'Macro &amp; Indexation'!D$11)))</f>
        <v>0</v>
      </c>
      <c r="E78" s="40">
        <f>IF(E$6&lt;$B78,0,IF(E$6=$B78,'Growth Engine'!E$10*'Macro &amp; Indexation'!E$19*gross_yield,D78*(1+'Macro &amp; Indexation'!E$11)))</f>
        <v>0</v>
      </c>
      <c r="F78" s="40">
        <f>IF(F$6&lt;$B78,0,IF(F$6=$B78,'Growth Engine'!F$10*'Macro &amp; Indexation'!F$19*gross_yield,E78*(1+'Macro &amp; Indexation'!F$11)))</f>
        <v>0</v>
      </c>
      <c r="G78" s="40">
        <f>IF(G$6&lt;$B78,0,IF(G$6=$B78,'Growth Engine'!G$10*'Macro &amp; Indexation'!G$19*gross_yield,F78*(1+'Macro &amp; Indexation'!G$11)))</f>
        <v>0</v>
      </c>
      <c r="H78" s="40">
        <f>IF(H$6&lt;$B78,0,IF(H$6=$B78,'Growth Engine'!H$10*'Macro &amp; Indexation'!H$19*gross_yield,G78*(1+'Macro &amp; Indexation'!H$11)))</f>
        <v>0</v>
      </c>
      <c r="I78" s="40">
        <f>IF(I$6&lt;$B78,0,IF(I$6=$B78,'Growth Engine'!I$10*'Macro &amp; Indexation'!I$19*gross_yield,H78*(1+'Macro &amp; Indexation'!I$11)))</f>
        <v>0</v>
      </c>
      <c r="J78" s="40">
        <f>IF(J$6&lt;$B78,0,IF(J$6=$B78,'Growth Engine'!J$10*'Macro &amp; Indexation'!J$19*gross_yield,I78*(1+'Macro &amp; Indexation'!J$11)))</f>
        <v>0</v>
      </c>
      <c r="K78" s="40">
        <f>IF(K$6&lt;$B78,0,IF(K$6=$B78,'Growth Engine'!K$10*'Macro &amp; Indexation'!K$19*gross_yield,J78*(1+'Macro &amp; Indexation'!K$11)))</f>
        <v>0</v>
      </c>
      <c r="L78" s="40">
        <f>IF(L$6&lt;$B78,0,IF(L$6=$B78,'Growth Engine'!L$10*'Macro &amp; Indexation'!L$19*gross_yield,K78*(1+'Macro &amp; Indexation'!L$11)))</f>
        <v>0</v>
      </c>
      <c r="M78" s="40">
        <f>IF(M$6&lt;$B78,0,IF(M$6=$B78,'Growth Engine'!M$10*'Macro &amp; Indexation'!M$19*gross_yield,L78*(1+'Macro &amp; Indexation'!M$11)))</f>
        <v>0</v>
      </c>
      <c r="N78" s="40">
        <f>IF(N$6&lt;$B78,0,IF(N$6=$B78,'Growth Engine'!N$10*'Macro &amp; Indexation'!N$19*gross_yield,M78*(1+'Macro &amp; Indexation'!N$11)))</f>
        <v>0</v>
      </c>
      <c r="O78" s="40">
        <f>IF(O$6&lt;$B78,0,IF(O$6=$B78,'Growth Engine'!O$10*'Macro &amp; Indexation'!O$19*gross_yield,N78*(1+'Macro &amp; Indexation'!O$11)))</f>
        <v>0</v>
      </c>
      <c r="P78" s="40">
        <f ca="1">IF(P$6&lt;$B78,0,IF(P$6=$B78,'Growth Engine'!P$10*'Macro &amp; Indexation'!P$19*gross_yield,O78*(1+'Macro &amp; Indexation'!P$11)))</f>
        <v>0</v>
      </c>
      <c r="Q78" s="40">
        <f ca="1">IF(Q$6&lt;$B78,0,IF(Q$6=$B78,'Growth Engine'!Q$10*'Macro &amp; Indexation'!Q$19*gross_yield,P78*(1+'Macro &amp; Indexation'!Q$11)))</f>
        <v>0</v>
      </c>
      <c r="R78" s="40">
        <f ca="1">IF(R$6&lt;$B78,0,IF(R$6=$B78,'Growth Engine'!R$10*'Macro &amp; Indexation'!R$19*gross_yield,Q78*(1+'Macro &amp; Indexation'!R$11)))</f>
        <v>0</v>
      </c>
      <c r="S78" s="40">
        <f ca="1">IF(S$6&lt;$B78,0,IF(S$6=$B78,'Growth Engine'!S$10*'Macro &amp; Indexation'!S$19*gross_yield,R78*(1+'Macro &amp; Indexation'!S$11)))</f>
        <v>0</v>
      </c>
      <c r="T78" s="40">
        <f ca="1">IF(T$6&lt;$B78,0,IF(T$6=$B78,'Growth Engine'!T$10*'Macro &amp; Indexation'!T$19*gross_yield,S78*(1+'Macro &amp; Indexation'!T$11)))</f>
        <v>0</v>
      </c>
      <c r="U78" s="40">
        <f ca="1">IF(U$6&lt;$B78,0,IF(U$6=$B78,'Growth Engine'!U$10*'Macro &amp; Indexation'!U$19*gross_yield,T78*(1+'Macro &amp; Indexation'!U$11)))</f>
        <v>0</v>
      </c>
      <c r="V78" s="40">
        <f ca="1">IF(V$6&lt;$B78,0,IF(V$6=$B78,'Growth Engine'!V$10*'Macro &amp; Indexation'!V$19*gross_yield,U78*(1+'Macro &amp; Indexation'!V$11)))</f>
        <v>0</v>
      </c>
      <c r="W78" s="40">
        <f ca="1">IF(W$6&lt;$B78,0,IF(W$6=$B78,'Growth Engine'!W$10*'Macro &amp; Indexation'!W$19*gross_yield,V78*(1+'Macro &amp; Indexation'!W$11)))</f>
        <v>0</v>
      </c>
      <c r="X78" s="40">
        <f ca="1">IF(X$6&lt;$B78,0,IF(X$6=$B78,'Growth Engine'!X$10*'Macro &amp; Indexation'!X$19*gross_yield,W78*(1+'Macro &amp; Indexation'!X$11)))</f>
        <v>0</v>
      </c>
      <c r="Y78" s="40">
        <f ca="1">IF(Y$6&lt;$B78,0,IF(Y$6=$B78,'Growth Engine'!Y$10*'Macro &amp; Indexation'!Y$19*gross_yield,X78*(1+'Macro &amp; Indexation'!Y$11)))</f>
        <v>0</v>
      </c>
      <c r="Z78" s="40">
        <f ca="1">IF(Z$6&lt;$B78,0,IF(Z$6=$B78,'Growth Engine'!Z$10*'Macro &amp; Indexation'!Z$19*gross_yield,Y78*(1+'Macro &amp; Indexation'!Z$11)))</f>
        <v>0</v>
      </c>
      <c r="AA78" s="40">
        <f ca="1">IF(AA$6&lt;$B78,0,IF(AA$6=$B78,'Growth Engine'!AA$10*'Macro &amp; Indexation'!AA$19*gross_yield,Z78*(1+'Macro &amp; Indexation'!AA$11)))</f>
        <v>0</v>
      </c>
      <c r="AB78" s="40">
        <f ca="1">IF(AB$6&lt;$B78,0,IF(AB$6=$B78,'Growth Engine'!AB$10*'Macro &amp; Indexation'!AB$19*gross_yield,AA78*(1+'Macro &amp; Indexation'!AB$11)))</f>
        <v>0</v>
      </c>
      <c r="AC78" s="40">
        <f ca="1">IF(AC$6&lt;$B78,0,IF(AC$6=$B78,'Growth Engine'!AC$10*'Macro &amp; Indexation'!AC$19*gross_yield,AB78*(1+'Macro &amp; Indexation'!AC$11)))</f>
        <v>0</v>
      </c>
      <c r="AD78" s="40">
        <f ca="1">IF(AD$6&lt;$B78,0,IF(AD$6=$B78,'Growth Engine'!AD$10*'Macro &amp; Indexation'!AD$19*gross_yield,AC78*(1+'Macro &amp; Indexation'!AD$11)))</f>
        <v>0</v>
      </c>
      <c r="AE78" s="40">
        <f ca="1">IF(AE$6&lt;$B78,0,IF(AE$6=$B78,'Growth Engine'!AE$10*'Macro &amp; Indexation'!AE$19*gross_yield,AD78*(1+'Macro &amp; Indexation'!AE$11)))</f>
        <v>0</v>
      </c>
      <c r="AF78" s="40">
        <f ca="1">IF(AF$6&lt;$B78,0,IF(AF$6=$B78,'Growth Engine'!AF$10*'Macro &amp; Indexation'!AF$19*gross_yield,AE78*(1+'Macro &amp; Indexation'!AF$11)))</f>
        <v>0</v>
      </c>
      <c r="AG78" s="40">
        <f ca="1">IF(AG$6&lt;$B78,0,IF(AG$6=$B78,'Growth Engine'!AG$10*'Macro &amp; Indexation'!AG$19*gross_yield,AF78*(1+'Macro &amp; Indexation'!AG$11)))</f>
        <v>0</v>
      </c>
      <c r="AH78" s="40">
        <f ca="1">IF(AH$6&lt;$B78,0,IF(AH$6=$B78,'Growth Engine'!AH$10*'Macro &amp; Indexation'!AH$19*gross_yield,AG78*(1+'Macro &amp; Indexation'!AH$11)))</f>
        <v>0</v>
      </c>
      <c r="AI78" s="40">
        <f ca="1">IF(AI$6&lt;$B78,0,IF(AI$6=$B78,'Growth Engine'!AI$10*'Macro &amp; Indexation'!AI$19*gross_yield,AH78*(1+'Macro &amp; Indexation'!AI$11)))</f>
        <v>0</v>
      </c>
      <c r="AJ78" s="40">
        <f ca="1">IF(AJ$6&lt;$B78,0,IF(AJ$6=$B78,'Growth Engine'!AJ$10*'Macro &amp; Indexation'!AJ$19*gross_yield,AI78*(1+'Macro &amp; Indexation'!AJ$11)))</f>
        <v>0</v>
      </c>
      <c r="AK78" s="40">
        <f ca="1">IF(AK$6&lt;$B78,0,IF(AK$6=$B78,'Growth Engine'!AK$10*'Macro &amp; Indexation'!AK$19*gross_yield,AJ78*(1+'Macro &amp; Indexation'!AK$11)))</f>
        <v>0</v>
      </c>
      <c r="AL78" s="40">
        <f ca="1">IF(AL$6&lt;$B78,0,IF(AL$6=$B78,'Growth Engine'!AL$10*'Macro &amp; Indexation'!AL$19*gross_yield,AK78*(1+'Macro &amp; Indexation'!AL$11)))</f>
        <v>0</v>
      </c>
      <c r="AM78" s="40">
        <f ca="1">IF(AM$6&lt;$B78,0,IF(AM$6=$B78,'Growth Engine'!AM$10*'Macro &amp; Indexation'!AM$19*gross_yield,AL78*(1+'Macro &amp; Indexation'!AM$11)))</f>
        <v>0</v>
      </c>
      <c r="AN78" s="40">
        <f ca="1">IF(AN$6&lt;$B78,0,IF(AN$6=$B78,'Growth Engine'!AN$10*'Macro &amp; Indexation'!AN$19*gross_yield,AM78*(1+'Macro &amp; Indexation'!AN$11)))</f>
        <v>0</v>
      </c>
      <c r="AO78" s="40">
        <f ca="1">IF(AO$6&lt;$B78,0,IF(AO$6=$B78,'Growth Engine'!AO$10*'Macro &amp; Indexation'!AO$19*gross_yield,AN78*(1+'Macro &amp; Indexation'!AO$11)))</f>
        <v>0</v>
      </c>
      <c r="AP78" s="40">
        <f ca="1">IF(AP$6&lt;$B78,0,IF(AP$6=$B78,'Growth Engine'!AP$10*'Macro &amp; Indexation'!AP$19*gross_yield,AO78*(1+'Macro &amp; Indexation'!AP$11)))</f>
        <v>0</v>
      </c>
      <c r="AQ78" s="40">
        <f ca="1">IF(AQ$6&lt;$B78,0,IF(AQ$6=$B78,'Growth Engine'!AQ$10*'Macro &amp; Indexation'!AQ$19*gross_yield,AP78*(1+'Macro &amp; Indexation'!AQ$11)))</f>
        <v>0</v>
      </c>
      <c r="AR78" s="40">
        <f ca="1">IF(AR$6&lt;$B78,0,IF(AR$6=$B78,'Growth Engine'!AR$10*'Macro &amp; Indexation'!AR$19*gross_yield,AQ78*(1+'Macro &amp; Indexation'!AR$11)))</f>
        <v>0</v>
      </c>
      <c r="AS78" s="40">
        <f ca="1">IF(AS$6&lt;$B78,0,IF(AS$6=$B78,'Growth Engine'!AS$10*'Macro &amp; Indexation'!AS$19*gross_yield,AR78*(1+'Macro &amp; Indexation'!AS$11)))</f>
        <v>0</v>
      </c>
      <c r="AT78" s="40">
        <f ca="1">IF(AT$6&lt;$B78,0,IF(AT$6=$B78,'Growth Engine'!AT$10*'Macro &amp; Indexation'!AT$19*gross_yield,AS78*(1+'Macro &amp; Indexation'!AT$11)))</f>
        <v>0</v>
      </c>
      <c r="AU78" s="40">
        <f ca="1">IF(AU$6&lt;$B78,0,IF(AU$6=$B78,'Growth Engine'!AU$10*'Macro &amp; Indexation'!AU$19*gross_yield,AT78*(1+'Macro &amp; Indexation'!AU$11)))</f>
        <v>0</v>
      </c>
      <c r="AV78" s="40">
        <f ca="1">IF(AV$6&lt;$B78,0,IF(AV$6=$B78,'Growth Engine'!AV$10*'Macro &amp; Indexation'!AV$19*gross_yield,AU78*(1+'Macro &amp; Indexation'!AV$11)))</f>
        <v>0</v>
      </c>
      <c r="AW78" s="40">
        <f ca="1">IF(AW$6&lt;$B78,0,IF(AW$6=$B78,'Growth Engine'!AW$10*'Macro &amp; Indexation'!AW$19*gross_yield,AV78*(1+'Macro &amp; Indexation'!AW$11)))</f>
        <v>0</v>
      </c>
      <c r="AX78" s="40">
        <f ca="1">IF(AX$6&lt;$B78,0,IF(AX$6=$B78,'Growth Engine'!AX$10*'Macro &amp; Indexation'!AX$19*gross_yield,AW78*(1+'Macro &amp; Indexation'!AX$11)))</f>
        <v>0</v>
      </c>
      <c r="AY78" s="40">
        <f ca="1">IF(AY$6&lt;$B78,0,IF(AY$6=$B78,'Growth Engine'!AY$10*'Macro &amp; Indexation'!AY$19*gross_yield,AX78*(1+'Macro &amp; Indexation'!AY$11)))</f>
        <v>0</v>
      </c>
      <c r="AZ78" s="40">
        <f ca="1">IF(AZ$6&lt;$B78,0,IF(AZ$6=$B78,'Growth Engine'!AZ$10*'Macro &amp; Indexation'!AZ$19*gross_yield,AY78*(1+'Macro &amp; Indexation'!AZ$11)))</f>
        <v>0</v>
      </c>
      <c r="BA78" s="40">
        <f ca="1">IF(BA$6&lt;$B78,0,IF(BA$6=$B78,'Growth Engine'!BA$10*'Macro &amp; Indexation'!BA$19*gross_yield,AZ78*(1+'Macro &amp; Indexation'!BA$11)))</f>
        <v>0</v>
      </c>
    </row>
    <row r="79" spans="1:53" outlineLevel="1" x14ac:dyDescent="0.3">
      <c r="A79" t="s">
        <v>150</v>
      </c>
      <c r="B79">
        <v>14</v>
      </c>
      <c r="D79" s="40">
        <f>IF(D$6&lt;$B79,0,IF(D$6=$B79,'Growth Engine'!D$10*'Macro &amp; Indexation'!D$19*gross_yield,C79*(1+'Macro &amp; Indexation'!D$11)))</f>
        <v>0</v>
      </c>
      <c r="E79" s="40">
        <f>IF(E$6&lt;$B79,0,IF(E$6=$B79,'Growth Engine'!E$10*'Macro &amp; Indexation'!E$19*gross_yield,D79*(1+'Macro &amp; Indexation'!E$11)))</f>
        <v>0</v>
      </c>
      <c r="F79" s="40">
        <f>IF(F$6&lt;$B79,0,IF(F$6=$B79,'Growth Engine'!F$10*'Macro &amp; Indexation'!F$19*gross_yield,E79*(1+'Macro &amp; Indexation'!F$11)))</f>
        <v>0</v>
      </c>
      <c r="G79" s="40">
        <f>IF(G$6&lt;$B79,0,IF(G$6=$B79,'Growth Engine'!G$10*'Macro &amp; Indexation'!G$19*gross_yield,F79*(1+'Macro &amp; Indexation'!G$11)))</f>
        <v>0</v>
      </c>
      <c r="H79" s="40">
        <f>IF(H$6&lt;$B79,0,IF(H$6=$B79,'Growth Engine'!H$10*'Macro &amp; Indexation'!H$19*gross_yield,G79*(1+'Macro &amp; Indexation'!H$11)))</f>
        <v>0</v>
      </c>
      <c r="I79" s="40">
        <f>IF(I$6&lt;$B79,0,IF(I$6=$B79,'Growth Engine'!I$10*'Macro &amp; Indexation'!I$19*gross_yield,H79*(1+'Macro &amp; Indexation'!I$11)))</f>
        <v>0</v>
      </c>
      <c r="J79" s="40">
        <f>IF(J$6&lt;$B79,0,IF(J$6=$B79,'Growth Engine'!J$10*'Macro &amp; Indexation'!J$19*gross_yield,I79*(1+'Macro &amp; Indexation'!J$11)))</f>
        <v>0</v>
      </c>
      <c r="K79" s="40">
        <f>IF(K$6&lt;$B79,0,IF(K$6=$B79,'Growth Engine'!K$10*'Macro &amp; Indexation'!K$19*gross_yield,J79*(1+'Macro &amp; Indexation'!K$11)))</f>
        <v>0</v>
      </c>
      <c r="L79" s="40">
        <f>IF(L$6&lt;$B79,0,IF(L$6=$B79,'Growth Engine'!L$10*'Macro &amp; Indexation'!L$19*gross_yield,K79*(1+'Macro &amp; Indexation'!L$11)))</f>
        <v>0</v>
      </c>
      <c r="M79" s="40">
        <f>IF(M$6&lt;$B79,0,IF(M$6=$B79,'Growth Engine'!M$10*'Macro &amp; Indexation'!M$19*gross_yield,L79*(1+'Macro &amp; Indexation'!M$11)))</f>
        <v>0</v>
      </c>
      <c r="N79" s="40">
        <f>IF(N$6&lt;$B79,0,IF(N$6=$B79,'Growth Engine'!N$10*'Macro &amp; Indexation'!N$19*gross_yield,M79*(1+'Macro &amp; Indexation'!N$11)))</f>
        <v>0</v>
      </c>
      <c r="O79" s="40">
        <f>IF(O$6&lt;$B79,0,IF(O$6=$B79,'Growth Engine'!O$10*'Macro &amp; Indexation'!O$19*gross_yield,N79*(1+'Macro &amp; Indexation'!O$11)))</f>
        <v>0</v>
      </c>
      <c r="P79" s="40">
        <f>IF(P$6&lt;$B79,0,IF(P$6=$B79,'Growth Engine'!P$10*'Macro &amp; Indexation'!P$19*gross_yield,O79*(1+'Macro &amp; Indexation'!P$11)))</f>
        <v>0</v>
      </c>
      <c r="Q79" s="40">
        <f ca="1">IF(Q$6&lt;$B79,0,IF(Q$6=$B79,'Growth Engine'!Q$10*'Macro &amp; Indexation'!Q$19*gross_yield,P79*(1+'Macro &amp; Indexation'!Q$11)))</f>
        <v>0</v>
      </c>
      <c r="R79" s="40">
        <f ca="1">IF(R$6&lt;$B79,0,IF(R$6=$B79,'Growth Engine'!R$10*'Macro &amp; Indexation'!R$19*gross_yield,Q79*(1+'Macro &amp; Indexation'!R$11)))</f>
        <v>0</v>
      </c>
      <c r="S79" s="40">
        <f ca="1">IF(S$6&lt;$B79,0,IF(S$6=$B79,'Growth Engine'!S$10*'Macro &amp; Indexation'!S$19*gross_yield,R79*(1+'Macro &amp; Indexation'!S$11)))</f>
        <v>0</v>
      </c>
      <c r="T79" s="40">
        <f ca="1">IF(T$6&lt;$B79,0,IF(T$6=$B79,'Growth Engine'!T$10*'Macro &amp; Indexation'!T$19*gross_yield,S79*(1+'Macro &amp; Indexation'!T$11)))</f>
        <v>0</v>
      </c>
      <c r="U79" s="40">
        <f ca="1">IF(U$6&lt;$B79,0,IF(U$6=$B79,'Growth Engine'!U$10*'Macro &amp; Indexation'!U$19*gross_yield,T79*(1+'Macro &amp; Indexation'!U$11)))</f>
        <v>0</v>
      </c>
      <c r="V79" s="40">
        <f ca="1">IF(V$6&lt;$B79,0,IF(V$6=$B79,'Growth Engine'!V$10*'Macro &amp; Indexation'!V$19*gross_yield,U79*(1+'Macro &amp; Indexation'!V$11)))</f>
        <v>0</v>
      </c>
      <c r="W79" s="40">
        <f ca="1">IF(W$6&lt;$B79,0,IF(W$6=$B79,'Growth Engine'!W$10*'Macro &amp; Indexation'!W$19*gross_yield,V79*(1+'Macro &amp; Indexation'!W$11)))</f>
        <v>0</v>
      </c>
      <c r="X79" s="40">
        <f ca="1">IF(X$6&lt;$B79,0,IF(X$6=$B79,'Growth Engine'!X$10*'Macro &amp; Indexation'!X$19*gross_yield,W79*(1+'Macro &amp; Indexation'!X$11)))</f>
        <v>0</v>
      </c>
      <c r="Y79" s="40">
        <f ca="1">IF(Y$6&lt;$B79,0,IF(Y$6=$B79,'Growth Engine'!Y$10*'Macro &amp; Indexation'!Y$19*gross_yield,X79*(1+'Macro &amp; Indexation'!Y$11)))</f>
        <v>0</v>
      </c>
      <c r="Z79" s="40">
        <f ca="1">IF(Z$6&lt;$B79,0,IF(Z$6=$B79,'Growth Engine'!Z$10*'Macro &amp; Indexation'!Z$19*gross_yield,Y79*(1+'Macro &amp; Indexation'!Z$11)))</f>
        <v>0</v>
      </c>
      <c r="AA79" s="40">
        <f ca="1">IF(AA$6&lt;$B79,0,IF(AA$6=$B79,'Growth Engine'!AA$10*'Macro &amp; Indexation'!AA$19*gross_yield,Z79*(1+'Macro &amp; Indexation'!AA$11)))</f>
        <v>0</v>
      </c>
      <c r="AB79" s="40">
        <f ca="1">IF(AB$6&lt;$B79,0,IF(AB$6=$B79,'Growth Engine'!AB$10*'Macro &amp; Indexation'!AB$19*gross_yield,AA79*(1+'Macro &amp; Indexation'!AB$11)))</f>
        <v>0</v>
      </c>
      <c r="AC79" s="40">
        <f ca="1">IF(AC$6&lt;$B79,0,IF(AC$6=$B79,'Growth Engine'!AC$10*'Macro &amp; Indexation'!AC$19*gross_yield,AB79*(1+'Macro &amp; Indexation'!AC$11)))</f>
        <v>0</v>
      </c>
      <c r="AD79" s="40">
        <f ca="1">IF(AD$6&lt;$B79,0,IF(AD$6=$B79,'Growth Engine'!AD$10*'Macro &amp; Indexation'!AD$19*gross_yield,AC79*(1+'Macro &amp; Indexation'!AD$11)))</f>
        <v>0</v>
      </c>
      <c r="AE79" s="40">
        <f ca="1">IF(AE$6&lt;$B79,0,IF(AE$6=$B79,'Growth Engine'!AE$10*'Macro &amp; Indexation'!AE$19*gross_yield,AD79*(1+'Macro &amp; Indexation'!AE$11)))</f>
        <v>0</v>
      </c>
      <c r="AF79" s="40">
        <f ca="1">IF(AF$6&lt;$B79,0,IF(AF$6=$B79,'Growth Engine'!AF$10*'Macro &amp; Indexation'!AF$19*gross_yield,AE79*(1+'Macro &amp; Indexation'!AF$11)))</f>
        <v>0</v>
      </c>
      <c r="AG79" s="40">
        <f ca="1">IF(AG$6&lt;$B79,0,IF(AG$6=$B79,'Growth Engine'!AG$10*'Macro &amp; Indexation'!AG$19*gross_yield,AF79*(1+'Macro &amp; Indexation'!AG$11)))</f>
        <v>0</v>
      </c>
      <c r="AH79" s="40">
        <f ca="1">IF(AH$6&lt;$B79,0,IF(AH$6=$B79,'Growth Engine'!AH$10*'Macro &amp; Indexation'!AH$19*gross_yield,AG79*(1+'Macro &amp; Indexation'!AH$11)))</f>
        <v>0</v>
      </c>
      <c r="AI79" s="40">
        <f ca="1">IF(AI$6&lt;$B79,0,IF(AI$6=$B79,'Growth Engine'!AI$10*'Macro &amp; Indexation'!AI$19*gross_yield,AH79*(1+'Macro &amp; Indexation'!AI$11)))</f>
        <v>0</v>
      </c>
      <c r="AJ79" s="40">
        <f ca="1">IF(AJ$6&lt;$B79,0,IF(AJ$6=$B79,'Growth Engine'!AJ$10*'Macro &amp; Indexation'!AJ$19*gross_yield,AI79*(1+'Macro &amp; Indexation'!AJ$11)))</f>
        <v>0</v>
      </c>
      <c r="AK79" s="40">
        <f ca="1">IF(AK$6&lt;$B79,0,IF(AK$6=$B79,'Growth Engine'!AK$10*'Macro &amp; Indexation'!AK$19*gross_yield,AJ79*(1+'Macro &amp; Indexation'!AK$11)))</f>
        <v>0</v>
      </c>
      <c r="AL79" s="40">
        <f ca="1">IF(AL$6&lt;$B79,0,IF(AL$6=$B79,'Growth Engine'!AL$10*'Macro &amp; Indexation'!AL$19*gross_yield,AK79*(1+'Macro &amp; Indexation'!AL$11)))</f>
        <v>0</v>
      </c>
      <c r="AM79" s="40">
        <f ca="1">IF(AM$6&lt;$B79,0,IF(AM$6=$B79,'Growth Engine'!AM$10*'Macro &amp; Indexation'!AM$19*gross_yield,AL79*(1+'Macro &amp; Indexation'!AM$11)))</f>
        <v>0</v>
      </c>
      <c r="AN79" s="40">
        <f ca="1">IF(AN$6&lt;$B79,0,IF(AN$6=$B79,'Growth Engine'!AN$10*'Macro &amp; Indexation'!AN$19*gross_yield,AM79*(1+'Macro &amp; Indexation'!AN$11)))</f>
        <v>0</v>
      </c>
      <c r="AO79" s="40">
        <f ca="1">IF(AO$6&lt;$B79,0,IF(AO$6=$B79,'Growth Engine'!AO$10*'Macro &amp; Indexation'!AO$19*gross_yield,AN79*(1+'Macro &amp; Indexation'!AO$11)))</f>
        <v>0</v>
      </c>
      <c r="AP79" s="40">
        <f ca="1">IF(AP$6&lt;$B79,0,IF(AP$6=$B79,'Growth Engine'!AP$10*'Macro &amp; Indexation'!AP$19*gross_yield,AO79*(1+'Macro &amp; Indexation'!AP$11)))</f>
        <v>0</v>
      </c>
      <c r="AQ79" s="40">
        <f ca="1">IF(AQ$6&lt;$B79,0,IF(AQ$6=$B79,'Growth Engine'!AQ$10*'Macro &amp; Indexation'!AQ$19*gross_yield,AP79*(1+'Macro &amp; Indexation'!AQ$11)))</f>
        <v>0</v>
      </c>
      <c r="AR79" s="40">
        <f ca="1">IF(AR$6&lt;$B79,0,IF(AR$6=$B79,'Growth Engine'!AR$10*'Macro &amp; Indexation'!AR$19*gross_yield,AQ79*(1+'Macro &amp; Indexation'!AR$11)))</f>
        <v>0</v>
      </c>
      <c r="AS79" s="40">
        <f ca="1">IF(AS$6&lt;$B79,0,IF(AS$6=$B79,'Growth Engine'!AS$10*'Macro &amp; Indexation'!AS$19*gross_yield,AR79*(1+'Macro &amp; Indexation'!AS$11)))</f>
        <v>0</v>
      </c>
      <c r="AT79" s="40">
        <f ca="1">IF(AT$6&lt;$B79,0,IF(AT$6=$B79,'Growth Engine'!AT$10*'Macro &amp; Indexation'!AT$19*gross_yield,AS79*(1+'Macro &amp; Indexation'!AT$11)))</f>
        <v>0</v>
      </c>
      <c r="AU79" s="40">
        <f ca="1">IF(AU$6&lt;$B79,0,IF(AU$6=$B79,'Growth Engine'!AU$10*'Macro &amp; Indexation'!AU$19*gross_yield,AT79*(1+'Macro &amp; Indexation'!AU$11)))</f>
        <v>0</v>
      </c>
      <c r="AV79" s="40">
        <f ca="1">IF(AV$6&lt;$B79,0,IF(AV$6=$B79,'Growth Engine'!AV$10*'Macro &amp; Indexation'!AV$19*gross_yield,AU79*(1+'Macro &amp; Indexation'!AV$11)))</f>
        <v>0</v>
      </c>
      <c r="AW79" s="40">
        <f ca="1">IF(AW$6&lt;$B79,0,IF(AW$6=$B79,'Growth Engine'!AW$10*'Macro &amp; Indexation'!AW$19*gross_yield,AV79*(1+'Macro &amp; Indexation'!AW$11)))</f>
        <v>0</v>
      </c>
      <c r="AX79" s="40">
        <f ca="1">IF(AX$6&lt;$B79,0,IF(AX$6=$B79,'Growth Engine'!AX$10*'Macro &amp; Indexation'!AX$19*gross_yield,AW79*(1+'Macro &amp; Indexation'!AX$11)))</f>
        <v>0</v>
      </c>
      <c r="AY79" s="40">
        <f ca="1">IF(AY$6&lt;$B79,0,IF(AY$6=$B79,'Growth Engine'!AY$10*'Macro &amp; Indexation'!AY$19*gross_yield,AX79*(1+'Macro &amp; Indexation'!AY$11)))</f>
        <v>0</v>
      </c>
      <c r="AZ79" s="40">
        <f ca="1">IF(AZ$6&lt;$B79,0,IF(AZ$6=$B79,'Growth Engine'!AZ$10*'Macro &amp; Indexation'!AZ$19*gross_yield,AY79*(1+'Macro &amp; Indexation'!AZ$11)))</f>
        <v>0</v>
      </c>
      <c r="BA79" s="40">
        <f ca="1">IF(BA$6&lt;$B79,0,IF(BA$6=$B79,'Growth Engine'!BA$10*'Macro &amp; Indexation'!BA$19*gross_yield,AZ79*(1+'Macro &amp; Indexation'!BA$11)))</f>
        <v>0</v>
      </c>
    </row>
    <row r="80" spans="1:53" outlineLevel="1" x14ac:dyDescent="0.3">
      <c r="A80" t="s">
        <v>151</v>
      </c>
      <c r="B80">
        <v>15</v>
      </c>
      <c r="D80" s="40">
        <f>IF(D$6&lt;$B80,0,IF(D$6=$B80,'Growth Engine'!D$10*'Macro &amp; Indexation'!D$19*gross_yield,C80*(1+'Macro &amp; Indexation'!D$11)))</f>
        <v>0</v>
      </c>
      <c r="E80" s="40">
        <f>IF(E$6&lt;$B80,0,IF(E$6=$B80,'Growth Engine'!E$10*'Macro &amp; Indexation'!E$19*gross_yield,D80*(1+'Macro &amp; Indexation'!E$11)))</f>
        <v>0</v>
      </c>
      <c r="F80" s="40">
        <f>IF(F$6&lt;$B80,0,IF(F$6=$B80,'Growth Engine'!F$10*'Macro &amp; Indexation'!F$19*gross_yield,E80*(1+'Macro &amp; Indexation'!F$11)))</f>
        <v>0</v>
      </c>
      <c r="G80" s="40">
        <f>IF(G$6&lt;$B80,0,IF(G$6=$B80,'Growth Engine'!G$10*'Macro &amp; Indexation'!G$19*gross_yield,F80*(1+'Macro &amp; Indexation'!G$11)))</f>
        <v>0</v>
      </c>
      <c r="H80" s="40">
        <f>IF(H$6&lt;$B80,0,IF(H$6=$B80,'Growth Engine'!H$10*'Macro &amp; Indexation'!H$19*gross_yield,G80*(1+'Macro &amp; Indexation'!H$11)))</f>
        <v>0</v>
      </c>
      <c r="I80" s="40">
        <f>IF(I$6&lt;$B80,0,IF(I$6=$B80,'Growth Engine'!I$10*'Macro &amp; Indexation'!I$19*gross_yield,H80*(1+'Macro &amp; Indexation'!I$11)))</f>
        <v>0</v>
      </c>
      <c r="J80" s="40">
        <f>IF(J$6&lt;$B80,0,IF(J$6=$B80,'Growth Engine'!J$10*'Macro &amp; Indexation'!J$19*gross_yield,I80*(1+'Macro &amp; Indexation'!J$11)))</f>
        <v>0</v>
      </c>
      <c r="K80" s="40">
        <f>IF(K$6&lt;$B80,0,IF(K$6=$B80,'Growth Engine'!K$10*'Macro &amp; Indexation'!K$19*gross_yield,J80*(1+'Macro &amp; Indexation'!K$11)))</f>
        <v>0</v>
      </c>
      <c r="L80" s="40">
        <f>IF(L$6&lt;$B80,0,IF(L$6=$B80,'Growth Engine'!L$10*'Macro &amp; Indexation'!L$19*gross_yield,K80*(1+'Macro &amp; Indexation'!L$11)))</f>
        <v>0</v>
      </c>
      <c r="M80" s="40">
        <f>IF(M$6&lt;$B80,0,IF(M$6=$B80,'Growth Engine'!M$10*'Macro &amp; Indexation'!M$19*gross_yield,L80*(1+'Macro &amp; Indexation'!M$11)))</f>
        <v>0</v>
      </c>
      <c r="N80" s="40">
        <f>IF(N$6&lt;$B80,0,IF(N$6=$B80,'Growth Engine'!N$10*'Macro &amp; Indexation'!N$19*gross_yield,M80*(1+'Macro &amp; Indexation'!N$11)))</f>
        <v>0</v>
      </c>
      <c r="O80" s="40">
        <f>IF(O$6&lt;$B80,0,IF(O$6=$B80,'Growth Engine'!O$10*'Macro &amp; Indexation'!O$19*gross_yield,N80*(1+'Macro &amp; Indexation'!O$11)))</f>
        <v>0</v>
      </c>
      <c r="P80" s="40">
        <f>IF(P$6&lt;$B80,0,IF(P$6=$B80,'Growth Engine'!P$10*'Macro &amp; Indexation'!P$19*gross_yield,O80*(1+'Macro &amp; Indexation'!P$11)))</f>
        <v>0</v>
      </c>
      <c r="Q80" s="40">
        <f>IF(Q$6&lt;$B80,0,IF(Q$6=$B80,'Growth Engine'!Q$10*'Macro &amp; Indexation'!Q$19*gross_yield,P80*(1+'Macro &amp; Indexation'!Q$11)))</f>
        <v>0</v>
      </c>
      <c r="R80" s="40">
        <f ca="1">IF(R$6&lt;$B80,0,IF(R$6=$B80,'Growth Engine'!R$10*'Macro &amp; Indexation'!R$19*gross_yield,Q80*(1+'Macro &amp; Indexation'!R$11)))</f>
        <v>0</v>
      </c>
      <c r="S80" s="40">
        <f ca="1">IF(S$6&lt;$B80,0,IF(S$6=$B80,'Growth Engine'!S$10*'Macro &amp; Indexation'!S$19*gross_yield,R80*(1+'Macro &amp; Indexation'!S$11)))</f>
        <v>0</v>
      </c>
      <c r="T80" s="40">
        <f ca="1">IF(T$6&lt;$B80,0,IF(T$6=$B80,'Growth Engine'!T$10*'Macro &amp; Indexation'!T$19*gross_yield,S80*(1+'Macro &amp; Indexation'!T$11)))</f>
        <v>0</v>
      </c>
      <c r="U80" s="40">
        <f ca="1">IF(U$6&lt;$B80,0,IF(U$6=$B80,'Growth Engine'!U$10*'Macro &amp; Indexation'!U$19*gross_yield,T80*(1+'Macro &amp; Indexation'!U$11)))</f>
        <v>0</v>
      </c>
      <c r="V80" s="40">
        <f ca="1">IF(V$6&lt;$B80,0,IF(V$6=$B80,'Growth Engine'!V$10*'Macro &amp; Indexation'!V$19*gross_yield,U80*(1+'Macro &amp; Indexation'!V$11)))</f>
        <v>0</v>
      </c>
      <c r="W80" s="40">
        <f ca="1">IF(W$6&lt;$B80,0,IF(W$6=$B80,'Growth Engine'!W$10*'Macro &amp; Indexation'!W$19*gross_yield,V80*(1+'Macro &amp; Indexation'!W$11)))</f>
        <v>0</v>
      </c>
      <c r="X80" s="40">
        <f ca="1">IF(X$6&lt;$B80,0,IF(X$6=$B80,'Growth Engine'!X$10*'Macro &amp; Indexation'!X$19*gross_yield,W80*(1+'Macro &amp; Indexation'!X$11)))</f>
        <v>0</v>
      </c>
      <c r="Y80" s="40">
        <f ca="1">IF(Y$6&lt;$B80,0,IF(Y$6=$B80,'Growth Engine'!Y$10*'Macro &amp; Indexation'!Y$19*gross_yield,X80*(1+'Macro &amp; Indexation'!Y$11)))</f>
        <v>0</v>
      </c>
      <c r="Z80" s="40">
        <f ca="1">IF(Z$6&lt;$B80,0,IF(Z$6=$B80,'Growth Engine'!Z$10*'Macro &amp; Indexation'!Z$19*gross_yield,Y80*(1+'Macro &amp; Indexation'!Z$11)))</f>
        <v>0</v>
      </c>
      <c r="AA80" s="40">
        <f ca="1">IF(AA$6&lt;$B80,0,IF(AA$6=$B80,'Growth Engine'!AA$10*'Macro &amp; Indexation'!AA$19*gross_yield,Z80*(1+'Macro &amp; Indexation'!AA$11)))</f>
        <v>0</v>
      </c>
      <c r="AB80" s="40">
        <f ca="1">IF(AB$6&lt;$B80,0,IF(AB$6=$B80,'Growth Engine'!AB$10*'Macro &amp; Indexation'!AB$19*gross_yield,AA80*(1+'Macro &amp; Indexation'!AB$11)))</f>
        <v>0</v>
      </c>
      <c r="AC80" s="40">
        <f ca="1">IF(AC$6&lt;$B80,0,IF(AC$6=$B80,'Growth Engine'!AC$10*'Macro &amp; Indexation'!AC$19*gross_yield,AB80*(1+'Macro &amp; Indexation'!AC$11)))</f>
        <v>0</v>
      </c>
      <c r="AD80" s="40">
        <f ca="1">IF(AD$6&lt;$B80,0,IF(AD$6=$B80,'Growth Engine'!AD$10*'Macro &amp; Indexation'!AD$19*gross_yield,AC80*(1+'Macro &amp; Indexation'!AD$11)))</f>
        <v>0</v>
      </c>
      <c r="AE80" s="40">
        <f ca="1">IF(AE$6&lt;$B80,0,IF(AE$6=$B80,'Growth Engine'!AE$10*'Macro &amp; Indexation'!AE$19*gross_yield,AD80*(1+'Macro &amp; Indexation'!AE$11)))</f>
        <v>0</v>
      </c>
      <c r="AF80" s="40">
        <f ca="1">IF(AF$6&lt;$B80,0,IF(AF$6=$B80,'Growth Engine'!AF$10*'Macro &amp; Indexation'!AF$19*gross_yield,AE80*(1+'Macro &amp; Indexation'!AF$11)))</f>
        <v>0</v>
      </c>
      <c r="AG80" s="40">
        <f ca="1">IF(AG$6&lt;$B80,0,IF(AG$6=$B80,'Growth Engine'!AG$10*'Macro &amp; Indexation'!AG$19*gross_yield,AF80*(1+'Macro &amp; Indexation'!AG$11)))</f>
        <v>0</v>
      </c>
      <c r="AH80" s="40">
        <f ca="1">IF(AH$6&lt;$B80,0,IF(AH$6=$B80,'Growth Engine'!AH$10*'Macro &amp; Indexation'!AH$19*gross_yield,AG80*(1+'Macro &amp; Indexation'!AH$11)))</f>
        <v>0</v>
      </c>
      <c r="AI80" s="40">
        <f ca="1">IF(AI$6&lt;$B80,0,IF(AI$6=$B80,'Growth Engine'!AI$10*'Macro &amp; Indexation'!AI$19*gross_yield,AH80*(1+'Macro &amp; Indexation'!AI$11)))</f>
        <v>0</v>
      </c>
      <c r="AJ80" s="40">
        <f ca="1">IF(AJ$6&lt;$B80,0,IF(AJ$6=$B80,'Growth Engine'!AJ$10*'Macro &amp; Indexation'!AJ$19*gross_yield,AI80*(1+'Macro &amp; Indexation'!AJ$11)))</f>
        <v>0</v>
      </c>
      <c r="AK80" s="40">
        <f ca="1">IF(AK$6&lt;$B80,0,IF(AK$6=$B80,'Growth Engine'!AK$10*'Macro &amp; Indexation'!AK$19*gross_yield,AJ80*(1+'Macro &amp; Indexation'!AK$11)))</f>
        <v>0</v>
      </c>
      <c r="AL80" s="40">
        <f ca="1">IF(AL$6&lt;$B80,0,IF(AL$6=$B80,'Growth Engine'!AL$10*'Macro &amp; Indexation'!AL$19*gross_yield,AK80*(1+'Macro &amp; Indexation'!AL$11)))</f>
        <v>0</v>
      </c>
      <c r="AM80" s="40">
        <f ca="1">IF(AM$6&lt;$B80,0,IF(AM$6=$B80,'Growth Engine'!AM$10*'Macro &amp; Indexation'!AM$19*gross_yield,AL80*(1+'Macro &amp; Indexation'!AM$11)))</f>
        <v>0</v>
      </c>
      <c r="AN80" s="40">
        <f ca="1">IF(AN$6&lt;$B80,0,IF(AN$6=$B80,'Growth Engine'!AN$10*'Macro &amp; Indexation'!AN$19*gross_yield,AM80*(1+'Macro &amp; Indexation'!AN$11)))</f>
        <v>0</v>
      </c>
      <c r="AO80" s="40">
        <f ca="1">IF(AO$6&lt;$B80,0,IF(AO$6=$B80,'Growth Engine'!AO$10*'Macro &amp; Indexation'!AO$19*gross_yield,AN80*(1+'Macro &amp; Indexation'!AO$11)))</f>
        <v>0</v>
      </c>
      <c r="AP80" s="40">
        <f ca="1">IF(AP$6&lt;$B80,0,IF(AP$6=$B80,'Growth Engine'!AP$10*'Macro &amp; Indexation'!AP$19*gross_yield,AO80*(1+'Macro &amp; Indexation'!AP$11)))</f>
        <v>0</v>
      </c>
      <c r="AQ80" s="40">
        <f ca="1">IF(AQ$6&lt;$B80,0,IF(AQ$6=$B80,'Growth Engine'!AQ$10*'Macro &amp; Indexation'!AQ$19*gross_yield,AP80*(1+'Macro &amp; Indexation'!AQ$11)))</f>
        <v>0</v>
      </c>
      <c r="AR80" s="40">
        <f ca="1">IF(AR$6&lt;$B80,0,IF(AR$6=$B80,'Growth Engine'!AR$10*'Macro &amp; Indexation'!AR$19*gross_yield,AQ80*(1+'Macro &amp; Indexation'!AR$11)))</f>
        <v>0</v>
      </c>
      <c r="AS80" s="40">
        <f ca="1">IF(AS$6&lt;$B80,0,IF(AS$6=$B80,'Growth Engine'!AS$10*'Macro &amp; Indexation'!AS$19*gross_yield,AR80*(1+'Macro &amp; Indexation'!AS$11)))</f>
        <v>0</v>
      </c>
      <c r="AT80" s="40">
        <f ca="1">IF(AT$6&lt;$B80,0,IF(AT$6=$B80,'Growth Engine'!AT$10*'Macro &amp; Indexation'!AT$19*gross_yield,AS80*(1+'Macro &amp; Indexation'!AT$11)))</f>
        <v>0</v>
      </c>
      <c r="AU80" s="40">
        <f ca="1">IF(AU$6&lt;$B80,0,IF(AU$6=$B80,'Growth Engine'!AU$10*'Macro &amp; Indexation'!AU$19*gross_yield,AT80*(1+'Macro &amp; Indexation'!AU$11)))</f>
        <v>0</v>
      </c>
      <c r="AV80" s="40">
        <f ca="1">IF(AV$6&lt;$B80,0,IF(AV$6=$B80,'Growth Engine'!AV$10*'Macro &amp; Indexation'!AV$19*gross_yield,AU80*(1+'Macro &amp; Indexation'!AV$11)))</f>
        <v>0</v>
      </c>
      <c r="AW80" s="40">
        <f ca="1">IF(AW$6&lt;$B80,0,IF(AW$6=$B80,'Growth Engine'!AW$10*'Macro &amp; Indexation'!AW$19*gross_yield,AV80*(1+'Macro &amp; Indexation'!AW$11)))</f>
        <v>0</v>
      </c>
      <c r="AX80" s="40">
        <f ca="1">IF(AX$6&lt;$B80,0,IF(AX$6=$B80,'Growth Engine'!AX$10*'Macro &amp; Indexation'!AX$19*gross_yield,AW80*(1+'Macro &amp; Indexation'!AX$11)))</f>
        <v>0</v>
      </c>
      <c r="AY80" s="40">
        <f ca="1">IF(AY$6&lt;$B80,0,IF(AY$6=$B80,'Growth Engine'!AY$10*'Macro &amp; Indexation'!AY$19*gross_yield,AX80*(1+'Macro &amp; Indexation'!AY$11)))</f>
        <v>0</v>
      </c>
      <c r="AZ80" s="40">
        <f ca="1">IF(AZ$6&lt;$B80,0,IF(AZ$6=$B80,'Growth Engine'!AZ$10*'Macro &amp; Indexation'!AZ$19*gross_yield,AY80*(1+'Macro &amp; Indexation'!AZ$11)))</f>
        <v>0</v>
      </c>
      <c r="BA80" s="40">
        <f ca="1">IF(BA$6&lt;$B80,0,IF(BA$6=$B80,'Growth Engine'!BA$10*'Macro &amp; Indexation'!BA$19*gross_yield,AZ80*(1+'Macro &amp; Indexation'!BA$11)))</f>
        <v>0</v>
      </c>
    </row>
    <row r="81" spans="1:53" outlineLevel="1" x14ac:dyDescent="0.3">
      <c r="A81" t="s">
        <v>152</v>
      </c>
      <c r="B81">
        <v>16</v>
      </c>
      <c r="D81" s="40">
        <f>IF(D$6&lt;$B81,0,IF(D$6=$B81,'Growth Engine'!D$10*'Macro &amp; Indexation'!D$19*gross_yield,C81*(1+'Macro &amp; Indexation'!D$11)))</f>
        <v>0</v>
      </c>
      <c r="E81" s="40">
        <f>IF(E$6&lt;$B81,0,IF(E$6=$B81,'Growth Engine'!E$10*'Macro &amp; Indexation'!E$19*gross_yield,D81*(1+'Macro &amp; Indexation'!E$11)))</f>
        <v>0</v>
      </c>
      <c r="F81" s="40">
        <f>IF(F$6&lt;$B81,0,IF(F$6=$B81,'Growth Engine'!F$10*'Macro &amp; Indexation'!F$19*gross_yield,E81*(1+'Macro &amp; Indexation'!F$11)))</f>
        <v>0</v>
      </c>
      <c r="G81" s="40">
        <f>IF(G$6&lt;$B81,0,IF(G$6=$B81,'Growth Engine'!G$10*'Macro &amp; Indexation'!G$19*gross_yield,F81*(1+'Macro &amp; Indexation'!G$11)))</f>
        <v>0</v>
      </c>
      <c r="H81" s="40">
        <f>IF(H$6&lt;$B81,0,IF(H$6=$B81,'Growth Engine'!H$10*'Macro &amp; Indexation'!H$19*gross_yield,G81*(1+'Macro &amp; Indexation'!H$11)))</f>
        <v>0</v>
      </c>
      <c r="I81" s="40">
        <f>IF(I$6&lt;$B81,0,IF(I$6=$B81,'Growth Engine'!I$10*'Macro &amp; Indexation'!I$19*gross_yield,H81*(1+'Macro &amp; Indexation'!I$11)))</f>
        <v>0</v>
      </c>
      <c r="J81" s="40">
        <f>IF(J$6&lt;$B81,0,IF(J$6=$B81,'Growth Engine'!J$10*'Macro &amp; Indexation'!J$19*gross_yield,I81*(1+'Macro &amp; Indexation'!J$11)))</f>
        <v>0</v>
      </c>
      <c r="K81" s="40">
        <f>IF(K$6&lt;$B81,0,IF(K$6=$B81,'Growth Engine'!K$10*'Macro &amp; Indexation'!K$19*gross_yield,J81*(1+'Macro &amp; Indexation'!K$11)))</f>
        <v>0</v>
      </c>
      <c r="L81" s="40">
        <f>IF(L$6&lt;$B81,0,IF(L$6=$B81,'Growth Engine'!L$10*'Macro &amp; Indexation'!L$19*gross_yield,K81*(1+'Macro &amp; Indexation'!L$11)))</f>
        <v>0</v>
      </c>
      <c r="M81" s="40">
        <f>IF(M$6&lt;$B81,0,IF(M$6=$B81,'Growth Engine'!M$10*'Macro &amp; Indexation'!M$19*gross_yield,L81*(1+'Macro &amp; Indexation'!M$11)))</f>
        <v>0</v>
      </c>
      <c r="N81" s="40">
        <f>IF(N$6&lt;$B81,0,IF(N$6=$B81,'Growth Engine'!N$10*'Macro &amp; Indexation'!N$19*gross_yield,M81*(1+'Macro &amp; Indexation'!N$11)))</f>
        <v>0</v>
      </c>
      <c r="O81" s="40">
        <f>IF(O$6&lt;$B81,0,IF(O$6=$B81,'Growth Engine'!O$10*'Macro &amp; Indexation'!O$19*gross_yield,N81*(1+'Macro &amp; Indexation'!O$11)))</f>
        <v>0</v>
      </c>
      <c r="P81" s="40">
        <f>IF(P$6&lt;$B81,0,IF(P$6=$B81,'Growth Engine'!P$10*'Macro &amp; Indexation'!P$19*gross_yield,O81*(1+'Macro &amp; Indexation'!P$11)))</f>
        <v>0</v>
      </c>
      <c r="Q81" s="40">
        <f>IF(Q$6&lt;$B81,0,IF(Q$6=$B81,'Growth Engine'!Q$10*'Macro &amp; Indexation'!Q$19*gross_yield,P81*(1+'Macro &amp; Indexation'!Q$11)))</f>
        <v>0</v>
      </c>
      <c r="R81" s="40">
        <f>IF(R$6&lt;$B81,0,IF(R$6=$B81,'Growth Engine'!R$10*'Macro &amp; Indexation'!R$19*gross_yield,Q81*(1+'Macro &amp; Indexation'!R$11)))</f>
        <v>0</v>
      </c>
      <c r="S81" s="40">
        <f ca="1">IF(S$6&lt;$B81,0,IF(S$6=$B81,'Growth Engine'!S$10*'Macro &amp; Indexation'!S$19*gross_yield,R81*(1+'Macro &amp; Indexation'!S$11)))</f>
        <v>0</v>
      </c>
      <c r="T81" s="40">
        <f ca="1">IF(T$6&lt;$B81,0,IF(T$6=$B81,'Growth Engine'!T$10*'Macro &amp; Indexation'!T$19*gross_yield,S81*(1+'Macro &amp; Indexation'!T$11)))</f>
        <v>0</v>
      </c>
      <c r="U81" s="40">
        <f ca="1">IF(U$6&lt;$B81,0,IF(U$6=$B81,'Growth Engine'!U$10*'Macro &amp; Indexation'!U$19*gross_yield,T81*(1+'Macro &amp; Indexation'!U$11)))</f>
        <v>0</v>
      </c>
      <c r="V81" s="40">
        <f ca="1">IF(V$6&lt;$B81,0,IF(V$6=$B81,'Growth Engine'!V$10*'Macro &amp; Indexation'!V$19*gross_yield,U81*(1+'Macro &amp; Indexation'!V$11)))</f>
        <v>0</v>
      </c>
      <c r="W81" s="40">
        <f ca="1">IF(W$6&lt;$B81,0,IF(W$6=$B81,'Growth Engine'!W$10*'Macro &amp; Indexation'!W$19*gross_yield,V81*(1+'Macro &amp; Indexation'!W$11)))</f>
        <v>0</v>
      </c>
      <c r="X81" s="40">
        <f ca="1">IF(X$6&lt;$B81,0,IF(X$6=$B81,'Growth Engine'!X$10*'Macro &amp; Indexation'!X$19*gross_yield,W81*(1+'Macro &amp; Indexation'!X$11)))</f>
        <v>0</v>
      </c>
      <c r="Y81" s="40">
        <f ca="1">IF(Y$6&lt;$B81,0,IF(Y$6=$B81,'Growth Engine'!Y$10*'Macro &amp; Indexation'!Y$19*gross_yield,X81*(1+'Macro &amp; Indexation'!Y$11)))</f>
        <v>0</v>
      </c>
      <c r="Z81" s="40">
        <f ca="1">IF(Z$6&lt;$B81,0,IF(Z$6=$B81,'Growth Engine'!Z$10*'Macro &amp; Indexation'!Z$19*gross_yield,Y81*(1+'Macro &amp; Indexation'!Z$11)))</f>
        <v>0</v>
      </c>
      <c r="AA81" s="40">
        <f ca="1">IF(AA$6&lt;$B81,0,IF(AA$6=$B81,'Growth Engine'!AA$10*'Macro &amp; Indexation'!AA$19*gross_yield,Z81*(1+'Macro &amp; Indexation'!AA$11)))</f>
        <v>0</v>
      </c>
      <c r="AB81" s="40">
        <f ca="1">IF(AB$6&lt;$B81,0,IF(AB$6=$B81,'Growth Engine'!AB$10*'Macro &amp; Indexation'!AB$19*gross_yield,AA81*(1+'Macro &amp; Indexation'!AB$11)))</f>
        <v>0</v>
      </c>
      <c r="AC81" s="40">
        <f ca="1">IF(AC$6&lt;$B81,0,IF(AC$6=$B81,'Growth Engine'!AC$10*'Macro &amp; Indexation'!AC$19*gross_yield,AB81*(1+'Macro &amp; Indexation'!AC$11)))</f>
        <v>0</v>
      </c>
      <c r="AD81" s="40">
        <f ca="1">IF(AD$6&lt;$B81,0,IF(AD$6=$B81,'Growth Engine'!AD$10*'Macro &amp; Indexation'!AD$19*gross_yield,AC81*(1+'Macro &amp; Indexation'!AD$11)))</f>
        <v>0</v>
      </c>
      <c r="AE81" s="40">
        <f ca="1">IF(AE$6&lt;$B81,0,IF(AE$6=$B81,'Growth Engine'!AE$10*'Macro &amp; Indexation'!AE$19*gross_yield,AD81*(1+'Macro &amp; Indexation'!AE$11)))</f>
        <v>0</v>
      </c>
      <c r="AF81" s="40">
        <f ca="1">IF(AF$6&lt;$B81,0,IF(AF$6=$B81,'Growth Engine'!AF$10*'Macro &amp; Indexation'!AF$19*gross_yield,AE81*(1+'Macro &amp; Indexation'!AF$11)))</f>
        <v>0</v>
      </c>
      <c r="AG81" s="40">
        <f ca="1">IF(AG$6&lt;$B81,0,IF(AG$6=$B81,'Growth Engine'!AG$10*'Macro &amp; Indexation'!AG$19*gross_yield,AF81*(1+'Macro &amp; Indexation'!AG$11)))</f>
        <v>0</v>
      </c>
      <c r="AH81" s="40">
        <f ca="1">IF(AH$6&lt;$B81,0,IF(AH$6=$B81,'Growth Engine'!AH$10*'Macro &amp; Indexation'!AH$19*gross_yield,AG81*(1+'Macro &amp; Indexation'!AH$11)))</f>
        <v>0</v>
      </c>
      <c r="AI81" s="40">
        <f ca="1">IF(AI$6&lt;$B81,0,IF(AI$6=$B81,'Growth Engine'!AI$10*'Macro &amp; Indexation'!AI$19*gross_yield,AH81*(1+'Macro &amp; Indexation'!AI$11)))</f>
        <v>0</v>
      </c>
      <c r="AJ81" s="40">
        <f ca="1">IF(AJ$6&lt;$B81,0,IF(AJ$6=$B81,'Growth Engine'!AJ$10*'Macro &amp; Indexation'!AJ$19*gross_yield,AI81*(1+'Macro &amp; Indexation'!AJ$11)))</f>
        <v>0</v>
      </c>
      <c r="AK81" s="40">
        <f ca="1">IF(AK$6&lt;$B81,0,IF(AK$6=$B81,'Growth Engine'!AK$10*'Macro &amp; Indexation'!AK$19*gross_yield,AJ81*(1+'Macro &amp; Indexation'!AK$11)))</f>
        <v>0</v>
      </c>
      <c r="AL81" s="40">
        <f ca="1">IF(AL$6&lt;$B81,0,IF(AL$6=$B81,'Growth Engine'!AL$10*'Macro &amp; Indexation'!AL$19*gross_yield,AK81*(1+'Macro &amp; Indexation'!AL$11)))</f>
        <v>0</v>
      </c>
      <c r="AM81" s="40">
        <f ca="1">IF(AM$6&lt;$B81,0,IF(AM$6=$B81,'Growth Engine'!AM$10*'Macro &amp; Indexation'!AM$19*gross_yield,AL81*(1+'Macro &amp; Indexation'!AM$11)))</f>
        <v>0</v>
      </c>
      <c r="AN81" s="40">
        <f ca="1">IF(AN$6&lt;$B81,0,IF(AN$6=$B81,'Growth Engine'!AN$10*'Macro &amp; Indexation'!AN$19*gross_yield,AM81*(1+'Macro &amp; Indexation'!AN$11)))</f>
        <v>0</v>
      </c>
      <c r="AO81" s="40">
        <f ca="1">IF(AO$6&lt;$B81,0,IF(AO$6=$B81,'Growth Engine'!AO$10*'Macro &amp; Indexation'!AO$19*gross_yield,AN81*(1+'Macro &amp; Indexation'!AO$11)))</f>
        <v>0</v>
      </c>
      <c r="AP81" s="40">
        <f ca="1">IF(AP$6&lt;$B81,0,IF(AP$6=$B81,'Growth Engine'!AP$10*'Macro &amp; Indexation'!AP$19*gross_yield,AO81*(1+'Macro &amp; Indexation'!AP$11)))</f>
        <v>0</v>
      </c>
      <c r="AQ81" s="40">
        <f ca="1">IF(AQ$6&lt;$B81,0,IF(AQ$6=$B81,'Growth Engine'!AQ$10*'Macro &amp; Indexation'!AQ$19*gross_yield,AP81*(1+'Macro &amp; Indexation'!AQ$11)))</f>
        <v>0</v>
      </c>
      <c r="AR81" s="40">
        <f ca="1">IF(AR$6&lt;$B81,0,IF(AR$6=$B81,'Growth Engine'!AR$10*'Macro &amp; Indexation'!AR$19*gross_yield,AQ81*(1+'Macro &amp; Indexation'!AR$11)))</f>
        <v>0</v>
      </c>
      <c r="AS81" s="40">
        <f ca="1">IF(AS$6&lt;$B81,0,IF(AS$6=$B81,'Growth Engine'!AS$10*'Macro &amp; Indexation'!AS$19*gross_yield,AR81*(1+'Macro &amp; Indexation'!AS$11)))</f>
        <v>0</v>
      </c>
      <c r="AT81" s="40">
        <f ca="1">IF(AT$6&lt;$B81,0,IF(AT$6=$B81,'Growth Engine'!AT$10*'Macro &amp; Indexation'!AT$19*gross_yield,AS81*(1+'Macro &amp; Indexation'!AT$11)))</f>
        <v>0</v>
      </c>
      <c r="AU81" s="40">
        <f ca="1">IF(AU$6&lt;$B81,0,IF(AU$6=$B81,'Growth Engine'!AU$10*'Macro &amp; Indexation'!AU$19*gross_yield,AT81*(1+'Macro &amp; Indexation'!AU$11)))</f>
        <v>0</v>
      </c>
      <c r="AV81" s="40">
        <f ca="1">IF(AV$6&lt;$B81,0,IF(AV$6=$B81,'Growth Engine'!AV$10*'Macro &amp; Indexation'!AV$19*gross_yield,AU81*(1+'Macro &amp; Indexation'!AV$11)))</f>
        <v>0</v>
      </c>
      <c r="AW81" s="40">
        <f ca="1">IF(AW$6&lt;$B81,0,IF(AW$6=$B81,'Growth Engine'!AW$10*'Macro &amp; Indexation'!AW$19*gross_yield,AV81*(1+'Macro &amp; Indexation'!AW$11)))</f>
        <v>0</v>
      </c>
      <c r="AX81" s="40">
        <f ca="1">IF(AX$6&lt;$B81,0,IF(AX$6=$B81,'Growth Engine'!AX$10*'Macro &amp; Indexation'!AX$19*gross_yield,AW81*(1+'Macro &amp; Indexation'!AX$11)))</f>
        <v>0</v>
      </c>
      <c r="AY81" s="40">
        <f ca="1">IF(AY$6&lt;$B81,0,IF(AY$6=$B81,'Growth Engine'!AY$10*'Macro &amp; Indexation'!AY$19*gross_yield,AX81*(1+'Macro &amp; Indexation'!AY$11)))</f>
        <v>0</v>
      </c>
      <c r="AZ81" s="40">
        <f ca="1">IF(AZ$6&lt;$B81,0,IF(AZ$6=$B81,'Growth Engine'!AZ$10*'Macro &amp; Indexation'!AZ$19*gross_yield,AY81*(1+'Macro &amp; Indexation'!AZ$11)))</f>
        <v>0</v>
      </c>
      <c r="BA81" s="40">
        <f ca="1">IF(BA$6&lt;$B81,0,IF(BA$6=$B81,'Growth Engine'!BA$10*'Macro &amp; Indexation'!BA$19*gross_yield,AZ81*(1+'Macro &amp; Indexation'!BA$11)))</f>
        <v>0</v>
      </c>
    </row>
    <row r="82" spans="1:53" outlineLevel="1" x14ac:dyDescent="0.3">
      <c r="A82" t="s">
        <v>153</v>
      </c>
      <c r="B82">
        <v>17</v>
      </c>
      <c r="D82" s="40">
        <f>IF(D$6&lt;$B82,0,IF(D$6=$B82,'Growth Engine'!D$10*'Macro &amp; Indexation'!D$19*gross_yield,C82*(1+'Macro &amp; Indexation'!D$11)))</f>
        <v>0</v>
      </c>
      <c r="E82" s="40">
        <f>IF(E$6&lt;$B82,0,IF(E$6=$B82,'Growth Engine'!E$10*'Macro &amp; Indexation'!E$19*gross_yield,D82*(1+'Macro &amp; Indexation'!E$11)))</f>
        <v>0</v>
      </c>
      <c r="F82" s="40">
        <f>IF(F$6&lt;$B82,0,IF(F$6=$B82,'Growth Engine'!F$10*'Macro &amp; Indexation'!F$19*gross_yield,E82*(1+'Macro &amp; Indexation'!F$11)))</f>
        <v>0</v>
      </c>
      <c r="G82" s="40">
        <f>IF(G$6&lt;$B82,0,IF(G$6=$B82,'Growth Engine'!G$10*'Macro &amp; Indexation'!G$19*gross_yield,F82*(1+'Macro &amp; Indexation'!G$11)))</f>
        <v>0</v>
      </c>
      <c r="H82" s="40">
        <f>IF(H$6&lt;$B82,0,IF(H$6=$B82,'Growth Engine'!H$10*'Macro &amp; Indexation'!H$19*gross_yield,G82*(1+'Macro &amp; Indexation'!H$11)))</f>
        <v>0</v>
      </c>
      <c r="I82" s="40">
        <f>IF(I$6&lt;$B82,0,IF(I$6=$B82,'Growth Engine'!I$10*'Macro &amp; Indexation'!I$19*gross_yield,H82*(1+'Macro &amp; Indexation'!I$11)))</f>
        <v>0</v>
      </c>
      <c r="J82" s="40">
        <f>IF(J$6&lt;$B82,0,IF(J$6=$B82,'Growth Engine'!J$10*'Macro &amp; Indexation'!J$19*gross_yield,I82*(1+'Macro &amp; Indexation'!J$11)))</f>
        <v>0</v>
      </c>
      <c r="K82" s="40">
        <f>IF(K$6&lt;$B82,0,IF(K$6=$B82,'Growth Engine'!K$10*'Macro &amp; Indexation'!K$19*gross_yield,J82*(1+'Macro &amp; Indexation'!K$11)))</f>
        <v>0</v>
      </c>
      <c r="L82" s="40">
        <f>IF(L$6&lt;$B82,0,IF(L$6=$B82,'Growth Engine'!L$10*'Macro &amp; Indexation'!L$19*gross_yield,K82*(1+'Macro &amp; Indexation'!L$11)))</f>
        <v>0</v>
      </c>
      <c r="M82" s="40">
        <f>IF(M$6&lt;$B82,0,IF(M$6=$B82,'Growth Engine'!M$10*'Macro &amp; Indexation'!M$19*gross_yield,L82*(1+'Macro &amp; Indexation'!M$11)))</f>
        <v>0</v>
      </c>
      <c r="N82" s="40">
        <f>IF(N$6&lt;$B82,0,IF(N$6=$B82,'Growth Engine'!N$10*'Macro &amp; Indexation'!N$19*gross_yield,M82*(1+'Macro &amp; Indexation'!N$11)))</f>
        <v>0</v>
      </c>
      <c r="O82" s="40">
        <f>IF(O$6&lt;$B82,0,IF(O$6=$B82,'Growth Engine'!O$10*'Macro &amp; Indexation'!O$19*gross_yield,N82*(1+'Macro &amp; Indexation'!O$11)))</f>
        <v>0</v>
      </c>
      <c r="P82" s="40">
        <f>IF(P$6&lt;$B82,0,IF(P$6=$B82,'Growth Engine'!P$10*'Macro &amp; Indexation'!P$19*gross_yield,O82*(1+'Macro &amp; Indexation'!P$11)))</f>
        <v>0</v>
      </c>
      <c r="Q82" s="40">
        <f>IF(Q$6&lt;$B82,0,IF(Q$6=$B82,'Growth Engine'!Q$10*'Macro &amp; Indexation'!Q$19*gross_yield,P82*(1+'Macro &amp; Indexation'!Q$11)))</f>
        <v>0</v>
      </c>
      <c r="R82" s="40">
        <f>IF(R$6&lt;$B82,0,IF(R$6=$B82,'Growth Engine'!R$10*'Macro &amp; Indexation'!R$19*gross_yield,Q82*(1+'Macro &amp; Indexation'!R$11)))</f>
        <v>0</v>
      </c>
      <c r="S82" s="40">
        <f>IF(S$6&lt;$B82,0,IF(S$6=$B82,'Growth Engine'!S$10*'Macro &amp; Indexation'!S$19*gross_yield,R82*(1+'Macro &amp; Indexation'!S$11)))</f>
        <v>0</v>
      </c>
      <c r="T82" s="40">
        <f ca="1">IF(T$6&lt;$B82,0,IF(T$6=$B82,'Growth Engine'!T$10*'Macro &amp; Indexation'!T$19*gross_yield,S82*(1+'Macro &amp; Indexation'!T$11)))</f>
        <v>0</v>
      </c>
      <c r="U82" s="40">
        <f ca="1">IF(U$6&lt;$B82,0,IF(U$6=$B82,'Growth Engine'!U$10*'Macro &amp; Indexation'!U$19*gross_yield,T82*(1+'Macro &amp; Indexation'!U$11)))</f>
        <v>0</v>
      </c>
      <c r="V82" s="40">
        <f ca="1">IF(V$6&lt;$B82,0,IF(V$6=$B82,'Growth Engine'!V$10*'Macro &amp; Indexation'!V$19*gross_yield,U82*(1+'Macro &amp; Indexation'!V$11)))</f>
        <v>0</v>
      </c>
      <c r="W82" s="40">
        <f ca="1">IF(W$6&lt;$B82,0,IF(W$6=$B82,'Growth Engine'!W$10*'Macro &amp; Indexation'!W$19*gross_yield,V82*(1+'Macro &amp; Indexation'!W$11)))</f>
        <v>0</v>
      </c>
      <c r="X82" s="40">
        <f ca="1">IF(X$6&lt;$B82,0,IF(X$6=$B82,'Growth Engine'!X$10*'Macro &amp; Indexation'!X$19*gross_yield,W82*(1+'Macro &amp; Indexation'!X$11)))</f>
        <v>0</v>
      </c>
      <c r="Y82" s="40">
        <f ca="1">IF(Y$6&lt;$B82,0,IF(Y$6=$B82,'Growth Engine'!Y$10*'Macro &amp; Indexation'!Y$19*gross_yield,X82*(1+'Macro &amp; Indexation'!Y$11)))</f>
        <v>0</v>
      </c>
      <c r="Z82" s="40">
        <f ca="1">IF(Z$6&lt;$B82,0,IF(Z$6=$B82,'Growth Engine'!Z$10*'Macro &amp; Indexation'!Z$19*gross_yield,Y82*(1+'Macro &amp; Indexation'!Z$11)))</f>
        <v>0</v>
      </c>
      <c r="AA82" s="40">
        <f ca="1">IF(AA$6&lt;$B82,0,IF(AA$6=$B82,'Growth Engine'!AA$10*'Macro &amp; Indexation'!AA$19*gross_yield,Z82*(1+'Macro &amp; Indexation'!AA$11)))</f>
        <v>0</v>
      </c>
      <c r="AB82" s="40">
        <f ca="1">IF(AB$6&lt;$B82,0,IF(AB$6=$B82,'Growth Engine'!AB$10*'Macro &amp; Indexation'!AB$19*gross_yield,AA82*(1+'Macro &amp; Indexation'!AB$11)))</f>
        <v>0</v>
      </c>
      <c r="AC82" s="40">
        <f ca="1">IF(AC$6&lt;$B82,0,IF(AC$6=$B82,'Growth Engine'!AC$10*'Macro &amp; Indexation'!AC$19*gross_yield,AB82*(1+'Macro &amp; Indexation'!AC$11)))</f>
        <v>0</v>
      </c>
      <c r="AD82" s="40">
        <f ca="1">IF(AD$6&lt;$B82,0,IF(AD$6=$B82,'Growth Engine'!AD$10*'Macro &amp; Indexation'!AD$19*gross_yield,AC82*(1+'Macro &amp; Indexation'!AD$11)))</f>
        <v>0</v>
      </c>
      <c r="AE82" s="40">
        <f ca="1">IF(AE$6&lt;$B82,0,IF(AE$6=$B82,'Growth Engine'!AE$10*'Macro &amp; Indexation'!AE$19*gross_yield,AD82*(1+'Macro &amp; Indexation'!AE$11)))</f>
        <v>0</v>
      </c>
      <c r="AF82" s="40">
        <f ca="1">IF(AF$6&lt;$B82,0,IF(AF$6=$B82,'Growth Engine'!AF$10*'Macro &amp; Indexation'!AF$19*gross_yield,AE82*(1+'Macro &amp; Indexation'!AF$11)))</f>
        <v>0</v>
      </c>
      <c r="AG82" s="40">
        <f ca="1">IF(AG$6&lt;$B82,0,IF(AG$6=$B82,'Growth Engine'!AG$10*'Macro &amp; Indexation'!AG$19*gross_yield,AF82*(1+'Macro &amp; Indexation'!AG$11)))</f>
        <v>0</v>
      </c>
      <c r="AH82" s="40">
        <f ca="1">IF(AH$6&lt;$B82,0,IF(AH$6=$B82,'Growth Engine'!AH$10*'Macro &amp; Indexation'!AH$19*gross_yield,AG82*(1+'Macro &amp; Indexation'!AH$11)))</f>
        <v>0</v>
      </c>
      <c r="AI82" s="40">
        <f ca="1">IF(AI$6&lt;$B82,0,IF(AI$6=$B82,'Growth Engine'!AI$10*'Macro &amp; Indexation'!AI$19*gross_yield,AH82*(1+'Macro &amp; Indexation'!AI$11)))</f>
        <v>0</v>
      </c>
      <c r="AJ82" s="40">
        <f ca="1">IF(AJ$6&lt;$B82,0,IF(AJ$6=$B82,'Growth Engine'!AJ$10*'Macro &amp; Indexation'!AJ$19*gross_yield,AI82*(1+'Macro &amp; Indexation'!AJ$11)))</f>
        <v>0</v>
      </c>
      <c r="AK82" s="40">
        <f ca="1">IF(AK$6&lt;$B82,0,IF(AK$6=$B82,'Growth Engine'!AK$10*'Macro &amp; Indexation'!AK$19*gross_yield,AJ82*(1+'Macro &amp; Indexation'!AK$11)))</f>
        <v>0</v>
      </c>
      <c r="AL82" s="40">
        <f ca="1">IF(AL$6&lt;$B82,0,IF(AL$6=$B82,'Growth Engine'!AL$10*'Macro &amp; Indexation'!AL$19*gross_yield,AK82*(1+'Macro &amp; Indexation'!AL$11)))</f>
        <v>0</v>
      </c>
      <c r="AM82" s="40">
        <f ca="1">IF(AM$6&lt;$B82,0,IF(AM$6=$B82,'Growth Engine'!AM$10*'Macro &amp; Indexation'!AM$19*gross_yield,AL82*(1+'Macro &amp; Indexation'!AM$11)))</f>
        <v>0</v>
      </c>
      <c r="AN82" s="40">
        <f ca="1">IF(AN$6&lt;$B82,0,IF(AN$6=$B82,'Growth Engine'!AN$10*'Macro &amp; Indexation'!AN$19*gross_yield,AM82*(1+'Macro &amp; Indexation'!AN$11)))</f>
        <v>0</v>
      </c>
      <c r="AO82" s="40">
        <f ca="1">IF(AO$6&lt;$B82,0,IF(AO$6=$B82,'Growth Engine'!AO$10*'Macro &amp; Indexation'!AO$19*gross_yield,AN82*(1+'Macro &amp; Indexation'!AO$11)))</f>
        <v>0</v>
      </c>
      <c r="AP82" s="40">
        <f ca="1">IF(AP$6&lt;$B82,0,IF(AP$6=$B82,'Growth Engine'!AP$10*'Macro &amp; Indexation'!AP$19*gross_yield,AO82*(1+'Macro &amp; Indexation'!AP$11)))</f>
        <v>0</v>
      </c>
      <c r="AQ82" s="40">
        <f ca="1">IF(AQ$6&lt;$B82,0,IF(AQ$6=$B82,'Growth Engine'!AQ$10*'Macro &amp; Indexation'!AQ$19*gross_yield,AP82*(1+'Macro &amp; Indexation'!AQ$11)))</f>
        <v>0</v>
      </c>
      <c r="AR82" s="40">
        <f ca="1">IF(AR$6&lt;$B82,0,IF(AR$6=$B82,'Growth Engine'!AR$10*'Macro &amp; Indexation'!AR$19*gross_yield,AQ82*(1+'Macro &amp; Indexation'!AR$11)))</f>
        <v>0</v>
      </c>
      <c r="AS82" s="40">
        <f ca="1">IF(AS$6&lt;$B82,0,IF(AS$6=$B82,'Growth Engine'!AS$10*'Macro &amp; Indexation'!AS$19*gross_yield,AR82*(1+'Macro &amp; Indexation'!AS$11)))</f>
        <v>0</v>
      </c>
      <c r="AT82" s="40">
        <f ca="1">IF(AT$6&lt;$B82,0,IF(AT$6=$B82,'Growth Engine'!AT$10*'Macro &amp; Indexation'!AT$19*gross_yield,AS82*(1+'Macro &amp; Indexation'!AT$11)))</f>
        <v>0</v>
      </c>
      <c r="AU82" s="40">
        <f ca="1">IF(AU$6&lt;$B82,0,IF(AU$6=$B82,'Growth Engine'!AU$10*'Macro &amp; Indexation'!AU$19*gross_yield,AT82*(1+'Macro &amp; Indexation'!AU$11)))</f>
        <v>0</v>
      </c>
      <c r="AV82" s="40">
        <f ca="1">IF(AV$6&lt;$B82,0,IF(AV$6=$B82,'Growth Engine'!AV$10*'Macro &amp; Indexation'!AV$19*gross_yield,AU82*(1+'Macro &amp; Indexation'!AV$11)))</f>
        <v>0</v>
      </c>
      <c r="AW82" s="40">
        <f ca="1">IF(AW$6&lt;$B82,0,IF(AW$6=$B82,'Growth Engine'!AW$10*'Macro &amp; Indexation'!AW$19*gross_yield,AV82*(1+'Macro &amp; Indexation'!AW$11)))</f>
        <v>0</v>
      </c>
      <c r="AX82" s="40">
        <f ca="1">IF(AX$6&lt;$B82,0,IF(AX$6=$B82,'Growth Engine'!AX$10*'Macro &amp; Indexation'!AX$19*gross_yield,AW82*(1+'Macro &amp; Indexation'!AX$11)))</f>
        <v>0</v>
      </c>
      <c r="AY82" s="40">
        <f ca="1">IF(AY$6&lt;$B82,0,IF(AY$6=$B82,'Growth Engine'!AY$10*'Macro &amp; Indexation'!AY$19*gross_yield,AX82*(1+'Macro &amp; Indexation'!AY$11)))</f>
        <v>0</v>
      </c>
      <c r="AZ82" s="40">
        <f ca="1">IF(AZ$6&lt;$B82,0,IF(AZ$6=$B82,'Growth Engine'!AZ$10*'Macro &amp; Indexation'!AZ$19*gross_yield,AY82*(1+'Macro &amp; Indexation'!AZ$11)))</f>
        <v>0</v>
      </c>
      <c r="BA82" s="40">
        <f ca="1">IF(BA$6&lt;$B82,0,IF(BA$6=$B82,'Growth Engine'!BA$10*'Macro &amp; Indexation'!BA$19*gross_yield,AZ82*(1+'Macro &amp; Indexation'!BA$11)))</f>
        <v>0</v>
      </c>
    </row>
    <row r="83" spans="1:53" outlineLevel="1" x14ac:dyDescent="0.3">
      <c r="A83" t="s">
        <v>154</v>
      </c>
      <c r="B83">
        <v>18</v>
      </c>
      <c r="D83" s="40">
        <f>IF(D$6&lt;$B83,0,IF(D$6=$B83,'Growth Engine'!D$10*'Macro &amp; Indexation'!D$19*gross_yield,C83*(1+'Macro &amp; Indexation'!D$11)))</f>
        <v>0</v>
      </c>
      <c r="E83" s="40">
        <f>IF(E$6&lt;$B83,0,IF(E$6=$B83,'Growth Engine'!E$10*'Macro &amp; Indexation'!E$19*gross_yield,D83*(1+'Macro &amp; Indexation'!E$11)))</f>
        <v>0</v>
      </c>
      <c r="F83" s="40">
        <f>IF(F$6&lt;$B83,0,IF(F$6=$B83,'Growth Engine'!F$10*'Macro &amp; Indexation'!F$19*gross_yield,E83*(1+'Macro &amp; Indexation'!F$11)))</f>
        <v>0</v>
      </c>
      <c r="G83" s="40">
        <f>IF(G$6&lt;$B83,0,IF(G$6=$B83,'Growth Engine'!G$10*'Macro &amp; Indexation'!G$19*gross_yield,F83*(1+'Macro &amp; Indexation'!G$11)))</f>
        <v>0</v>
      </c>
      <c r="H83" s="40">
        <f>IF(H$6&lt;$B83,0,IF(H$6=$B83,'Growth Engine'!H$10*'Macro &amp; Indexation'!H$19*gross_yield,G83*(1+'Macro &amp; Indexation'!H$11)))</f>
        <v>0</v>
      </c>
      <c r="I83" s="40">
        <f>IF(I$6&lt;$B83,0,IF(I$6=$B83,'Growth Engine'!I$10*'Macro &amp; Indexation'!I$19*gross_yield,H83*(1+'Macro &amp; Indexation'!I$11)))</f>
        <v>0</v>
      </c>
      <c r="J83" s="40">
        <f>IF(J$6&lt;$B83,0,IF(J$6=$B83,'Growth Engine'!J$10*'Macro &amp; Indexation'!J$19*gross_yield,I83*(1+'Macro &amp; Indexation'!J$11)))</f>
        <v>0</v>
      </c>
      <c r="K83" s="40">
        <f>IF(K$6&lt;$B83,0,IF(K$6=$B83,'Growth Engine'!K$10*'Macro &amp; Indexation'!K$19*gross_yield,J83*(1+'Macro &amp; Indexation'!K$11)))</f>
        <v>0</v>
      </c>
      <c r="L83" s="40">
        <f>IF(L$6&lt;$B83,0,IF(L$6=$B83,'Growth Engine'!L$10*'Macro &amp; Indexation'!L$19*gross_yield,K83*(1+'Macro &amp; Indexation'!L$11)))</f>
        <v>0</v>
      </c>
      <c r="M83" s="40">
        <f>IF(M$6&lt;$B83,0,IF(M$6=$B83,'Growth Engine'!M$10*'Macro &amp; Indexation'!M$19*gross_yield,L83*(1+'Macro &amp; Indexation'!M$11)))</f>
        <v>0</v>
      </c>
      <c r="N83" s="40">
        <f>IF(N$6&lt;$B83,0,IF(N$6=$B83,'Growth Engine'!N$10*'Macro &amp; Indexation'!N$19*gross_yield,M83*(1+'Macro &amp; Indexation'!N$11)))</f>
        <v>0</v>
      </c>
      <c r="O83" s="40">
        <f>IF(O$6&lt;$B83,0,IF(O$6=$B83,'Growth Engine'!O$10*'Macro &amp; Indexation'!O$19*gross_yield,N83*(1+'Macro &amp; Indexation'!O$11)))</f>
        <v>0</v>
      </c>
      <c r="P83" s="40">
        <f>IF(P$6&lt;$B83,0,IF(P$6=$B83,'Growth Engine'!P$10*'Macro &amp; Indexation'!P$19*gross_yield,O83*(1+'Macro &amp; Indexation'!P$11)))</f>
        <v>0</v>
      </c>
      <c r="Q83" s="40">
        <f>IF(Q$6&lt;$B83,0,IF(Q$6=$B83,'Growth Engine'!Q$10*'Macro &amp; Indexation'!Q$19*gross_yield,P83*(1+'Macro &amp; Indexation'!Q$11)))</f>
        <v>0</v>
      </c>
      <c r="R83" s="40">
        <f>IF(R$6&lt;$B83,0,IF(R$6=$B83,'Growth Engine'!R$10*'Macro &amp; Indexation'!R$19*gross_yield,Q83*(1+'Macro &amp; Indexation'!R$11)))</f>
        <v>0</v>
      </c>
      <c r="S83" s="40">
        <f>IF(S$6&lt;$B83,0,IF(S$6=$B83,'Growth Engine'!S$10*'Macro &amp; Indexation'!S$19*gross_yield,R83*(1+'Macro &amp; Indexation'!S$11)))</f>
        <v>0</v>
      </c>
      <c r="T83" s="40">
        <f>IF(T$6&lt;$B83,0,IF(T$6=$B83,'Growth Engine'!T$10*'Macro &amp; Indexation'!T$19*gross_yield,S83*(1+'Macro &amp; Indexation'!T$11)))</f>
        <v>0</v>
      </c>
      <c r="U83" s="40">
        <f ca="1">IF(U$6&lt;$B83,0,IF(U$6=$B83,'Growth Engine'!U$10*'Macro &amp; Indexation'!U$19*gross_yield,T83*(1+'Macro &amp; Indexation'!U$11)))</f>
        <v>0</v>
      </c>
      <c r="V83" s="40">
        <f ca="1">IF(V$6&lt;$B83,0,IF(V$6=$B83,'Growth Engine'!V$10*'Macro &amp; Indexation'!V$19*gross_yield,U83*(1+'Macro &amp; Indexation'!V$11)))</f>
        <v>0</v>
      </c>
      <c r="W83" s="40">
        <f ca="1">IF(W$6&lt;$B83,0,IF(W$6=$B83,'Growth Engine'!W$10*'Macro &amp; Indexation'!W$19*gross_yield,V83*(1+'Macro &amp; Indexation'!W$11)))</f>
        <v>0</v>
      </c>
      <c r="X83" s="40">
        <f ca="1">IF(X$6&lt;$B83,0,IF(X$6=$B83,'Growth Engine'!X$10*'Macro &amp; Indexation'!X$19*gross_yield,W83*(1+'Macro &amp; Indexation'!X$11)))</f>
        <v>0</v>
      </c>
      <c r="Y83" s="40">
        <f ca="1">IF(Y$6&lt;$B83,0,IF(Y$6=$B83,'Growth Engine'!Y$10*'Macro &amp; Indexation'!Y$19*gross_yield,X83*(1+'Macro &amp; Indexation'!Y$11)))</f>
        <v>0</v>
      </c>
      <c r="Z83" s="40">
        <f ca="1">IF(Z$6&lt;$B83,0,IF(Z$6=$B83,'Growth Engine'!Z$10*'Macro &amp; Indexation'!Z$19*gross_yield,Y83*(1+'Macro &amp; Indexation'!Z$11)))</f>
        <v>0</v>
      </c>
      <c r="AA83" s="40">
        <f ca="1">IF(AA$6&lt;$B83,0,IF(AA$6=$B83,'Growth Engine'!AA$10*'Macro &amp; Indexation'!AA$19*gross_yield,Z83*(1+'Macro &amp; Indexation'!AA$11)))</f>
        <v>0</v>
      </c>
      <c r="AB83" s="40">
        <f ca="1">IF(AB$6&lt;$B83,0,IF(AB$6=$B83,'Growth Engine'!AB$10*'Macro &amp; Indexation'!AB$19*gross_yield,AA83*(1+'Macro &amp; Indexation'!AB$11)))</f>
        <v>0</v>
      </c>
      <c r="AC83" s="40">
        <f ca="1">IF(AC$6&lt;$B83,0,IF(AC$6=$B83,'Growth Engine'!AC$10*'Macro &amp; Indexation'!AC$19*gross_yield,AB83*(1+'Macro &amp; Indexation'!AC$11)))</f>
        <v>0</v>
      </c>
      <c r="AD83" s="40">
        <f ca="1">IF(AD$6&lt;$B83,0,IF(AD$6=$B83,'Growth Engine'!AD$10*'Macro &amp; Indexation'!AD$19*gross_yield,AC83*(1+'Macro &amp; Indexation'!AD$11)))</f>
        <v>0</v>
      </c>
      <c r="AE83" s="40">
        <f ca="1">IF(AE$6&lt;$B83,0,IF(AE$6=$B83,'Growth Engine'!AE$10*'Macro &amp; Indexation'!AE$19*gross_yield,AD83*(1+'Macro &amp; Indexation'!AE$11)))</f>
        <v>0</v>
      </c>
      <c r="AF83" s="40">
        <f ca="1">IF(AF$6&lt;$B83,0,IF(AF$6=$B83,'Growth Engine'!AF$10*'Macro &amp; Indexation'!AF$19*gross_yield,AE83*(1+'Macro &amp; Indexation'!AF$11)))</f>
        <v>0</v>
      </c>
      <c r="AG83" s="40">
        <f ca="1">IF(AG$6&lt;$B83,0,IF(AG$6=$B83,'Growth Engine'!AG$10*'Macro &amp; Indexation'!AG$19*gross_yield,AF83*(1+'Macro &amp; Indexation'!AG$11)))</f>
        <v>0</v>
      </c>
      <c r="AH83" s="40">
        <f ca="1">IF(AH$6&lt;$B83,0,IF(AH$6=$B83,'Growth Engine'!AH$10*'Macro &amp; Indexation'!AH$19*gross_yield,AG83*(1+'Macro &amp; Indexation'!AH$11)))</f>
        <v>0</v>
      </c>
      <c r="AI83" s="40">
        <f ca="1">IF(AI$6&lt;$B83,0,IF(AI$6=$B83,'Growth Engine'!AI$10*'Macro &amp; Indexation'!AI$19*gross_yield,AH83*(1+'Macro &amp; Indexation'!AI$11)))</f>
        <v>0</v>
      </c>
      <c r="AJ83" s="40">
        <f ca="1">IF(AJ$6&lt;$B83,0,IF(AJ$6=$B83,'Growth Engine'!AJ$10*'Macro &amp; Indexation'!AJ$19*gross_yield,AI83*(1+'Macro &amp; Indexation'!AJ$11)))</f>
        <v>0</v>
      </c>
      <c r="AK83" s="40">
        <f ca="1">IF(AK$6&lt;$B83,0,IF(AK$6=$B83,'Growth Engine'!AK$10*'Macro &amp; Indexation'!AK$19*gross_yield,AJ83*(1+'Macro &amp; Indexation'!AK$11)))</f>
        <v>0</v>
      </c>
      <c r="AL83" s="40">
        <f ca="1">IF(AL$6&lt;$B83,0,IF(AL$6=$B83,'Growth Engine'!AL$10*'Macro &amp; Indexation'!AL$19*gross_yield,AK83*(1+'Macro &amp; Indexation'!AL$11)))</f>
        <v>0</v>
      </c>
      <c r="AM83" s="40">
        <f ca="1">IF(AM$6&lt;$B83,0,IF(AM$6=$B83,'Growth Engine'!AM$10*'Macro &amp; Indexation'!AM$19*gross_yield,AL83*(1+'Macro &amp; Indexation'!AM$11)))</f>
        <v>0</v>
      </c>
      <c r="AN83" s="40">
        <f ca="1">IF(AN$6&lt;$B83,0,IF(AN$6=$B83,'Growth Engine'!AN$10*'Macro &amp; Indexation'!AN$19*gross_yield,AM83*(1+'Macro &amp; Indexation'!AN$11)))</f>
        <v>0</v>
      </c>
      <c r="AO83" s="40">
        <f ca="1">IF(AO$6&lt;$B83,0,IF(AO$6=$B83,'Growth Engine'!AO$10*'Macro &amp; Indexation'!AO$19*gross_yield,AN83*(1+'Macro &amp; Indexation'!AO$11)))</f>
        <v>0</v>
      </c>
      <c r="AP83" s="40">
        <f ca="1">IF(AP$6&lt;$B83,0,IF(AP$6=$B83,'Growth Engine'!AP$10*'Macro &amp; Indexation'!AP$19*gross_yield,AO83*(1+'Macro &amp; Indexation'!AP$11)))</f>
        <v>0</v>
      </c>
      <c r="AQ83" s="40">
        <f ca="1">IF(AQ$6&lt;$B83,0,IF(AQ$6=$B83,'Growth Engine'!AQ$10*'Macro &amp; Indexation'!AQ$19*gross_yield,AP83*(1+'Macro &amp; Indexation'!AQ$11)))</f>
        <v>0</v>
      </c>
      <c r="AR83" s="40">
        <f ca="1">IF(AR$6&lt;$B83,0,IF(AR$6=$B83,'Growth Engine'!AR$10*'Macro &amp; Indexation'!AR$19*gross_yield,AQ83*(1+'Macro &amp; Indexation'!AR$11)))</f>
        <v>0</v>
      </c>
      <c r="AS83" s="40">
        <f ca="1">IF(AS$6&lt;$B83,0,IF(AS$6=$B83,'Growth Engine'!AS$10*'Macro &amp; Indexation'!AS$19*gross_yield,AR83*(1+'Macro &amp; Indexation'!AS$11)))</f>
        <v>0</v>
      </c>
      <c r="AT83" s="40">
        <f ca="1">IF(AT$6&lt;$B83,0,IF(AT$6=$B83,'Growth Engine'!AT$10*'Macro &amp; Indexation'!AT$19*gross_yield,AS83*(1+'Macro &amp; Indexation'!AT$11)))</f>
        <v>0</v>
      </c>
      <c r="AU83" s="40">
        <f ca="1">IF(AU$6&lt;$B83,0,IF(AU$6=$B83,'Growth Engine'!AU$10*'Macro &amp; Indexation'!AU$19*gross_yield,AT83*(1+'Macro &amp; Indexation'!AU$11)))</f>
        <v>0</v>
      </c>
      <c r="AV83" s="40">
        <f ca="1">IF(AV$6&lt;$B83,0,IF(AV$6=$B83,'Growth Engine'!AV$10*'Macro &amp; Indexation'!AV$19*gross_yield,AU83*(1+'Macro &amp; Indexation'!AV$11)))</f>
        <v>0</v>
      </c>
      <c r="AW83" s="40">
        <f ca="1">IF(AW$6&lt;$B83,0,IF(AW$6=$B83,'Growth Engine'!AW$10*'Macro &amp; Indexation'!AW$19*gross_yield,AV83*(1+'Macro &amp; Indexation'!AW$11)))</f>
        <v>0</v>
      </c>
      <c r="AX83" s="40">
        <f ca="1">IF(AX$6&lt;$B83,0,IF(AX$6=$B83,'Growth Engine'!AX$10*'Macro &amp; Indexation'!AX$19*gross_yield,AW83*(1+'Macro &amp; Indexation'!AX$11)))</f>
        <v>0</v>
      </c>
      <c r="AY83" s="40">
        <f ca="1">IF(AY$6&lt;$B83,0,IF(AY$6=$B83,'Growth Engine'!AY$10*'Macro &amp; Indexation'!AY$19*gross_yield,AX83*(1+'Macro &amp; Indexation'!AY$11)))</f>
        <v>0</v>
      </c>
      <c r="AZ83" s="40">
        <f ca="1">IF(AZ$6&lt;$B83,0,IF(AZ$6=$B83,'Growth Engine'!AZ$10*'Macro &amp; Indexation'!AZ$19*gross_yield,AY83*(1+'Macro &amp; Indexation'!AZ$11)))</f>
        <v>0</v>
      </c>
      <c r="BA83" s="40">
        <f ca="1">IF(BA$6&lt;$B83,0,IF(BA$6=$B83,'Growth Engine'!BA$10*'Macro &amp; Indexation'!BA$19*gross_yield,AZ83*(1+'Macro &amp; Indexation'!BA$11)))</f>
        <v>0</v>
      </c>
    </row>
    <row r="84" spans="1:53" outlineLevel="1" x14ac:dyDescent="0.3">
      <c r="A84" t="s">
        <v>155</v>
      </c>
      <c r="B84">
        <v>19</v>
      </c>
      <c r="D84" s="40">
        <f>IF(D$6&lt;$B84,0,IF(D$6=$B84,'Growth Engine'!D$10*'Macro &amp; Indexation'!D$19*gross_yield,C84*(1+'Macro &amp; Indexation'!D$11)))</f>
        <v>0</v>
      </c>
      <c r="E84" s="40">
        <f>IF(E$6&lt;$B84,0,IF(E$6=$B84,'Growth Engine'!E$10*'Macro &amp; Indexation'!E$19*gross_yield,D84*(1+'Macro &amp; Indexation'!E$11)))</f>
        <v>0</v>
      </c>
      <c r="F84" s="40">
        <f>IF(F$6&lt;$B84,0,IF(F$6=$B84,'Growth Engine'!F$10*'Macro &amp; Indexation'!F$19*gross_yield,E84*(1+'Macro &amp; Indexation'!F$11)))</f>
        <v>0</v>
      </c>
      <c r="G84" s="40">
        <f>IF(G$6&lt;$B84,0,IF(G$6=$B84,'Growth Engine'!G$10*'Macro &amp; Indexation'!G$19*gross_yield,F84*(1+'Macro &amp; Indexation'!G$11)))</f>
        <v>0</v>
      </c>
      <c r="H84" s="40">
        <f>IF(H$6&lt;$B84,0,IF(H$6=$B84,'Growth Engine'!H$10*'Macro &amp; Indexation'!H$19*gross_yield,G84*(1+'Macro &amp; Indexation'!H$11)))</f>
        <v>0</v>
      </c>
      <c r="I84" s="40">
        <f>IF(I$6&lt;$B84,0,IF(I$6=$B84,'Growth Engine'!I$10*'Macro &amp; Indexation'!I$19*gross_yield,H84*(1+'Macro &amp; Indexation'!I$11)))</f>
        <v>0</v>
      </c>
      <c r="J84" s="40">
        <f>IF(J$6&lt;$B84,0,IF(J$6=$B84,'Growth Engine'!J$10*'Macro &amp; Indexation'!J$19*gross_yield,I84*(1+'Macro &amp; Indexation'!J$11)))</f>
        <v>0</v>
      </c>
      <c r="K84" s="40">
        <f>IF(K$6&lt;$B84,0,IF(K$6=$B84,'Growth Engine'!K$10*'Macro &amp; Indexation'!K$19*gross_yield,J84*(1+'Macro &amp; Indexation'!K$11)))</f>
        <v>0</v>
      </c>
      <c r="L84" s="40">
        <f>IF(L$6&lt;$B84,0,IF(L$6=$B84,'Growth Engine'!L$10*'Macro &amp; Indexation'!L$19*gross_yield,K84*(1+'Macro &amp; Indexation'!L$11)))</f>
        <v>0</v>
      </c>
      <c r="M84" s="40">
        <f>IF(M$6&lt;$B84,0,IF(M$6=$B84,'Growth Engine'!M$10*'Macro &amp; Indexation'!M$19*gross_yield,L84*(1+'Macro &amp; Indexation'!M$11)))</f>
        <v>0</v>
      </c>
      <c r="N84" s="40">
        <f>IF(N$6&lt;$B84,0,IF(N$6=$B84,'Growth Engine'!N$10*'Macro &amp; Indexation'!N$19*gross_yield,M84*(1+'Macro &amp; Indexation'!N$11)))</f>
        <v>0</v>
      </c>
      <c r="O84" s="40">
        <f>IF(O$6&lt;$B84,0,IF(O$6=$B84,'Growth Engine'!O$10*'Macro &amp; Indexation'!O$19*gross_yield,N84*(1+'Macro &amp; Indexation'!O$11)))</f>
        <v>0</v>
      </c>
      <c r="P84" s="40">
        <f>IF(P$6&lt;$B84,0,IF(P$6=$B84,'Growth Engine'!P$10*'Macro &amp; Indexation'!P$19*gross_yield,O84*(1+'Macro &amp; Indexation'!P$11)))</f>
        <v>0</v>
      </c>
      <c r="Q84" s="40">
        <f>IF(Q$6&lt;$B84,0,IF(Q$6=$B84,'Growth Engine'!Q$10*'Macro &amp; Indexation'!Q$19*gross_yield,P84*(1+'Macro &amp; Indexation'!Q$11)))</f>
        <v>0</v>
      </c>
      <c r="R84" s="40">
        <f>IF(R$6&lt;$B84,0,IF(R$6=$B84,'Growth Engine'!R$10*'Macro &amp; Indexation'!R$19*gross_yield,Q84*(1+'Macro &amp; Indexation'!R$11)))</f>
        <v>0</v>
      </c>
      <c r="S84" s="40">
        <f>IF(S$6&lt;$B84,0,IF(S$6=$B84,'Growth Engine'!S$10*'Macro &amp; Indexation'!S$19*gross_yield,R84*(1+'Macro &amp; Indexation'!S$11)))</f>
        <v>0</v>
      </c>
      <c r="T84" s="40">
        <f>IF(T$6&lt;$B84,0,IF(T$6=$B84,'Growth Engine'!T$10*'Macro &amp; Indexation'!T$19*gross_yield,S84*(1+'Macro &amp; Indexation'!T$11)))</f>
        <v>0</v>
      </c>
      <c r="U84" s="40">
        <f>IF(U$6&lt;$B84,0,IF(U$6=$B84,'Growth Engine'!U$10*'Macro &amp; Indexation'!U$19*gross_yield,T84*(1+'Macro &amp; Indexation'!U$11)))</f>
        <v>0</v>
      </c>
      <c r="V84" s="40">
        <f ca="1">IF(V$6&lt;$B84,0,IF(V$6=$B84,'Growth Engine'!V$10*'Macro &amp; Indexation'!V$19*gross_yield,U84*(1+'Macro &amp; Indexation'!V$11)))</f>
        <v>0</v>
      </c>
      <c r="W84" s="40">
        <f ca="1">IF(W$6&lt;$B84,0,IF(W$6=$B84,'Growth Engine'!W$10*'Macro &amp; Indexation'!W$19*gross_yield,V84*(1+'Macro &amp; Indexation'!W$11)))</f>
        <v>0</v>
      </c>
      <c r="X84" s="40">
        <f ca="1">IF(X$6&lt;$B84,0,IF(X$6=$B84,'Growth Engine'!X$10*'Macro &amp; Indexation'!X$19*gross_yield,W84*(1+'Macro &amp; Indexation'!X$11)))</f>
        <v>0</v>
      </c>
      <c r="Y84" s="40">
        <f ca="1">IF(Y$6&lt;$B84,0,IF(Y$6=$B84,'Growth Engine'!Y$10*'Macro &amp; Indexation'!Y$19*gross_yield,X84*(1+'Macro &amp; Indexation'!Y$11)))</f>
        <v>0</v>
      </c>
      <c r="Z84" s="40">
        <f ca="1">IF(Z$6&lt;$B84,0,IF(Z$6=$B84,'Growth Engine'!Z$10*'Macro &amp; Indexation'!Z$19*gross_yield,Y84*(1+'Macro &amp; Indexation'!Z$11)))</f>
        <v>0</v>
      </c>
      <c r="AA84" s="40">
        <f ca="1">IF(AA$6&lt;$B84,0,IF(AA$6=$B84,'Growth Engine'!AA$10*'Macro &amp; Indexation'!AA$19*gross_yield,Z84*(1+'Macro &amp; Indexation'!AA$11)))</f>
        <v>0</v>
      </c>
      <c r="AB84" s="40">
        <f ca="1">IF(AB$6&lt;$B84,0,IF(AB$6=$B84,'Growth Engine'!AB$10*'Macro &amp; Indexation'!AB$19*gross_yield,AA84*(1+'Macro &amp; Indexation'!AB$11)))</f>
        <v>0</v>
      </c>
      <c r="AC84" s="40">
        <f ca="1">IF(AC$6&lt;$B84,0,IF(AC$6=$B84,'Growth Engine'!AC$10*'Macro &amp; Indexation'!AC$19*gross_yield,AB84*(1+'Macro &amp; Indexation'!AC$11)))</f>
        <v>0</v>
      </c>
      <c r="AD84" s="40">
        <f ca="1">IF(AD$6&lt;$B84,0,IF(AD$6=$B84,'Growth Engine'!AD$10*'Macro &amp; Indexation'!AD$19*gross_yield,AC84*(1+'Macro &amp; Indexation'!AD$11)))</f>
        <v>0</v>
      </c>
      <c r="AE84" s="40">
        <f ca="1">IF(AE$6&lt;$B84,0,IF(AE$6=$B84,'Growth Engine'!AE$10*'Macro &amp; Indexation'!AE$19*gross_yield,AD84*(1+'Macro &amp; Indexation'!AE$11)))</f>
        <v>0</v>
      </c>
      <c r="AF84" s="40">
        <f ca="1">IF(AF$6&lt;$B84,0,IF(AF$6=$B84,'Growth Engine'!AF$10*'Macro &amp; Indexation'!AF$19*gross_yield,AE84*(1+'Macro &amp; Indexation'!AF$11)))</f>
        <v>0</v>
      </c>
      <c r="AG84" s="40">
        <f ca="1">IF(AG$6&lt;$B84,0,IF(AG$6=$B84,'Growth Engine'!AG$10*'Macro &amp; Indexation'!AG$19*gross_yield,AF84*(1+'Macro &amp; Indexation'!AG$11)))</f>
        <v>0</v>
      </c>
      <c r="AH84" s="40">
        <f ca="1">IF(AH$6&lt;$B84,0,IF(AH$6=$B84,'Growth Engine'!AH$10*'Macro &amp; Indexation'!AH$19*gross_yield,AG84*(1+'Macro &amp; Indexation'!AH$11)))</f>
        <v>0</v>
      </c>
      <c r="AI84" s="40">
        <f ca="1">IF(AI$6&lt;$B84,0,IF(AI$6=$B84,'Growth Engine'!AI$10*'Macro &amp; Indexation'!AI$19*gross_yield,AH84*(1+'Macro &amp; Indexation'!AI$11)))</f>
        <v>0</v>
      </c>
      <c r="AJ84" s="40">
        <f ca="1">IF(AJ$6&lt;$B84,0,IF(AJ$6=$B84,'Growth Engine'!AJ$10*'Macro &amp; Indexation'!AJ$19*gross_yield,AI84*(1+'Macro &amp; Indexation'!AJ$11)))</f>
        <v>0</v>
      </c>
      <c r="AK84" s="40">
        <f ca="1">IF(AK$6&lt;$B84,0,IF(AK$6=$B84,'Growth Engine'!AK$10*'Macro &amp; Indexation'!AK$19*gross_yield,AJ84*(1+'Macro &amp; Indexation'!AK$11)))</f>
        <v>0</v>
      </c>
      <c r="AL84" s="40">
        <f ca="1">IF(AL$6&lt;$B84,0,IF(AL$6=$B84,'Growth Engine'!AL$10*'Macro &amp; Indexation'!AL$19*gross_yield,AK84*(1+'Macro &amp; Indexation'!AL$11)))</f>
        <v>0</v>
      </c>
      <c r="AM84" s="40">
        <f ca="1">IF(AM$6&lt;$B84,0,IF(AM$6=$B84,'Growth Engine'!AM$10*'Macro &amp; Indexation'!AM$19*gross_yield,AL84*(1+'Macro &amp; Indexation'!AM$11)))</f>
        <v>0</v>
      </c>
      <c r="AN84" s="40">
        <f ca="1">IF(AN$6&lt;$B84,0,IF(AN$6=$B84,'Growth Engine'!AN$10*'Macro &amp; Indexation'!AN$19*gross_yield,AM84*(1+'Macro &amp; Indexation'!AN$11)))</f>
        <v>0</v>
      </c>
      <c r="AO84" s="40">
        <f ca="1">IF(AO$6&lt;$B84,0,IF(AO$6=$B84,'Growth Engine'!AO$10*'Macro &amp; Indexation'!AO$19*gross_yield,AN84*(1+'Macro &amp; Indexation'!AO$11)))</f>
        <v>0</v>
      </c>
      <c r="AP84" s="40">
        <f ca="1">IF(AP$6&lt;$B84,0,IF(AP$6=$B84,'Growth Engine'!AP$10*'Macro &amp; Indexation'!AP$19*gross_yield,AO84*(1+'Macro &amp; Indexation'!AP$11)))</f>
        <v>0</v>
      </c>
      <c r="AQ84" s="40">
        <f ca="1">IF(AQ$6&lt;$B84,0,IF(AQ$6=$B84,'Growth Engine'!AQ$10*'Macro &amp; Indexation'!AQ$19*gross_yield,AP84*(1+'Macro &amp; Indexation'!AQ$11)))</f>
        <v>0</v>
      </c>
      <c r="AR84" s="40">
        <f ca="1">IF(AR$6&lt;$B84,0,IF(AR$6=$B84,'Growth Engine'!AR$10*'Macro &amp; Indexation'!AR$19*gross_yield,AQ84*(1+'Macro &amp; Indexation'!AR$11)))</f>
        <v>0</v>
      </c>
      <c r="AS84" s="40">
        <f ca="1">IF(AS$6&lt;$B84,0,IF(AS$6=$B84,'Growth Engine'!AS$10*'Macro &amp; Indexation'!AS$19*gross_yield,AR84*(1+'Macro &amp; Indexation'!AS$11)))</f>
        <v>0</v>
      </c>
      <c r="AT84" s="40">
        <f ca="1">IF(AT$6&lt;$B84,0,IF(AT$6=$B84,'Growth Engine'!AT$10*'Macro &amp; Indexation'!AT$19*gross_yield,AS84*(1+'Macro &amp; Indexation'!AT$11)))</f>
        <v>0</v>
      </c>
      <c r="AU84" s="40">
        <f ca="1">IF(AU$6&lt;$B84,0,IF(AU$6=$B84,'Growth Engine'!AU$10*'Macro &amp; Indexation'!AU$19*gross_yield,AT84*(1+'Macro &amp; Indexation'!AU$11)))</f>
        <v>0</v>
      </c>
      <c r="AV84" s="40">
        <f ca="1">IF(AV$6&lt;$B84,0,IF(AV$6=$B84,'Growth Engine'!AV$10*'Macro &amp; Indexation'!AV$19*gross_yield,AU84*(1+'Macro &amp; Indexation'!AV$11)))</f>
        <v>0</v>
      </c>
      <c r="AW84" s="40">
        <f ca="1">IF(AW$6&lt;$B84,0,IF(AW$6=$B84,'Growth Engine'!AW$10*'Macro &amp; Indexation'!AW$19*gross_yield,AV84*(1+'Macro &amp; Indexation'!AW$11)))</f>
        <v>0</v>
      </c>
      <c r="AX84" s="40">
        <f ca="1">IF(AX$6&lt;$B84,0,IF(AX$6=$B84,'Growth Engine'!AX$10*'Macro &amp; Indexation'!AX$19*gross_yield,AW84*(1+'Macro &amp; Indexation'!AX$11)))</f>
        <v>0</v>
      </c>
      <c r="AY84" s="40">
        <f ca="1">IF(AY$6&lt;$B84,0,IF(AY$6=$B84,'Growth Engine'!AY$10*'Macro &amp; Indexation'!AY$19*gross_yield,AX84*(1+'Macro &amp; Indexation'!AY$11)))</f>
        <v>0</v>
      </c>
      <c r="AZ84" s="40">
        <f ca="1">IF(AZ$6&lt;$B84,0,IF(AZ$6=$B84,'Growth Engine'!AZ$10*'Macro &amp; Indexation'!AZ$19*gross_yield,AY84*(1+'Macro &amp; Indexation'!AZ$11)))</f>
        <v>0</v>
      </c>
      <c r="BA84" s="40">
        <f ca="1">IF(BA$6&lt;$B84,0,IF(BA$6=$B84,'Growth Engine'!BA$10*'Macro &amp; Indexation'!BA$19*gross_yield,AZ84*(1+'Macro &amp; Indexation'!BA$11)))</f>
        <v>0</v>
      </c>
    </row>
    <row r="85" spans="1:53" outlineLevel="1" x14ac:dyDescent="0.3">
      <c r="A85" t="s">
        <v>156</v>
      </c>
      <c r="B85">
        <v>20</v>
      </c>
      <c r="D85" s="40">
        <f>IF(D$6&lt;$B85,0,IF(D$6=$B85,'Growth Engine'!D$10*'Macro &amp; Indexation'!D$19*gross_yield,C85*(1+'Macro &amp; Indexation'!D$11)))</f>
        <v>0</v>
      </c>
      <c r="E85" s="40">
        <f>IF(E$6&lt;$B85,0,IF(E$6=$B85,'Growth Engine'!E$10*'Macro &amp; Indexation'!E$19*gross_yield,D85*(1+'Macro &amp; Indexation'!E$11)))</f>
        <v>0</v>
      </c>
      <c r="F85" s="40">
        <f>IF(F$6&lt;$B85,0,IF(F$6=$B85,'Growth Engine'!F$10*'Macro &amp; Indexation'!F$19*gross_yield,E85*(1+'Macro &amp; Indexation'!F$11)))</f>
        <v>0</v>
      </c>
      <c r="G85" s="40">
        <f>IF(G$6&lt;$B85,0,IF(G$6=$B85,'Growth Engine'!G$10*'Macro &amp; Indexation'!G$19*gross_yield,F85*(1+'Macro &amp; Indexation'!G$11)))</f>
        <v>0</v>
      </c>
      <c r="H85" s="40">
        <f>IF(H$6&lt;$B85,0,IF(H$6=$B85,'Growth Engine'!H$10*'Macro &amp; Indexation'!H$19*gross_yield,G85*(1+'Macro &amp; Indexation'!H$11)))</f>
        <v>0</v>
      </c>
      <c r="I85" s="40">
        <f>IF(I$6&lt;$B85,0,IF(I$6=$B85,'Growth Engine'!I$10*'Macro &amp; Indexation'!I$19*gross_yield,H85*(1+'Macro &amp; Indexation'!I$11)))</f>
        <v>0</v>
      </c>
      <c r="J85" s="40">
        <f>IF(J$6&lt;$B85,0,IF(J$6=$B85,'Growth Engine'!J$10*'Macro &amp; Indexation'!J$19*gross_yield,I85*(1+'Macro &amp; Indexation'!J$11)))</f>
        <v>0</v>
      </c>
      <c r="K85" s="40">
        <f>IF(K$6&lt;$B85,0,IF(K$6=$B85,'Growth Engine'!K$10*'Macro &amp; Indexation'!K$19*gross_yield,J85*(1+'Macro &amp; Indexation'!K$11)))</f>
        <v>0</v>
      </c>
      <c r="L85" s="40">
        <f>IF(L$6&lt;$B85,0,IF(L$6=$B85,'Growth Engine'!L$10*'Macro &amp; Indexation'!L$19*gross_yield,K85*(1+'Macro &amp; Indexation'!L$11)))</f>
        <v>0</v>
      </c>
      <c r="M85" s="40">
        <f>IF(M$6&lt;$B85,0,IF(M$6=$B85,'Growth Engine'!M$10*'Macro &amp; Indexation'!M$19*gross_yield,L85*(1+'Macro &amp; Indexation'!M$11)))</f>
        <v>0</v>
      </c>
      <c r="N85" s="40">
        <f>IF(N$6&lt;$B85,0,IF(N$6=$B85,'Growth Engine'!N$10*'Macro &amp; Indexation'!N$19*gross_yield,M85*(1+'Macro &amp; Indexation'!N$11)))</f>
        <v>0</v>
      </c>
      <c r="O85" s="40">
        <f>IF(O$6&lt;$B85,0,IF(O$6=$B85,'Growth Engine'!O$10*'Macro &amp; Indexation'!O$19*gross_yield,N85*(1+'Macro &amp; Indexation'!O$11)))</f>
        <v>0</v>
      </c>
      <c r="P85" s="40">
        <f>IF(P$6&lt;$B85,0,IF(P$6=$B85,'Growth Engine'!P$10*'Macro &amp; Indexation'!P$19*gross_yield,O85*(1+'Macro &amp; Indexation'!P$11)))</f>
        <v>0</v>
      </c>
      <c r="Q85" s="40">
        <f>IF(Q$6&lt;$B85,0,IF(Q$6=$B85,'Growth Engine'!Q$10*'Macro &amp; Indexation'!Q$19*gross_yield,P85*(1+'Macro &amp; Indexation'!Q$11)))</f>
        <v>0</v>
      </c>
      <c r="R85" s="40">
        <f>IF(R$6&lt;$B85,0,IF(R$6=$B85,'Growth Engine'!R$10*'Macro &amp; Indexation'!R$19*gross_yield,Q85*(1+'Macro &amp; Indexation'!R$11)))</f>
        <v>0</v>
      </c>
      <c r="S85" s="40">
        <f>IF(S$6&lt;$B85,0,IF(S$6=$B85,'Growth Engine'!S$10*'Macro &amp; Indexation'!S$19*gross_yield,R85*(1+'Macro &amp; Indexation'!S$11)))</f>
        <v>0</v>
      </c>
      <c r="T85" s="40">
        <f>IF(T$6&lt;$B85,0,IF(T$6=$B85,'Growth Engine'!T$10*'Macro &amp; Indexation'!T$19*gross_yield,S85*(1+'Macro &amp; Indexation'!T$11)))</f>
        <v>0</v>
      </c>
      <c r="U85" s="40">
        <f>IF(U$6&lt;$B85,0,IF(U$6=$B85,'Growth Engine'!U$10*'Macro &amp; Indexation'!U$19*gross_yield,T85*(1+'Macro &amp; Indexation'!U$11)))</f>
        <v>0</v>
      </c>
      <c r="V85" s="40">
        <f>IF(V$6&lt;$B85,0,IF(V$6=$B85,'Growth Engine'!V$10*'Macro &amp; Indexation'!V$19*gross_yield,U85*(1+'Macro &amp; Indexation'!V$11)))</f>
        <v>0</v>
      </c>
      <c r="W85" s="40">
        <f ca="1">IF(W$6&lt;$B85,0,IF(W$6=$B85,'Growth Engine'!W$10*'Macro &amp; Indexation'!W$19*gross_yield,V85*(1+'Macro &amp; Indexation'!W$11)))</f>
        <v>0</v>
      </c>
      <c r="X85" s="40">
        <f ca="1">IF(X$6&lt;$B85,0,IF(X$6=$B85,'Growth Engine'!X$10*'Macro &amp; Indexation'!X$19*gross_yield,W85*(1+'Macro &amp; Indexation'!X$11)))</f>
        <v>0</v>
      </c>
      <c r="Y85" s="40">
        <f ca="1">IF(Y$6&lt;$B85,0,IF(Y$6=$B85,'Growth Engine'!Y$10*'Macro &amp; Indexation'!Y$19*gross_yield,X85*(1+'Macro &amp; Indexation'!Y$11)))</f>
        <v>0</v>
      </c>
      <c r="Z85" s="40">
        <f ca="1">IF(Z$6&lt;$B85,0,IF(Z$6=$B85,'Growth Engine'!Z$10*'Macro &amp; Indexation'!Z$19*gross_yield,Y85*(1+'Macro &amp; Indexation'!Z$11)))</f>
        <v>0</v>
      </c>
      <c r="AA85" s="40">
        <f ca="1">IF(AA$6&lt;$B85,0,IF(AA$6=$B85,'Growth Engine'!AA$10*'Macro &amp; Indexation'!AA$19*gross_yield,Z85*(1+'Macro &amp; Indexation'!AA$11)))</f>
        <v>0</v>
      </c>
      <c r="AB85" s="40">
        <f ca="1">IF(AB$6&lt;$B85,0,IF(AB$6=$B85,'Growth Engine'!AB$10*'Macro &amp; Indexation'!AB$19*gross_yield,AA85*(1+'Macro &amp; Indexation'!AB$11)))</f>
        <v>0</v>
      </c>
      <c r="AC85" s="40">
        <f ca="1">IF(AC$6&lt;$B85,0,IF(AC$6=$B85,'Growth Engine'!AC$10*'Macro &amp; Indexation'!AC$19*gross_yield,AB85*(1+'Macro &amp; Indexation'!AC$11)))</f>
        <v>0</v>
      </c>
      <c r="AD85" s="40">
        <f ca="1">IF(AD$6&lt;$B85,0,IF(AD$6=$B85,'Growth Engine'!AD$10*'Macro &amp; Indexation'!AD$19*gross_yield,AC85*(1+'Macro &amp; Indexation'!AD$11)))</f>
        <v>0</v>
      </c>
      <c r="AE85" s="40">
        <f ca="1">IF(AE$6&lt;$B85,0,IF(AE$6=$B85,'Growth Engine'!AE$10*'Macro &amp; Indexation'!AE$19*gross_yield,AD85*(1+'Macro &amp; Indexation'!AE$11)))</f>
        <v>0</v>
      </c>
      <c r="AF85" s="40">
        <f ca="1">IF(AF$6&lt;$B85,0,IF(AF$6=$B85,'Growth Engine'!AF$10*'Macro &amp; Indexation'!AF$19*gross_yield,AE85*(1+'Macro &amp; Indexation'!AF$11)))</f>
        <v>0</v>
      </c>
      <c r="AG85" s="40">
        <f ca="1">IF(AG$6&lt;$B85,0,IF(AG$6=$B85,'Growth Engine'!AG$10*'Macro &amp; Indexation'!AG$19*gross_yield,AF85*(1+'Macro &amp; Indexation'!AG$11)))</f>
        <v>0</v>
      </c>
      <c r="AH85" s="40">
        <f ca="1">IF(AH$6&lt;$B85,0,IF(AH$6=$B85,'Growth Engine'!AH$10*'Macro &amp; Indexation'!AH$19*gross_yield,AG85*(1+'Macro &amp; Indexation'!AH$11)))</f>
        <v>0</v>
      </c>
      <c r="AI85" s="40">
        <f ca="1">IF(AI$6&lt;$B85,0,IF(AI$6=$B85,'Growth Engine'!AI$10*'Macro &amp; Indexation'!AI$19*gross_yield,AH85*(1+'Macro &amp; Indexation'!AI$11)))</f>
        <v>0</v>
      </c>
      <c r="AJ85" s="40">
        <f ca="1">IF(AJ$6&lt;$B85,0,IF(AJ$6=$B85,'Growth Engine'!AJ$10*'Macro &amp; Indexation'!AJ$19*gross_yield,AI85*(1+'Macro &amp; Indexation'!AJ$11)))</f>
        <v>0</v>
      </c>
      <c r="AK85" s="40">
        <f ca="1">IF(AK$6&lt;$B85,0,IF(AK$6=$B85,'Growth Engine'!AK$10*'Macro &amp; Indexation'!AK$19*gross_yield,AJ85*(1+'Macro &amp; Indexation'!AK$11)))</f>
        <v>0</v>
      </c>
      <c r="AL85" s="40">
        <f ca="1">IF(AL$6&lt;$B85,0,IF(AL$6=$B85,'Growth Engine'!AL$10*'Macro &amp; Indexation'!AL$19*gross_yield,AK85*(1+'Macro &amp; Indexation'!AL$11)))</f>
        <v>0</v>
      </c>
      <c r="AM85" s="40">
        <f ca="1">IF(AM$6&lt;$B85,0,IF(AM$6=$B85,'Growth Engine'!AM$10*'Macro &amp; Indexation'!AM$19*gross_yield,AL85*(1+'Macro &amp; Indexation'!AM$11)))</f>
        <v>0</v>
      </c>
      <c r="AN85" s="40">
        <f ca="1">IF(AN$6&lt;$B85,0,IF(AN$6=$B85,'Growth Engine'!AN$10*'Macro &amp; Indexation'!AN$19*gross_yield,AM85*(1+'Macro &amp; Indexation'!AN$11)))</f>
        <v>0</v>
      </c>
      <c r="AO85" s="40">
        <f ca="1">IF(AO$6&lt;$B85,0,IF(AO$6=$B85,'Growth Engine'!AO$10*'Macro &amp; Indexation'!AO$19*gross_yield,AN85*(1+'Macro &amp; Indexation'!AO$11)))</f>
        <v>0</v>
      </c>
      <c r="AP85" s="40">
        <f ca="1">IF(AP$6&lt;$B85,0,IF(AP$6=$B85,'Growth Engine'!AP$10*'Macro &amp; Indexation'!AP$19*gross_yield,AO85*(1+'Macro &amp; Indexation'!AP$11)))</f>
        <v>0</v>
      </c>
      <c r="AQ85" s="40">
        <f ca="1">IF(AQ$6&lt;$B85,0,IF(AQ$6=$B85,'Growth Engine'!AQ$10*'Macro &amp; Indexation'!AQ$19*gross_yield,AP85*(1+'Macro &amp; Indexation'!AQ$11)))</f>
        <v>0</v>
      </c>
      <c r="AR85" s="40">
        <f ca="1">IF(AR$6&lt;$B85,0,IF(AR$6=$B85,'Growth Engine'!AR$10*'Macro &amp; Indexation'!AR$19*gross_yield,AQ85*(1+'Macro &amp; Indexation'!AR$11)))</f>
        <v>0</v>
      </c>
      <c r="AS85" s="40">
        <f ca="1">IF(AS$6&lt;$B85,0,IF(AS$6=$B85,'Growth Engine'!AS$10*'Macro &amp; Indexation'!AS$19*gross_yield,AR85*(1+'Macro &amp; Indexation'!AS$11)))</f>
        <v>0</v>
      </c>
      <c r="AT85" s="40">
        <f ca="1">IF(AT$6&lt;$B85,0,IF(AT$6=$B85,'Growth Engine'!AT$10*'Macro &amp; Indexation'!AT$19*gross_yield,AS85*(1+'Macro &amp; Indexation'!AT$11)))</f>
        <v>0</v>
      </c>
      <c r="AU85" s="40">
        <f ca="1">IF(AU$6&lt;$B85,0,IF(AU$6=$B85,'Growth Engine'!AU$10*'Macro &amp; Indexation'!AU$19*gross_yield,AT85*(1+'Macro &amp; Indexation'!AU$11)))</f>
        <v>0</v>
      </c>
      <c r="AV85" s="40">
        <f ca="1">IF(AV$6&lt;$B85,0,IF(AV$6=$B85,'Growth Engine'!AV$10*'Macro &amp; Indexation'!AV$19*gross_yield,AU85*(1+'Macro &amp; Indexation'!AV$11)))</f>
        <v>0</v>
      </c>
      <c r="AW85" s="40">
        <f ca="1">IF(AW$6&lt;$B85,0,IF(AW$6=$B85,'Growth Engine'!AW$10*'Macro &amp; Indexation'!AW$19*gross_yield,AV85*(1+'Macro &amp; Indexation'!AW$11)))</f>
        <v>0</v>
      </c>
      <c r="AX85" s="40">
        <f ca="1">IF(AX$6&lt;$B85,0,IF(AX$6=$B85,'Growth Engine'!AX$10*'Macro &amp; Indexation'!AX$19*gross_yield,AW85*(1+'Macro &amp; Indexation'!AX$11)))</f>
        <v>0</v>
      </c>
      <c r="AY85" s="40">
        <f ca="1">IF(AY$6&lt;$B85,0,IF(AY$6=$B85,'Growth Engine'!AY$10*'Macro &amp; Indexation'!AY$19*gross_yield,AX85*(1+'Macro &amp; Indexation'!AY$11)))</f>
        <v>0</v>
      </c>
      <c r="AZ85" s="40">
        <f ca="1">IF(AZ$6&lt;$B85,0,IF(AZ$6=$B85,'Growth Engine'!AZ$10*'Macro &amp; Indexation'!AZ$19*gross_yield,AY85*(1+'Macro &amp; Indexation'!AZ$11)))</f>
        <v>0</v>
      </c>
      <c r="BA85" s="40">
        <f ca="1">IF(BA$6&lt;$B85,0,IF(BA$6=$B85,'Growth Engine'!BA$10*'Macro &amp; Indexation'!BA$19*gross_yield,AZ85*(1+'Macro &amp; Indexation'!BA$11)))</f>
        <v>0</v>
      </c>
    </row>
    <row r="86" spans="1:53" outlineLevel="1" x14ac:dyDescent="0.3">
      <c r="A86" t="s">
        <v>157</v>
      </c>
      <c r="B86">
        <v>21</v>
      </c>
      <c r="D86" s="40">
        <f>IF(D$6&lt;$B86,0,IF(D$6=$B86,'Growth Engine'!D$10*'Macro &amp; Indexation'!D$19*gross_yield,C86*(1+'Macro &amp; Indexation'!D$11)))</f>
        <v>0</v>
      </c>
      <c r="E86" s="40">
        <f>IF(E$6&lt;$B86,0,IF(E$6=$B86,'Growth Engine'!E$10*'Macro &amp; Indexation'!E$19*gross_yield,D86*(1+'Macro &amp; Indexation'!E$11)))</f>
        <v>0</v>
      </c>
      <c r="F86" s="40">
        <f>IF(F$6&lt;$B86,0,IF(F$6=$B86,'Growth Engine'!F$10*'Macro &amp; Indexation'!F$19*gross_yield,E86*(1+'Macro &amp; Indexation'!F$11)))</f>
        <v>0</v>
      </c>
      <c r="G86" s="40">
        <f>IF(G$6&lt;$B86,0,IF(G$6=$B86,'Growth Engine'!G$10*'Macro &amp; Indexation'!G$19*gross_yield,F86*(1+'Macro &amp; Indexation'!G$11)))</f>
        <v>0</v>
      </c>
      <c r="H86" s="40">
        <f>IF(H$6&lt;$B86,0,IF(H$6=$B86,'Growth Engine'!H$10*'Macro &amp; Indexation'!H$19*gross_yield,G86*(1+'Macro &amp; Indexation'!H$11)))</f>
        <v>0</v>
      </c>
      <c r="I86" s="40">
        <f>IF(I$6&lt;$B86,0,IF(I$6=$B86,'Growth Engine'!I$10*'Macro &amp; Indexation'!I$19*gross_yield,H86*(1+'Macro &amp; Indexation'!I$11)))</f>
        <v>0</v>
      </c>
      <c r="J86" s="40">
        <f>IF(J$6&lt;$B86,0,IF(J$6=$B86,'Growth Engine'!J$10*'Macro &amp; Indexation'!J$19*gross_yield,I86*(1+'Macro &amp; Indexation'!J$11)))</f>
        <v>0</v>
      </c>
      <c r="K86" s="40">
        <f>IF(K$6&lt;$B86,0,IF(K$6=$B86,'Growth Engine'!K$10*'Macro &amp; Indexation'!K$19*gross_yield,J86*(1+'Macro &amp; Indexation'!K$11)))</f>
        <v>0</v>
      </c>
      <c r="L86" s="40">
        <f>IF(L$6&lt;$B86,0,IF(L$6=$B86,'Growth Engine'!L$10*'Macro &amp; Indexation'!L$19*gross_yield,K86*(1+'Macro &amp; Indexation'!L$11)))</f>
        <v>0</v>
      </c>
      <c r="M86" s="40">
        <f>IF(M$6&lt;$B86,0,IF(M$6=$B86,'Growth Engine'!M$10*'Macro &amp; Indexation'!M$19*gross_yield,L86*(1+'Macro &amp; Indexation'!M$11)))</f>
        <v>0</v>
      </c>
      <c r="N86" s="40">
        <f>IF(N$6&lt;$B86,0,IF(N$6=$B86,'Growth Engine'!N$10*'Macro &amp; Indexation'!N$19*gross_yield,M86*(1+'Macro &amp; Indexation'!N$11)))</f>
        <v>0</v>
      </c>
      <c r="O86" s="40">
        <f>IF(O$6&lt;$B86,0,IF(O$6=$B86,'Growth Engine'!O$10*'Macro &amp; Indexation'!O$19*gross_yield,N86*(1+'Macro &amp; Indexation'!O$11)))</f>
        <v>0</v>
      </c>
      <c r="P86" s="40">
        <f>IF(P$6&lt;$B86,0,IF(P$6=$B86,'Growth Engine'!P$10*'Macro &amp; Indexation'!P$19*gross_yield,O86*(1+'Macro &amp; Indexation'!P$11)))</f>
        <v>0</v>
      </c>
      <c r="Q86" s="40">
        <f>IF(Q$6&lt;$B86,0,IF(Q$6=$B86,'Growth Engine'!Q$10*'Macro &amp; Indexation'!Q$19*gross_yield,P86*(1+'Macro &amp; Indexation'!Q$11)))</f>
        <v>0</v>
      </c>
      <c r="R86" s="40">
        <f>IF(R$6&lt;$B86,0,IF(R$6=$B86,'Growth Engine'!R$10*'Macro &amp; Indexation'!R$19*gross_yield,Q86*(1+'Macro &amp; Indexation'!R$11)))</f>
        <v>0</v>
      </c>
      <c r="S86" s="40">
        <f>IF(S$6&lt;$B86,0,IF(S$6=$B86,'Growth Engine'!S$10*'Macro &amp; Indexation'!S$19*gross_yield,R86*(1+'Macro &amp; Indexation'!S$11)))</f>
        <v>0</v>
      </c>
      <c r="T86" s="40">
        <f>IF(T$6&lt;$B86,0,IF(T$6=$B86,'Growth Engine'!T$10*'Macro &amp; Indexation'!T$19*gross_yield,S86*(1+'Macro &amp; Indexation'!T$11)))</f>
        <v>0</v>
      </c>
      <c r="U86" s="40">
        <f>IF(U$6&lt;$B86,0,IF(U$6=$B86,'Growth Engine'!U$10*'Macro &amp; Indexation'!U$19*gross_yield,T86*(1+'Macro &amp; Indexation'!U$11)))</f>
        <v>0</v>
      </c>
      <c r="V86" s="40">
        <f>IF(V$6&lt;$B86,0,IF(V$6=$B86,'Growth Engine'!V$10*'Macro &amp; Indexation'!V$19*gross_yield,U86*(1+'Macro &amp; Indexation'!V$11)))</f>
        <v>0</v>
      </c>
      <c r="W86" s="40">
        <f>IF(W$6&lt;$B86,0,IF(W$6=$B86,'Growth Engine'!W$10*'Macro &amp; Indexation'!W$19*gross_yield,V86*(1+'Macro &amp; Indexation'!W$11)))</f>
        <v>0</v>
      </c>
      <c r="X86" s="40">
        <f ca="1">IF(X$6&lt;$B86,0,IF(X$6=$B86,'Growth Engine'!X$10*'Macro &amp; Indexation'!X$19*gross_yield,W86*(1+'Macro &amp; Indexation'!X$11)))</f>
        <v>0</v>
      </c>
      <c r="Y86" s="40">
        <f ca="1">IF(Y$6&lt;$B86,0,IF(Y$6=$B86,'Growth Engine'!Y$10*'Macro &amp; Indexation'!Y$19*gross_yield,X86*(1+'Macro &amp; Indexation'!Y$11)))</f>
        <v>0</v>
      </c>
      <c r="Z86" s="40">
        <f ca="1">IF(Z$6&lt;$B86,0,IF(Z$6=$B86,'Growth Engine'!Z$10*'Macro &amp; Indexation'!Z$19*gross_yield,Y86*(1+'Macro &amp; Indexation'!Z$11)))</f>
        <v>0</v>
      </c>
      <c r="AA86" s="40">
        <f ca="1">IF(AA$6&lt;$B86,0,IF(AA$6=$B86,'Growth Engine'!AA$10*'Macro &amp; Indexation'!AA$19*gross_yield,Z86*(1+'Macro &amp; Indexation'!AA$11)))</f>
        <v>0</v>
      </c>
      <c r="AB86" s="40">
        <f ca="1">IF(AB$6&lt;$B86,0,IF(AB$6=$B86,'Growth Engine'!AB$10*'Macro &amp; Indexation'!AB$19*gross_yield,AA86*(1+'Macro &amp; Indexation'!AB$11)))</f>
        <v>0</v>
      </c>
      <c r="AC86" s="40">
        <f ca="1">IF(AC$6&lt;$B86,0,IF(AC$6=$B86,'Growth Engine'!AC$10*'Macro &amp; Indexation'!AC$19*gross_yield,AB86*(1+'Macro &amp; Indexation'!AC$11)))</f>
        <v>0</v>
      </c>
      <c r="AD86" s="40">
        <f ca="1">IF(AD$6&lt;$B86,0,IF(AD$6=$B86,'Growth Engine'!AD$10*'Macro &amp; Indexation'!AD$19*gross_yield,AC86*(1+'Macro &amp; Indexation'!AD$11)))</f>
        <v>0</v>
      </c>
      <c r="AE86" s="40">
        <f ca="1">IF(AE$6&lt;$B86,0,IF(AE$6=$B86,'Growth Engine'!AE$10*'Macro &amp; Indexation'!AE$19*gross_yield,AD86*(1+'Macro &amp; Indexation'!AE$11)))</f>
        <v>0</v>
      </c>
      <c r="AF86" s="40">
        <f ca="1">IF(AF$6&lt;$B86,0,IF(AF$6=$B86,'Growth Engine'!AF$10*'Macro &amp; Indexation'!AF$19*gross_yield,AE86*(1+'Macro &amp; Indexation'!AF$11)))</f>
        <v>0</v>
      </c>
      <c r="AG86" s="40">
        <f ca="1">IF(AG$6&lt;$B86,0,IF(AG$6=$B86,'Growth Engine'!AG$10*'Macro &amp; Indexation'!AG$19*gross_yield,AF86*(1+'Macro &amp; Indexation'!AG$11)))</f>
        <v>0</v>
      </c>
      <c r="AH86" s="40">
        <f ca="1">IF(AH$6&lt;$B86,0,IF(AH$6=$B86,'Growth Engine'!AH$10*'Macro &amp; Indexation'!AH$19*gross_yield,AG86*(1+'Macro &amp; Indexation'!AH$11)))</f>
        <v>0</v>
      </c>
      <c r="AI86" s="40">
        <f ca="1">IF(AI$6&lt;$B86,0,IF(AI$6=$B86,'Growth Engine'!AI$10*'Macro &amp; Indexation'!AI$19*gross_yield,AH86*(1+'Macro &amp; Indexation'!AI$11)))</f>
        <v>0</v>
      </c>
      <c r="AJ86" s="40">
        <f ca="1">IF(AJ$6&lt;$B86,0,IF(AJ$6=$B86,'Growth Engine'!AJ$10*'Macro &amp; Indexation'!AJ$19*gross_yield,AI86*(1+'Macro &amp; Indexation'!AJ$11)))</f>
        <v>0</v>
      </c>
      <c r="AK86" s="40">
        <f ca="1">IF(AK$6&lt;$B86,0,IF(AK$6=$B86,'Growth Engine'!AK$10*'Macro &amp; Indexation'!AK$19*gross_yield,AJ86*(1+'Macro &amp; Indexation'!AK$11)))</f>
        <v>0</v>
      </c>
      <c r="AL86" s="40">
        <f ca="1">IF(AL$6&lt;$B86,0,IF(AL$6=$B86,'Growth Engine'!AL$10*'Macro &amp; Indexation'!AL$19*gross_yield,AK86*(1+'Macro &amp; Indexation'!AL$11)))</f>
        <v>0</v>
      </c>
      <c r="AM86" s="40">
        <f ca="1">IF(AM$6&lt;$B86,0,IF(AM$6=$B86,'Growth Engine'!AM$10*'Macro &amp; Indexation'!AM$19*gross_yield,AL86*(1+'Macro &amp; Indexation'!AM$11)))</f>
        <v>0</v>
      </c>
      <c r="AN86" s="40">
        <f ca="1">IF(AN$6&lt;$B86,0,IF(AN$6=$B86,'Growth Engine'!AN$10*'Macro &amp; Indexation'!AN$19*gross_yield,AM86*(1+'Macro &amp; Indexation'!AN$11)))</f>
        <v>0</v>
      </c>
      <c r="AO86" s="40">
        <f ca="1">IF(AO$6&lt;$B86,0,IF(AO$6=$B86,'Growth Engine'!AO$10*'Macro &amp; Indexation'!AO$19*gross_yield,AN86*(1+'Macro &amp; Indexation'!AO$11)))</f>
        <v>0</v>
      </c>
      <c r="AP86" s="40">
        <f ca="1">IF(AP$6&lt;$B86,0,IF(AP$6=$B86,'Growth Engine'!AP$10*'Macro &amp; Indexation'!AP$19*gross_yield,AO86*(1+'Macro &amp; Indexation'!AP$11)))</f>
        <v>0</v>
      </c>
      <c r="AQ86" s="40">
        <f ca="1">IF(AQ$6&lt;$B86,0,IF(AQ$6=$B86,'Growth Engine'!AQ$10*'Macro &amp; Indexation'!AQ$19*gross_yield,AP86*(1+'Macro &amp; Indexation'!AQ$11)))</f>
        <v>0</v>
      </c>
      <c r="AR86" s="40">
        <f ca="1">IF(AR$6&lt;$B86,0,IF(AR$6=$B86,'Growth Engine'!AR$10*'Macro &amp; Indexation'!AR$19*gross_yield,AQ86*(1+'Macro &amp; Indexation'!AR$11)))</f>
        <v>0</v>
      </c>
      <c r="AS86" s="40">
        <f ca="1">IF(AS$6&lt;$B86,0,IF(AS$6=$B86,'Growth Engine'!AS$10*'Macro &amp; Indexation'!AS$19*gross_yield,AR86*(1+'Macro &amp; Indexation'!AS$11)))</f>
        <v>0</v>
      </c>
      <c r="AT86" s="40">
        <f ca="1">IF(AT$6&lt;$B86,0,IF(AT$6=$B86,'Growth Engine'!AT$10*'Macro &amp; Indexation'!AT$19*gross_yield,AS86*(1+'Macro &amp; Indexation'!AT$11)))</f>
        <v>0</v>
      </c>
      <c r="AU86" s="40">
        <f ca="1">IF(AU$6&lt;$B86,0,IF(AU$6=$B86,'Growth Engine'!AU$10*'Macro &amp; Indexation'!AU$19*gross_yield,AT86*(1+'Macro &amp; Indexation'!AU$11)))</f>
        <v>0</v>
      </c>
      <c r="AV86" s="40">
        <f ca="1">IF(AV$6&lt;$B86,0,IF(AV$6=$B86,'Growth Engine'!AV$10*'Macro &amp; Indexation'!AV$19*gross_yield,AU86*(1+'Macro &amp; Indexation'!AV$11)))</f>
        <v>0</v>
      </c>
      <c r="AW86" s="40">
        <f ca="1">IF(AW$6&lt;$B86,0,IF(AW$6=$B86,'Growth Engine'!AW$10*'Macro &amp; Indexation'!AW$19*gross_yield,AV86*(1+'Macro &amp; Indexation'!AW$11)))</f>
        <v>0</v>
      </c>
      <c r="AX86" s="40">
        <f ca="1">IF(AX$6&lt;$B86,0,IF(AX$6=$B86,'Growth Engine'!AX$10*'Macro &amp; Indexation'!AX$19*gross_yield,AW86*(1+'Macro &amp; Indexation'!AX$11)))</f>
        <v>0</v>
      </c>
      <c r="AY86" s="40">
        <f ca="1">IF(AY$6&lt;$B86,0,IF(AY$6=$B86,'Growth Engine'!AY$10*'Macro &amp; Indexation'!AY$19*gross_yield,AX86*(1+'Macro &amp; Indexation'!AY$11)))</f>
        <v>0</v>
      </c>
      <c r="AZ86" s="40">
        <f ca="1">IF(AZ$6&lt;$B86,0,IF(AZ$6=$B86,'Growth Engine'!AZ$10*'Macro &amp; Indexation'!AZ$19*gross_yield,AY86*(1+'Macro &amp; Indexation'!AZ$11)))</f>
        <v>0</v>
      </c>
      <c r="BA86" s="40">
        <f ca="1">IF(BA$6&lt;$B86,0,IF(BA$6=$B86,'Growth Engine'!BA$10*'Macro &amp; Indexation'!BA$19*gross_yield,AZ86*(1+'Macro &amp; Indexation'!BA$11)))</f>
        <v>0</v>
      </c>
    </row>
    <row r="87" spans="1:53" outlineLevel="1" x14ac:dyDescent="0.3">
      <c r="A87" t="s">
        <v>158</v>
      </c>
      <c r="B87">
        <v>22</v>
      </c>
      <c r="D87" s="40">
        <f>IF(D$6&lt;$B87,0,IF(D$6=$B87,'Growth Engine'!D$10*'Macro &amp; Indexation'!D$19*gross_yield,C87*(1+'Macro &amp; Indexation'!D$11)))</f>
        <v>0</v>
      </c>
      <c r="E87" s="40">
        <f>IF(E$6&lt;$B87,0,IF(E$6=$B87,'Growth Engine'!E$10*'Macro &amp; Indexation'!E$19*gross_yield,D87*(1+'Macro &amp; Indexation'!E$11)))</f>
        <v>0</v>
      </c>
      <c r="F87" s="40">
        <f>IF(F$6&lt;$B87,0,IF(F$6=$B87,'Growth Engine'!F$10*'Macro &amp; Indexation'!F$19*gross_yield,E87*(1+'Macro &amp; Indexation'!F$11)))</f>
        <v>0</v>
      </c>
      <c r="G87" s="40">
        <f>IF(G$6&lt;$B87,0,IF(G$6=$B87,'Growth Engine'!G$10*'Macro &amp; Indexation'!G$19*gross_yield,F87*(1+'Macro &amp; Indexation'!G$11)))</f>
        <v>0</v>
      </c>
      <c r="H87" s="40">
        <f>IF(H$6&lt;$B87,0,IF(H$6=$B87,'Growth Engine'!H$10*'Macro &amp; Indexation'!H$19*gross_yield,G87*(1+'Macro &amp; Indexation'!H$11)))</f>
        <v>0</v>
      </c>
      <c r="I87" s="40">
        <f>IF(I$6&lt;$B87,0,IF(I$6=$B87,'Growth Engine'!I$10*'Macro &amp; Indexation'!I$19*gross_yield,H87*(1+'Macro &amp; Indexation'!I$11)))</f>
        <v>0</v>
      </c>
      <c r="J87" s="40">
        <f>IF(J$6&lt;$B87,0,IF(J$6=$B87,'Growth Engine'!J$10*'Macro &amp; Indexation'!J$19*gross_yield,I87*(1+'Macro &amp; Indexation'!J$11)))</f>
        <v>0</v>
      </c>
      <c r="K87" s="40">
        <f>IF(K$6&lt;$B87,0,IF(K$6=$B87,'Growth Engine'!K$10*'Macro &amp; Indexation'!K$19*gross_yield,J87*(1+'Macro &amp; Indexation'!K$11)))</f>
        <v>0</v>
      </c>
      <c r="L87" s="40">
        <f>IF(L$6&lt;$B87,0,IF(L$6=$B87,'Growth Engine'!L$10*'Macro &amp; Indexation'!L$19*gross_yield,K87*(1+'Macro &amp; Indexation'!L$11)))</f>
        <v>0</v>
      </c>
      <c r="M87" s="40">
        <f>IF(M$6&lt;$B87,0,IF(M$6=$B87,'Growth Engine'!M$10*'Macro &amp; Indexation'!M$19*gross_yield,L87*(1+'Macro &amp; Indexation'!M$11)))</f>
        <v>0</v>
      </c>
      <c r="N87" s="40">
        <f>IF(N$6&lt;$B87,0,IF(N$6=$B87,'Growth Engine'!N$10*'Macro &amp; Indexation'!N$19*gross_yield,M87*(1+'Macro &amp; Indexation'!N$11)))</f>
        <v>0</v>
      </c>
      <c r="O87" s="40">
        <f>IF(O$6&lt;$B87,0,IF(O$6=$B87,'Growth Engine'!O$10*'Macro &amp; Indexation'!O$19*gross_yield,N87*(1+'Macro &amp; Indexation'!O$11)))</f>
        <v>0</v>
      </c>
      <c r="P87" s="40">
        <f>IF(P$6&lt;$B87,0,IF(P$6=$B87,'Growth Engine'!P$10*'Macro &amp; Indexation'!P$19*gross_yield,O87*(1+'Macro &amp; Indexation'!P$11)))</f>
        <v>0</v>
      </c>
      <c r="Q87" s="40">
        <f>IF(Q$6&lt;$B87,0,IF(Q$6=$B87,'Growth Engine'!Q$10*'Macro &amp; Indexation'!Q$19*gross_yield,P87*(1+'Macro &amp; Indexation'!Q$11)))</f>
        <v>0</v>
      </c>
      <c r="R87" s="40">
        <f>IF(R$6&lt;$B87,0,IF(R$6=$B87,'Growth Engine'!R$10*'Macro &amp; Indexation'!R$19*gross_yield,Q87*(1+'Macro &amp; Indexation'!R$11)))</f>
        <v>0</v>
      </c>
      <c r="S87" s="40">
        <f>IF(S$6&lt;$B87,0,IF(S$6=$B87,'Growth Engine'!S$10*'Macro &amp; Indexation'!S$19*gross_yield,R87*(1+'Macro &amp; Indexation'!S$11)))</f>
        <v>0</v>
      </c>
      <c r="T87" s="40">
        <f>IF(T$6&lt;$B87,0,IF(T$6=$B87,'Growth Engine'!T$10*'Macro &amp; Indexation'!T$19*gross_yield,S87*(1+'Macro &amp; Indexation'!T$11)))</f>
        <v>0</v>
      </c>
      <c r="U87" s="40">
        <f>IF(U$6&lt;$B87,0,IF(U$6=$B87,'Growth Engine'!U$10*'Macro &amp; Indexation'!U$19*gross_yield,T87*(1+'Macro &amp; Indexation'!U$11)))</f>
        <v>0</v>
      </c>
      <c r="V87" s="40">
        <f>IF(V$6&lt;$B87,0,IF(V$6=$B87,'Growth Engine'!V$10*'Macro &amp; Indexation'!V$19*gross_yield,U87*(1+'Macro &amp; Indexation'!V$11)))</f>
        <v>0</v>
      </c>
      <c r="W87" s="40">
        <f>IF(W$6&lt;$B87,0,IF(W$6=$B87,'Growth Engine'!W$10*'Macro &amp; Indexation'!W$19*gross_yield,V87*(1+'Macro &amp; Indexation'!W$11)))</f>
        <v>0</v>
      </c>
      <c r="X87" s="40">
        <f>IF(X$6&lt;$B87,0,IF(X$6=$B87,'Growth Engine'!X$10*'Macro &amp; Indexation'!X$19*gross_yield,W87*(1+'Macro &amp; Indexation'!X$11)))</f>
        <v>0</v>
      </c>
      <c r="Y87" s="40">
        <f ca="1">IF(Y$6&lt;$B87,0,IF(Y$6=$B87,'Growth Engine'!Y$10*'Macro &amp; Indexation'!Y$19*gross_yield,X87*(1+'Macro &amp; Indexation'!Y$11)))</f>
        <v>0</v>
      </c>
      <c r="Z87" s="40">
        <f ca="1">IF(Z$6&lt;$B87,0,IF(Z$6=$B87,'Growth Engine'!Z$10*'Macro &amp; Indexation'!Z$19*gross_yield,Y87*(1+'Macro &amp; Indexation'!Z$11)))</f>
        <v>0</v>
      </c>
      <c r="AA87" s="40">
        <f ca="1">IF(AA$6&lt;$B87,0,IF(AA$6=$B87,'Growth Engine'!AA$10*'Macro &amp; Indexation'!AA$19*gross_yield,Z87*(1+'Macro &amp; Indexation'!AA$11)))</f>
        <v>0</v>
      </c>
      <c r="AB87" s="40">
        <f ca="1">IF(AB$6&lt;$B87,0,IF(AB$6=$B87,'Growth Engine'!AB$10*'Macro &amp; Indexation'!AB$19*gross_yield,AA87*(1+'Macro &amp; Indexation'!AB$11)))</f>
        <v>0</v>
      </c>
      <c r="AC87" s="40">
        <f ca="1">IF(AC$6&lt;$B87,0,IF(AC$6=$B87,'Growth Engine'!AC$10*'Macro &amp; Indexation'!AC$19*gross_yield,AB87*(1+'Macro &amp; Indexation'!AC$11)))</f>
        <v>0</v>
      </c>
      <c r="AD87" s="40">
        <f ca="1">IF(AD$6&lt;$B87,0,IF(AD$6=$B87,'Growth Engine'!AD$10*'Macro &amp; Indexation'!AD$19*gross_yield,AC87*(1+'Macro &amp; Indexation'!AD$11)))</f>
        <v>0</v>
      </c>
      <c r="AE87" s="40">
        <f ca="1">IF(AE$6&lt;$B87,0,IF(AE$6=$B87,'Growth Engine'!AE$10*'Macro &amp; Indexation'!AE$19*gross_yield,AD87*(1+'Macro &amp; Indexation'!AE$11)))</f>
        <v>0</v>
      </c>
      <c r="AF87" s="40">
        <f ca="1">IF(AF$6&lt;$B87,0,IF(AF$6=$B87,'Growth Engine'!AF$10*'Macro &amp; Indexation'!AF$19*gross_yield,AE87*(1+'Macro &amp; Indexation'!AF$11)))</f>
        <v>0</v>
      </c>
      <c r="AG87" s="40">
        <f ca="1">IF(AG$6&lt;$B87,0,IF(AG$6=$B87,'Growth Engine'!AG$10*'Macro &amp; Indexation'!AG$19*gross_yield,AF87*(1+'Macro &amp; Indexation'!AG$11)))</f>
        <v>0</v>
      </c>
      <c r="AH87" s="40">
        <f ca="1">IF(AH$6&lt;$B87,0,IF(AH$6=$B87,'Growth Engine'!AH$10*'Macro &amp; Indexation'!AH$19*gross_yield,AG87*(1+'Macro &amp; Indexation'!AH$11)))</f>
        <v>0</v>
      </c>
      <c r="AI87" s="40">
        <f ca="1">IF(AI$6&lt;$B87,0,IF(AI$6=$B87,'Growth Engine'!AI$10*'Macro &amp; Indexation'!AI$19*gross_yield,AH87*(1+'Macro &amp; Indexation'!AI$11)))</f>
        <v>0</v>
      </c>
      <c r="AJ87" s="40">
        <f ca="1">IF(AJ$6&lt;$B87,0,IF(AJ$6=$B87,'Growth Engine'!AJ$10*'Macro &amp; Indexation'!AJ$19*gross_yield,AI87*(1+'Macro &amp; Indexation'!AJ$11)))</f>
        <v>0</v>
      </c>
      <c r="AK87" s="40">
        <f ca="1">IF(AK$6&lt;$B87,0,IF(AK$6=$B87,'Growth Engine'!AK$10*'Macro &amp; Indexation'!AK$19*gross_yield,AJ87*(1+'Macro &amp; Indexation'!AK$11)))</f>
        <v>0</v>
      </c>
      <c r="AL87" s="40">
        <f ca="1">IF(AL$6&lt;$B87,0,IF(AL$6=$B87,'Growth Engine'!AL$10*'Macro &amp; Indexation'!AL$19*gross_yield,AK87*(1+'Macro &amp; Indexation'!AL$11)))</f>
        <v>0</v>
      </c>
      <c r="AM87" s="40">
        <f ca="1">IF(AM$6&lt;$B87,0,IF(AM$6=$B87,'Growth Engine'!AM$10*'Macro &amp; Indexation'!AM$19*gross_yield,AL87*(1+'Macro &amp; Indexation'!AM$11)))</f>
        <v>0</v>
      </c>
      <c r="AN87" s="40">
        <f ca="1">IF(AN$6&lt;$B87,0,IF(AN$6=$B87,'Growth Engine'!AN$10*'Macro &amp; Indexation'!AN$19*gross_yield,AM87*(1+'Macro &amp; Indexation'!AN$11)))</f>
        <v>0</v>
      </c>
      <c r="AO87" s="40">
        <f ca="1">IF(AO$6&lt;$B87,0,IF(AO$6=$B87,'Growth Engine'!AO$10*'Macro &amp; Indexation'!AO$19*gross_yield,AN87*(1+'Macro &amp; Indexation'!AO$11)))</f>
        <v>0</v>
      </c>
      <c r="AP87" s="40">
        <f ca="1">IF(AP$6&lt;$B87,0,IF(AP$6=$B87,'Growth Engine'!AP$10*'Macro &amp; Indexation'!AP$19*gross_yield,AO87*(1+'Macro &amp; Indexation'!AP$11)))</f>
        <v>0</v>
      </c>
      <c r="AQ87" s="40">
        <f ca="1">IF(AQ$6&lt;$B87,0,IF(AQ$6=$B87,'Growth Engine'!AQ$10*'Macro &amp; Indexation'!AQ$19*gross_yield,AP87*(1+'Macro &amp; Indexation'!AQ$11)))</f>
        <v>0</v>
      </c>
      <c r="AR87" s="40">
        <f ca="1">IF(AR$6&lt;$B87,0,IF(AR$6=$B87,'Growth Engine'!AR$10*'Macro &amp; Indexation'!AR$19*gross_yield,AQ87*(1+'Macro &amp; Indexation'!AR$11)))</f>
        <v>0</v>
      </c>
      <c r="AS87" s="40">
        <f ca="1">IF(AS$6&lt;$B87,0,IF(AS$6=$B87,'Growth Engine'!AS$10*'Macro &amp; Indexation'!AS$19*gross_yield,AR87*(1+'Macro &amp; Indexation'!AS$11)))</f>
        <v>0</v>
      </c>
      <c r="AT87" s="40">
        <f ca="1">IF(AT$6&lt;$B87,0,IF(AT$6=$B87,'Growth Engine'!AT$10*'Macro &amp; Indexation'!AT$19*gross_yield,AS87*(1+'Macro &amp; Indexation'!AT$11)))</f>
        <v>0</v>
      </c>
      <c r="AU87" s="40">
        <f ca="1">IF(AU$6&lt;$B87,0,IF(AU$6=$B87,'Growth Engine'!AU$10*'Macro &amp; Indexation'!AU$19*gross_yield,AT87*(1+'Macro &amp; Indexation'!AU$11)))</f>
        <v>0</v>
      </c>
      <c r="AV87" s="40">
        <f ca="1">IF(AV$6&lt;$B87,0,IF(AV$6=$B87,'Growth Engine'!AV$10*'Macro &amp; Indexation'!AV$19*gross_yield,AU87*(1+'Macro &amp; Indexation'!AV$11)))</f>
        <v>0</v>
      </c>
      <c r="AW87" s="40">
        <f ca="1">IF(AW$6&lt;$B87,0,IF(AW$6=$B87,'Growth Engine'!AW$10*'Macro &amp; Indexation'!AW$19*gross_yield,AV87*(1+'Macro &amp; Indexation'!AW$11)))</f>
        <v>0</v>
      </c>
      <c r="AX87" s="40">
        <f ca="1">IF(AX$6&lt;$B87,0,IF(AX$6=$B87,'Growth Engine'!AX$10*'Macro &amp; Indexation'!AX$19*gross_yield,AW87*(1+'Macro &amp; Indexation'!AX$11)))</f>
        <v>0</v>
      </c>
      <c r="AY87" s="40">
        <f ca="1">IF(AY$6&lt;$B87,0,IF(AY$6=$B87,'Growth Engine'!AY$10*'Macro &amp; Indexation'!AY$19*gross_yield,AX87*(1+'Macro &amp; Indexation'!AY$11)))</f>
        <v>0</v>
      </c>
      <c r="AZ87" s="40">
        <f ca="1">IF(AZ$6&lt;$B87,0,IF(AZ$6=$B87,'Growth Engine'!AZ$10*'Macro &amp; Indexation'!AZ$19*gross_yield,AY87*(1+'Macro &amp; Indexation'!AZ$11)))</f>
        <v>0</v>
      </c>
      <c r="BA87" s="40">
        <f ca="1">IF(BA$6&lt;$B87,0,IF(BA$6=$B87,'Growth Engine'!BA$10*'Macro &amp; Indexation'!BA$19*gross_yield,AZ87*(1+'Macro &amp; Indexation'!BA$11)))</f>
        <v>0</v>
      </c>
    </row>
    <row r="88" spans="1:53" outlineLevel="1" x14ac:dyDescent="0.3">
      <c r="A88" t="s">
        <v>159</v>
      </c>
      <c r="B88">
        <v>23</v>
      </c>
      <c r="D88" s="40">
        <f>IF(D$6&lt;$B88,0,IF(D$6=$B88,'Growth Engine'!D$10*'Macro &amp; Indexation'!D$19*gross_yield,C88*(1+'Macro &amp; Indexation'!D$11)))</f>
        <v>0</v>
      </c>
      <c r="E88" s="40">
        <f>IF(E$6&lt;$B88,0,IF(E$6=$B88,'Growth Engine'!E$10*'Macro &amp; Indexation'!E$19*gross_yield,D88*(1+'Macro &amp; Indexation'!E$11)))</f>
        <v>0</v>
      </c>
      <c r="F88" s="40">
        <f>IF(F$6&lt;$B88,0,IF(F$6=$B88,'Growth Engine'!F$10*'Macro &amp; Indexation'!F$19*gross_yield,E88*(1+'Macro &amp; Indexation'!F$11)))</f>
        <v>0</v>
      </c>
      <c r="G88" s="40">
        <f>IF(G$6&lt;$B88,0,IF(G$6=$B88,'Growth Engine'!G$10*'Macro &amp; Indexation'!G$19*gross_yield,F88*(1+'Macro &amp; Indexation'!G$11)))</f>
        <v>0</v>
      </c>
      <c r="H88" s="40">
        <f>IF(H$6&lt;$B88,0,IF(H$6=$B88,'Growth Engine'!H$10*'Macro &amp; Indexation'!H$19*gross_yield,G88*(1+'Macro &amp; Indexation'!H$11)))</f>
        <v>0</v>
      </c>
      <c r="I88" s="40">
        <f>IF(I$6&lt;$B88,0,IF(I$6=$B88,'Growth Engine'!I$10*'Macro &amp; Indexation'!I$19*gross_yield,H88*(1+'Macro &amp; Indexation'!I$11)))</f>
        <v>0</v>
      </c>
      <c r="J88" s="40">
        <f>IF(J$6&lt;$B88,0,IF(J$6=$B88,'Growth Engine'!J$10*'Macro &amp; Indexation'!J$19*gross_yield,I88*(1+'Macro &amp; Indexation'!J$11)))</f>
        <v>0</v>
      </c>
      <c r="K88" s="40">
        <f>IF(K$6&lt;$B88,0,IF(K$6=$B88,'Growth Engine'!K$10*'Macro &amp; Indexation'!K$19*gross_yield,J88*(1+'Macro &amp; Indexation'!K$11)))</f>
        <v>0</v>
      </c>
      <c r="L88" s="40">
        <f>IF(L$6&lt;$B88,0,IF(L$6=$B88,'Growth Engine'!L$10*'Macro &amp; Indexation'!L$19*gross_yield,K88*(1+'Macro &amp; Indexation'!L$11)))</f>
        <v>0</v>
      </c>
      <c r="M88" s="40">
        <f>IF(M$6&lt;$B88,0,IF(M$6=$B88,'Growth Engine'!M$10*'Macro &amp; Indexation'!M$19*gross_yield,L88*(1+'Macro &amp; Indexation'!M$11)))</f>
        <v>0</v>
      </c>
      <c r="N88" s="40">
        <f>IF(N$6&lt;$B88,0,IF(N$6=$B88,'Growth Engine'!N$10*'Macro &amp; Indexation'!N$19*gross_yield,M88*(1+'Macro &amp; Indexation'!N$11)))</f>
        <v>0</v>
      </c>
      <c r="O88" s="40">
        <f>IF(O$6&lt;$B88,0,IF(O$6=$B88,'Growth Engine'!O$10*'Macro &amp; Indexation'!O$19*gross_yield,N88*(1+'Macro &amp; Indexation'!O$11)))</f>
        <v>0</v>
      </c>
      <c r="P88" s="40">
        <f>IF(P$6&lt;$B88,0,IF(P$6=$B88,'Growth Engine'!P$10*'Macro &amp; Indexation'!P$19*gross_yield,O88*(1+'Macro &amp; Indexation'!P$11)))</f>
        <v>0</v>
      </c>
      <c r="Q88" s="40">
        <f>IF(Q$6&lt;$B88,0,IF(Q$6=$B88,'Growth Engine'!Q$10*'Macro &amp; Indexation'!Q$19*gross_yield,P88*(1+'Macro &amp; Indexation'!Q$11)))</f>
        <v>0</v>
      </c>
      <c r="R88" s="40">
        <f>IF(R$6&lt;$B88,0,IF(R$6=$B88,'Growth Engine'!R$10*'Macro &amp; Indexation'!R$19*gross_yield,Q88*(1+'Macro &amp; Indexation'!R$11)))</f>
        <v>0</v>
      </c>
      <c r="S88" s="40">
        <f>IF(S$6&lt;$B88,0,IF(S$6=$B88,'Growth Engine'!S$10*'Macro &amp; Indexation'!S$19*gross_yield,R88*(1+'Macro &amp; Indexation'!S$11)))</f>
        <v>0</v>
      </c>
      <c r="T88" s="40">
        <f>IF(T$6&lt;$B88,0,IF(T$6=$B88,'Growth Engine'!T$10*'Macro &amp; Indexation'!T$19*gross_yield,S88*(1+'Macro &amp; Indexation'!T$11)))</f>
        <v>0</v>
      </c>
      <c r="U88" s="40">
        <f>IF(U$6&lt;$B88,0,IF(U$6=$B88,'Growth Engine'!U$10*'Macro &amp; Indexation'!U$19*gross_yield,T88*(1+'Macro &amp; Indexation'!U$11)))</f>
        <v>0</v>
      </c>
      <c r="V88" s="40">
        <f>IF(V$6&lt;$B88,0,IF(V$6=$B88,'Growth Engine'!V$10*'Macro &amp; Indexation'!V$19*gross_yield,U88*(1+'Macro &amp; Indexation'!V$11)))</f>
        <v>0</v>
      </c>
      <c r="W88" s="40">
        <f>IF(W$6&lt;$B88,0,IF(W$6=$B88,'Growth Engine'!W$10*'Macro &amp; Indexation'!W$19*gross_yield,V88*(1+'Macro &amp; Indexation'!W$11)))</f>
        <v>0</v>
      </c>
      <c r="X88" s="40">
        <f>IF(X$6&lt;$B88,0,IF(X$6=$B88,'Growth Engine'!X$10*'Macro &amp; Indexation'!X$19*gross_yield,W88*(1+'Macro &amp; Indexation'!X$11)))</f>
        <v>0</v>
      </c>
      <c r="Y88" s="40">
        <f>IF(Y$6&lt;$B88,0,IF(Y$6=$B88,'Growth Engine'!Y$10*'Macro &amp; Indexation'!Y$19*gross_yield,X88*(1+'Macro &amp; Indexation'!Y$11)))</f>
        <v>0</v>
      </c>
      <c r="Z88" s="40">
        <f ca="1">IF(Z$6&lt;$B88,0,IF(Z$6=$B88,'Growth Engine'!Z$10*'Macro &amp; Indexation'!Z$19*gross_yield,Y88*(1+'Macro &amp; Indexation'!Z$11)))</f>
        <v>29841.162053726755</v>
      </c>
      <c r="AA88" s="40">
        <f ca="1">IF(AA$6&lt;$B88,0,IF(AA$6=$B88,'Growth Engine'!AA$10*'Macro &amp; Indexation'!AA$19*gross_yield,Z88*(1+'Macro &amp; Indexation'!AA$11)))</f>
        <v>30587.19110506992</v>
      </c>
      <c r="AB88" s="40">
        <f ca="1">IF(AB$6&lt;$B88,0,IF(AB$6=$B88,'Growth Engine'!AB$10*'Macro &amp; Indexation'!AB$19*gross_yield,AA88*(1+'Macro &amp; Indexation'!AB$11)))</f>
        <v>31351.870882696665</v>
      </c>
      <c r="AC88" s="40">
        <f ca="1">IF(AC$6&lt;$B88,0,IF(AC$6=$B88,'Growth Engine'!AC$10*'Macro &amp; Indexation'!AC$19*gross_yield,AB88*(1+'Macro &amp; Indexation'!AC$11)))</f>
        <v>32135.667654764078</v>
      </c>
      <c r="AD88" s="40">
        <f ca="1">IF(AD$6&lt;$B88,0,IF(AD$6=$B88,'Growth Engine'!AD$10*'Macro &amp; Indexation'!AD$19*gross_yield,AC88*(1+'Macro &amp; Indexation'!AD$11)))</f>
        <v>32939.059346133174</v>
      </c>
      <c r="AE88" s="40">
        <f ca="1">IF(AE$6&lt;$B88,0,IF(AE$6=$B88,'Growth Engine'!AE$10*'Macro &amp; Indexation'!AE$19*gross_yield,AD88*(1+'Macro &amp; Indexation'!AE$11)))</f>
        <v>33762.535829786502</v>
      </c>
      <c r="AF88" s="40">
        <f ca="1">IF(AF$6&lt;$B88,0,IF(AF$6=$B88,'Growth Engine'!AF$10*'Macro &amp; Indexation'!AF$19*gross_yield,AE88*(1+'Macro &amp; Indexation'!AF$11)))</f>
        <v>34606.599225531165</v>
      </c>
      <c r="AG88" s="40">
        <f ca="1">IF(AG$6&lt;$B88,0,IF(AG$6=$B88,'Growth Engine'!AG$10*'Macro &amp; Indexation'!AG$19*gross_yield,AF88*(1+'Macro &amp; Indexation'!AG$11)))</f>
        <v>35471.764206169442</v>
      </c>
      <c r="AH88" s="40">
        <f ca="1">IF(AH$6&lt;$B88,0,IF(AH$6=$B88,'Growth Engine'!AH$10*'Macro &amp; Indexation'!AH$19*gross_yield,AG88*(1+'Macro &amp; Indexation'!AH$11)))</f>
        <v>36358.558311323672</v>
      </c>
      <c r="AI88" s="40">
        <f ca="1">IF(AI$6&lt;$B88,0,IF(AI$6=$B88,'Growth Engine'!AI$10*'Macro &amp; Indexation'!AI$19*gross_yield,AH88*(1+'Macro &amp; Indexation'!AI$11)))</f>
        <v>37267.522269106761</v>
      </c>
      <c r="AJ88" s="40">
        <f ca="1">IF(AJ$6&lt;$B88,0,IF(AJ$6=$B88,'Growth Engine'!AJ$10*'Macro &amp; Indexation'!AJ$19*gross_yield,AI88*(1+'Macro &amp; Indexation'!AJ$11)))</f>
        <v>38199.210325834429</v>
      </c>
      <c r="AK88" s="40">
        <f ca="1">IF(AK$6&lt;$B88,0,IF(AK$6=$B88,'Growth Engine'!AK$10*'Macro &amp; Indexation'!AK$19*gross_yield,AJ88*(1+'Macro &amp; Indexation'!AK$11)))</f>
        <v>39154.190583980286</v>
      </c>
      <c r="AL88" s="40">
        <f ca="1">IF(AL$6&lt;$B88,0,IF(AL$6=$B88,'Growth Engine'!AL$10*'Macro &amp; Indexation'!AL$19*gross_yield,AK88*(1+'Macro &amp; Indexation'!AL$11)))</f>
        <v>40133.045348579792</v>
      </c>
      <c r="AM88" s="40">
        <f ca="1">IF(AM$6&lt;$B88,0,IF(AM$6=$B88,'Growth Engine'!AM$10*'Macro &amp; Indexation'!AM$19*gross_yield,AL88*(1+'Macro &amp; Indexation'!AM$11)))</f>
        <v>41136.371482294286</v>
      </c>
      <c r="AN88" s="40">
        <f ca="1">IF(AN$6&lt;$B88,0,IF(AN$6=$B88,'Growth Engine'!AN$10*'Macro &amp; Indexation'!AN$19*gross_yield,AM88*(1+'Macro &amp; Indexation'!AN$11)))</f>
        <v>42164.780769351637</v>
      </c>
      <c r="AO88" s="40">
        <f ca="1">IF(AO$6&lt;$B88,0,IF(AO$6=$B88,'Growth Engine'!AO$10*'Macro &amp; Indexation'!AO$19*gross_yield,AN88*(1+'Macro &amp; Indexation'!AO$11)))</f>
        <v>43218.900288585421</v>
      </c>
      <c r="AP88" s="40">
        <f ca="1">IF(AP$6&lt;$B88,0,IF(AP$6=$B88,'Growth Engine'!AP$10*'Macro &amp; Indexation'!AP$19*gross_yield,AO88*(1+'Macro &amp; Indexation'!AP$11)))</f>
        <v>44299.372795800053</v>
      </c>
      <c r="AQ88" s="40">
        <f ca="1">IF(AQ$6&lt;$B88,0,IF(AQ$6=$B88,'Growth Engine'!AQ$10*'Macro &amp; Indexation'!AQ$19*gross_yield,AP88*(1+'Macro &amp; Indexation'!AQ$11)))</f>
        <v>45406.857115695049</v>
      </c>
      <c r="AR88" s="40">
        <f ca="1">IF(AR$6&lt;$B88,0,IF(AR$6=$B88,'Growth Engine'!AR$10*'Macro &amp; Indexation'!AR$19*gross_yield,AQ88*(1+'Macro &amp; Indexation'!AR$11)))</f>
        <v>46542.028543587425</v>
      </c>
      <c r="AS88" s="40">
        <f ca="1">IF(AS$6&lt;$B88,0,IF(AS$6=$B88,'Growth Engine'!AS$10*'Macro &amp; Indexation'!AS$19*gross_yield,AR88*(1+'Macro &amp; Indexation'!AS$11)))</f>
        <v>47705.579257177109</v>
      </c>
      <c r="AT88" s="40">
        <f ca="1">IF(AT$6&lt;$B88,0,IF(AT$6=$B88,'Growth Engine'!AT$10*'Macro &amp; Indexation'!AT$19*gross_yield,AS88*(1+'Macro &amp; Indexation'!AT$11)))</f>
        <v>48898.218738606534</v>
      </c>
      <c r="AU88" s="40">
        <f ca="1">IF(AU$6&lt;$B88,0,IF(AU$6=$B88,'Growth Engine'!AU$10*'Macro &amp; Indexation'!AU$19*gross_yield,AT88*(1+'Macro &amp; Indexation'!AU$11)))</f>
        <v>50120.674207071694</v>
      </c>
      <c r="AV88" s="40">
        <f ca="1">IF(AV$6&lt;$B88,0,IF(AV$6=$B88,'Growth Engine'!AV$10*'Macro &amp; Indexation'!AV$19*gross_yield,AU88*(1+'Macro &amp; Indexation'!AV$11)))</f>
        <v>51373.691062248479</v>
      </c>
      <c r="AW88" s="40">
        <f ca="1">IF(AW$6&lt;$B88,0,IF(AW$6=$B88,'Growth Engine'!AW$10*'Macro &amp; Indexation'!AW$19*gross_yield,AV88*(1+'Macro &amp; Indexation'!AW$11)))</f>
        <v>52658.033338804686</v>
      </c>
      <c r="AX88" s="40">
        <f ca="1">IF(AX$6&lt;$B88,0,IF(AX$6=$B88,'Growth Engine'!AX$10*'Macro &amp; Indexation'!AX$19*gross_yield,AW88*(1+'Macro &amp; Indexation'!AX$11)))</f>
        <v>53974.484172274795</v>
      </c>
      <c r="AY88" s="40">
        <f ca="1">IF(AY$6&lt;$B88,0,IF(AY$6=$B88,'Growth Engine'!AY$10*'Macro &amp; Indexation'!AY$19*gross_yield,AX88*(1+'Macro &amp; Indexation'!AY$11)))</f>
        <v>55323.846276581658</v>
      </c>
      <c r="AZ88" s="40">
        <f ca="1">IF(AZ$6&lt;$B88,0,IF(AZ$6=$B88,'Growth Engine'!AZ$10*'Macro &amp; Indexation'!AZ$19*gross_yield,AY88*(1+'Macro &amp; Indexation'!AZ$11)))</f>
        <v>56706.942433496195</v>
      </c>
      <c r="BA88" s="40">
        <f ca="1">IF(BA$6&lt;$B88,0,IF(BA$6=$B88,'Growth Engine'!BA$10*'Macro &amp; Indexation'!BA$19*gross_yield,AZ88*(1+'Macro &amp; Indexation'!BA$11)))</f>
        <v>58124.615994333595</v>
      </c>
    </row>
    <row r="89" spans="1:53" outlineLevel="1" x14ac:dyDescent="0.3">
      <c r="A89" t="s">
        <v>160</v>
      </c>
      <c r="B89">
        <v>24</v>
      </c>
      <c r="D89" s="40">
        <f>IF(D$6&lt;$B89,0,IF(D$6=$B89,'Growth Engine'!D$10*'Macro &amp; Indexation'!D$19*gross_yield,C89*(1+'Macro &amp; Indexation'!D$11)))</f>
        <v>0</v>
      </c>
      <c r="E89" s="40">
        <f>IF(E$6&lt;$B89,0,IF(E$6=$B89,'Growth Engine'!E$10*'Macro &amp; Indexation'!E$19*gross_yield,D89*(1+'Macro &amp; Indexation'!E$11)))</f>
        <v>0</v>
      </c>
      <c r="F89" s="40">
        <f>IF(F$6&lt;$B89,0,IF(F$6=$B89,'Growth Engine'!F$10*'Macro &amp; Indexation'!F$19*gross_yield,E89*(1+'Macro &amp; Indexation'!F$11)))</f>
        <v>0</v>
      </c>
      <c r="G89" s="40">
        <f>IF(G$6&lt;$B89,0,IF(G$6=$B89,'Growth Engine'!G$10*'Macro &amp; Indexation'!G$19*gross_yield,F89*(1+'Macro &amp; Indexation'!G$11)))</f>
        <v>0</v>
      </c>
      <c r="H89" s="40">
        <f>IF(H$6&lt;$B89,0,IF(H$6=$B89,'Growth Engine'!H$10*'Macro &amp; Indexation'!H$19*gross_yield,G89*(1+'Macro &amp; Indexation'!H$11)))</f>
        <v>0</v>
      </c>
      <c r="I89" s="40">
        <f>IF(I$6&lt;$B89,0,IF(I$6=$B89,'Growth Engine'!I$10*'Macro &amp; Indexation'!I$19*gross_yield,H89*(1+'Macro &amp; Indexation'!I$11)))</f>
        <v>0</v>
      </c>
      <c r="J89" s="40">
        <f>IF(J$6&lt;$B89,0,IF(J$6=$B89,'Growth Engine'!J$10*'Macro &amp; Indexation'!J$19*gross_yield,I89*(1+'Macro &amp; Indexation'!J$11)))</f>
        <v>0</v>
      </c>
      <c r="K89" s="40">
        <f>IF(K$6&lt;$B89,0,IF(K$6=$B89,'Growth Engine'!K$10*'Macro &amp; Indexation'!K$19*gross_yield,J89*(1+'Macro &amp; Indexation'!K$11)))</f>
        <v>0</v>
      </c>
      <c r="L89" s="40">
        <f>IF(L$6&lt;$B89,0,IF(L$6=$B89,'Growth Engine'!L$10*'Macro &amp; Indexation'!L$19*gross_yield,K89*(1+'Macro &amp; Indexation'!L$11)))</f>
        <v>0</v>
      </c>
      <c r="M89" s="40">
        <f>IF(M$6&lt;$B89,0,IF(M$6=$B89,'Growth Engine'!M$10*'Macro &amp; Indexation'!M$19*gross_yield,L89*(1+'Macro &amp; Indexation'!M$11)))</f>
        <v>0</v>
      </c>
      <c r="N89" s="40">
        <f>IF(N$6&lt;$B89,0,IF(N$6=$B89,'Growth Engine'!N$10*'Macro &amp; Indexation'!N$19*gross_yield,M89*(1+'Macro &amp; Indexation'!N$11)))</f>
        <v>0</v>
      </c>
      <c r="O89" s="40">
        <f>IF(O$6&lt;$B89,0,IF(O$6=$B89,'Growth Engine'!O$10*'Macro &amp; Indexation'!O$19*gross_yield,N89*(1+'Macro &amp; Indexation'!O$11)))</f>
        <v>0</v>
      </c>
      <c r="P89" s="40">
        <f>IF(P$6&lt;$B89,0,IF(P$6=$B89,'Growth Engine'!P$10*'Macro &amp; Indexation'!P$19*gross_yield,O89*(1+'Macro &amp; Indexation'!P$11)))</f>
        <v>0</v>
      </c>
      <c r="Q89" s="40">
        <f>IF(Q$6&lt;$B89,0,IF(Q$6=$B89,'Growth Engine'!Q$10*'Macro &amp; Indexation'!Q$19*gross_yield,P89*(1+'Macro &amp; Indexation'!Q$11)))</f>
        <v>0</v>
      </c>
      <c r="R89" s="40">
        <f>IF(R$6&lt;$B89,0,IF(R$6=$B89,'Growth Engine'!R$10*'Macro &amp; Indexation'!R$19*gross_yield,Q89*(1+'Macro &amp; Indexation'!R$11)))</f>
        <v>0</v>
      </c>
      <c r="S89" s="40">
        <f>IF(S$6&lt;$B89,0,IF(S$6=$B89,'Growth Engine'!S$10*'Macro &amp; Indexation'!S$19*gross_yield,R89*(1+'Macro &amp; Indexation'!S$11)))</f>
        <v>0</v>
      </c>
      <c r="T89" s="40">
        <f>IF(T$6&lt;$B89,0,IF(T$6=$B89,'Growth Engine'!T$10*'Macro &amp; Indexation'!T$19*gross_yield,S89*(1+'Macro &amp; Indexation'!T$11)))</f>
        <v>0</v>
      </c>
      <c r="U89" s="40">
        <f>IF(U$6&lt;$B89,0,IF(U$6=$B89,'Growth Engine'!U$10*'Macro &amp; Indexation'!U$19*gross_yield,T89*(1+'Macro &amp; Indexation'!U$11)))</f>
        <v>0</v>
      </c>
      <c r="V89" s="40">
        <f>IF(V$6&lt;$B89,0,IF(V$6=$B89,'Growth Engine'!V$10*'Macro &amp; Indexation'!V$19*gross_yield,U89*(1+'Macro &amp; Indexation'!V$11)))</f>
        <v>0</v>
      </c>
      <c r="W89" s="40">
        <f>IF(W$6&lt;$B89,0,IF(W$6=$B89,'Growth Engine'!W$10*'Macro &amp; Indexation'!W$19*gross_yield,V89*(1+'Macro &amp; Indexation'!W$11)))</f>
        <v>0</v>
      </c>
      <c r="X89" s="40">
        <f>IF(X$6&lt;$B89,0,IF(X$6=$B89,'Growth Engine'!X$10*'Macro &amp; Indexation'!X$19*gross_yield,W89*(1+'Macro &amp; Indexation'!X$11)))</f>
        <v>0</v>
      </c>
      <c r="Y89" s="40">
        <f>IF(Y$6&lt;$B89,0,IF(Y$6=$B89,'Growth Engine'!Y$10*'Macro &amp; Indexation'!Y$19*gross_yield,X89*(1+'Macro &amp; Indexation'!Y$11)))</f>
        <v>0</v>
      </c>
      <c r="Z89" s="40">
        <f>IF(Z$6&lt;$B89,0,IF(Z$6=$B89,'Growth Engine'!Z$10*'Macro &amp; Indexation'!Z$19*gross_yield,Y89*(1+'Macro &amp; Indexation'!Z$11)))</f>
        <v>0</v>
      </c>
      <c r="AA89" s="40">
        <f ca="1">IF(AA$6&lt;$B89,0,IF(AA$6=$B89,'Growth Engine'!AA$10*'Macro &amp; Indexation'!AA$19*gross_yield,Z89*(1+'Macro &amp; Indexation'!AA$11)))</f>
        <v>0</v>
      </c>
      <c r="AB89" s="40">
        <f ca="1">IF(AB$6&lt;$B89,0,IF(AB$6=$B89,'Growth Engine'!AB$10*'Macro &amp; Indexation'!AB$19*gross_yield,AA89*(1+'Macro &amp; Indexation'!AB$11)))</f>
        <v>0</v>
      </c>
      <c r="AC89" s="40">
        <f ca="1">IF(AC$6&lt;$B89,0,IF(AC$6=$B89,'Growth Engine'!AC$10*'Macro &amp; Indexation'!AC$19*gross_yield,AB89*(1+'Macro &amp; Indexation'!AC$11)))</f>
        <v>0</v>
      </c>
      <c r="AD89" s="40">
        <f ca="1">IF(AD$6&lt;$B89,0,IF(AD$6=$B89,'Growth Engine'!AD$10*'Macro &amp; Indexation'!AD$19*gross_yield,AC89*(1+'Macro &amp; Indexation'!AD$11)))</f>
        <v>0</v>
      </c>
      <c r="AE89" s="40">
        <f ca="1">IF(AE$6&lt;$B89,0,IF(AE$6=$B89,'Growth Engine'!AE$10*'Macro &amp; Indexation'!AE$19*gross_yield,AD89*(1+'Macro &amp; Indexation'!AE$11)))</f>
        <v>0</v>
      </c>
      <c r="AF89" s="40">
        <f ca="1">IF(AF$6&lt;$B89,0,IF(AF$6=$B89,'Growth Engine'!AF$10*'Macro &amp; Indexation'!AF$19*gross_yield,AE89*(1+'Macro &amp; Indexation'!AF$11)))</f>
        <v>0</v>
      </c>
      <c r="AG89" s="40">
        <f ca="1">IF(AG$6&lt;$B89,0,IF(AG$6=$B89,'Growth Engine'!AG$10*'Macro &amp; Indexation'!AG$19*gross_yield,AF89*(1+'Macro &amp; Indexation'!AG$11)))</f>
        <v>0</v>
      </c>
      <c r="AH89" s="40">
        <f ca="1">IF(AH$6&lt;$B89,0,IF(AH$6=$B89,'Growth Engine'!AH$10*'Macro &amp; Indexation'!AH$19*gross_yield,AG89*(1+'Macro &amp; Indexation'!AH$11)))</f>
        <v>0</v>
      </c>
      <c r="AI89" s="40">
        <f ca="1">IF(AI$6&lt;$B89,0,IF(AI$6=$B89,'Growth Engine'!AI$10*'Macro &amp; Indexation'!AI$19*gross_yield,AH89*(1+'Macro &amp; Indexation'!AI$11)))</f>
        <v>0</v>
      </c>
      <c r="AJ89" s="40">
        <f ca="1">IF(AJ$6&lt;$B89,0,IF(AJ$6=$B89,'Growth Engine'!AJ$10*'Macro &amp; Indexation'!AJ$19*gross_yield,AI89*(1+'Macro &amp; Indexation'!AJ$11)))</f>
        <v>0</v>
      </c>
      <c r="AK89" s="40">
        <f ca="1">IF(AK$6&lt;$B89,0,IF(AK$6=$B89,'Growth Engine'!AK$10*'Macro &amp; Indexation'!AK$19*gross_yield,AJ89*(1+'Macro &amp; Indexation'!AK$11)))</f>
        <v>0</v>
      </c>
      <c r="AL89" s="40">
        <f ca="1">IF(AL$6&lt;$B89,0,IF(AL$6=$B89,'Growth Engine'!AL$10*'Macro &amp; Indexation'!AL$19*gross_yield,AK89*(1+'Macro &amp; Indexation'!AL$11)))</f>
        <v>0</v>
      </c>
      <c r="AM89" s="40">
        <f ca="1">IF(AM$6&lt;$B89,0,IF(AM$6=$B89,'Growth Engine'!AM$10*'Macro &amp; Indexation'!AM$19*gross_yield,AL89*(1+'Macro &amp; Indexation'!AM$11)))</f>
        <v>0</v>
      </c>
      <c r="AN89" s="40">
        <f ca="1">IF(AN$6&lt;$B89,0,IF(AN$6=$B89,'Growth Engine'!AN$10*'Macro &amp; Indexation'!AN$19*gross_yield,AM89*(1+'Macro &amp; Indexation'!AN$11)))</f>
        <v>0</v>
      </c>
      <c r="AO89" s="40">
        <f ca="1">IF(AO$6&lt;$B89,0,IF(AO$6=$B89,'Growth Engine'!AO$10*'Macro &amp; Indexation'!AO$19*gross_yield,AN89*(1+'Macro &amp; Indexation'!AO$11)))</f>
        <v>0</v>
      </c>
      <c r="AP89" s="40">
        <f ca="1">IF(AP$6&lt;$B89,0,IF(AP$6=$B89,'Growth Engine'!AP$10*'Macro &amp; Indexation'!AP$19*gross_yield,AO89*(1+'Macro &amp; Indexation'!AP$11)))</f>
        <v>0</v>
      </c>
      <c r="AQ89" s="40">
        <f ca="1">IF(AQ$6&lt;$B89,0,IF(AQ$6=$B89,'Growth Engine'!AQ$10*'Macro &amp; Indexation'!AQ$19*gross_yield,AP89*(1+'Macro &amp; Indexation'!AQ$11)))</f>
        <v>0</v>
      </c>
      <c r="AR89" s="40">
        <f ca="1">IF(AR$6&lt;$B89,0,IF(AR$6=$B89,'Growth Engine'!AR$10*'Macro &amp; Indexation'!AR$19*gross_yield,AQ89*(1+'Macro &amp; Indexation'!AR$11)))</f>
        <v>0</v>
      </c>
      <c r="AS89" s="40">
        <f ca="1">IF(AS$6&lt;$B89,0,IF(AS$6=$B89,'Growth Engine'!AS$10*'Macro &amp; Indexation'!AS$19*gross_yield,AR89*(1+'Macro &amp; Indexation'!AS$11)))</f>
        <v>0</v>
      </c>
      <c r="AT89" s="40">
        <f ca="1">IF(AT$6&lt;$B89,0,IF(AT$6=$B89,'Growth Engine'!AT$10*'Macro &amp; Indexation'!AT$19*gross_yield,AS89*(1+'Macro &amp; Indexation'!AT$11)))</f>
        <v>0</v>
      </c>
      <c r="AU89" s="40">
        <f ca="1">IF(AU$6&lt;$B89,0,IF(AU$6=$B89,'Growth Engine'!AU$10*'Macro &amp; Indexation'!AU$19*gross_yield,AT89*(1+'Macro &amp; Indexation'!AU$11)))</f>
        <v>0</v>
      </c>
      <c r="AV89" s="40">
        <f ca="1">IF(AV$6&lt;$B89,0,IF(AV$6=$B89,'Growth Engine'!AV$10*'Macro &amp; Indexation'!AV$19*gross_yield,AU89*(1+'Macro &amp; Indexation'!AV$11)))</f>
        <v>0</v>
      </c>
      <c r="AW89" s="40">
        <f ca="1">IF(AW$6&lt;$B89,0,IF(AW$6=$B89,'Growth Engine'!AW$10*'Macro &amp; Indexation'!AW$19*gross_yield,AV89*(1+'Macro &amp; Indexation'!AW$11)))</f>
        <v>0</v>
      </c>
      <c r="AX89" s="40">
        <f ca="1">IF(AX$6&lt;$B89,0,IF(AX$6=$B89,'Growth Engine'!AX$10*'Macro &amp; Indexation'!AX$19*gross_yield,AW89*(1+'Macro &amp; Indexation'!AX$11)))</f>
        <v>0</v>
      </c>
      <c r="AY89" s="40">
        <f ca="1">IF(AY$6&lt;$B89,0,IF(AY$6=$B89,'Growth Engine'!AY$10*'Macro &amp; Indexation'!AY$19*gross_yield,AX89*(1+'Macro &amp; Indexation'!AY$11)))</f>
        <v>0</v>
      </c>
      <c r="AZ89" s="40">
        <f ca="1">IF(AZ$6&lt;$B89,0,IF(AZ$6=$B89,'Growth Engine'!AZ$10*'Macro &amp; Indexation'!AZ$19*gross_yield,AY89*(1+'Macro &amp; Indexation'!AZ$11)))</f>
        <v>0</v>
      </c>
      <c r="BA89" s="40">
        <f ca="1">IF(BA$6&lt;$B89,0,IF(BA$6=$B89,'Growth Engine'!BA$10*'Macro &amp; Indexation'!BA$19*gross_yield,AZ89*(1+'Macro &amp; Indexation'!BA$11)))</f>
        <v>0</v>
      </c>
    </row>
    <row r="90" spans="1:53" outlineLevel="1" x14ac:dyDescent="0.3">
      <c r="A90" t="s">
        <v>161</v>
      </c>
      <c r="B90">
        <v>25</v>
      </c>
      <c r="D90" s="40">
        <f>IF(D$6&lt;$B90,0,IF(D$6=$B90,'Growth Engine'!D$10*'Macro &amp; Indexation'!D$19*gross_yield,C90*(1+'Macro &amp; Indexation'!D$11)))</f>
        <v>0</v>
      </c>
      <c r="E90" s="40">
        <f>IF(E$6&lt;$B90,0,IF(E$6=$B90,'Growth Engine'!E$10*'Macro &amp; Indexation'!E$19*gross_yield,D90*(1+'Macro &amp; Indexation'!E$11)))</f>
        <v>0</v>
      </c>
      <c r="F90" s="40">
        <f>IF(F$6&lt;$B90,0,IF(F$6=$B90,'Growth Engine'!F$10*'Macro &amp; Indexation'!F$19*gross_yield,E90*(1+'Macro &amp; Indexation'!F$11)))</f>
        <v>0</v>
      </c>
      <c r="G90" s="40">
        <f>IF(G$6&lt;$B90,0,IF(G$6=$B90,'Growth Engine'!G$10*'Macro &amp; Indexation'!G$19*gross_yield,F90*(1+'Macro &amp; Indexation'!G$11)))</f>
        <v>0</v>
      </c>
      <c r="H90" s="40">
        <f>IF(H$6&lt;$B90,0,IF(H$6=$B90,'Growth Engine'!H$10*'Macro &amp; Indexation'!H$19*gross_yield,G90*(1+'Macro &amp; Indexation'!H$11)))</f>
        <v>0</v>
      </c>
      <c r="I90" s="40">
        <f>IF(I$6&lt;$B90,0,IF(I$6=$B90,'Growth Engine'!I$10*'Macro &amp; Indexation'!I$19*gross_yield,H90*(1+'Macro &amp; Indexation'!I$11)))</f>
        <v>0</v>
      </c>
      <c r="J90" s="40">
        <f>IF(J$6&lt;$B90,0,IF(J$6=$B90,'Growth Engine'!J$10*'Macro &amp; Indexation'!J$19*gross_yield,I90*(1+'Macro &amp; Indexation'!J$11)))</f>
        <v>0</v>
      </c>
      <c r="K90" s="40">
        <f>IF(K$6&lt;$B90,0,IF(K$6=$B90,'Growth Engine'!K$10*'Macro &amp; Indexation'!K$19*gross_yield,J90*(1+'Macro &amp; Indexation'!K$11)))</f>
        <v>0</v>
      </c>
      <c r="L90" s="40">
        <f>IF(L$6&lt;$B90,0,IF(L$6=$B90,'Growth Engine'!L$10*'Macro &amp; Indexation'!L$19*gross_yield,K90*(1+'Macro &amp; Indexation'!L$11)))</f>
        <v>0</v>
      </c>
      <c r="M90" s="40">
        <f>IF(M$6&lt;$B90,0,IF(M$6=$B90,'Growth Engine'!M$10*'Macro &amp; Indexation'!M$19*gross_yield,L90*(1+'Macro &amp; Indexation'!M$11)))</f>
        <v>0</v>
      </c>
      <c r="N90" s="40">
        <f>IF(N$6&lt;$B90,0,IF(N$6=$B90,'Growth Engine'!N$10*'Macro &amp; Indexation'!N$19*gross_yield,M90*(1+'Macro &amp; Indexation'!N$11)))</f>
        <v>0</v>
      </c>
      <c r="O90" s="40">
        <f>IF(O$6&lt;$B90,0,IF(O$6=$B90,'Growth Engine'!O$10*'Macro &amp; Indexation'!O$19*gross_yield,N90*(1+'Macro &amp; Indexation'!O$11)))</f>
        <v>0</v>
      </c>
      <c r="P90" s="40">
        <f>IF(P$6&lt;$B90,0,IF(P$6=$B90,'Growth Engine'!P$10*'Macro &amp; Indexation'!P$19*gross_yield,O90*(1+'Macro &amp; Indexation'!P$11)))</f>
        <v>0</v>
      </c>
      <c r="Q90" s="40">
        <f>IF(Q$6&lt;$B90,0,IF(Q$6=$B90,'Growth Engine'!Q$10*'Macro &amp; Indexation'!Q$19*gross_yield,P90*(1+'Macro &amp; Indexation'!Q$11)))</f>
        <v>0</v>
      </c>
      <c r="R90" s="40">
        <f>IF(R$6&lt;$B90,0,IF(R$6=$B90,'Growth Engine'!R$10*'Macro &amp; Indexation'!R$19*gross_yield,Q90*(1+'Macro &amp; Indexation'!R$11)))</f>
        <v>0</v>
      </c>
      <c r="S90" s="40">
        <f>IF(S$6&lt;$B90,0,IF(S$6=$B90,'Growth Engine'!S$10*'Macro &amp; Indexation'!S$19*gross_yield,R90*(1+'Macro &amp; Indexation'!S$11)))</f>
        <v>0</v>
      </c>
      <c r="T90" s="40">
        <f>IF(T$6&lt;$B90,0,IF(T$6=$B90,'Growth Engine'!T$10*'Macro &amp; Indexation'!T$19*gross_yield,S90*(1+'Macro &amp; Indexation'!T$11)))</f>
        <v>0</v>
      </c>
      <c r="U90" s="40">
        <f>IF(U$6&lt;$B90,0,IF(U$6=$B90,'Growth Engine'!U$10*'Macro &amp; Indexation'!U$19*gross_yield,T90*(1+'Macro &amp; Indexation'!U$11)))</f>
        <v>0</v>
      </c>
      <c r="V90" s="40">
        <f>IF(V$6&lt;$B90,0,IF(V$6=$B90,'Growth Engine'!V$10*'Macro &amp; Indexation'!V$19*gross_yield,U90*(1+'Macro &amp; Indexation'!V$11)))</f>
        <v>0</v>
      </c>
      <c r="W90" s="40">
        <f>IF(W$6&lt;$B90,0,IF(W$6=$B90,'Growth Engine'!W$10*'Macro &amp; Indexation'!W$19*gross_yield,V90*(1+'Macro &amp; Indexation'!W$11)))</f>
        <v>0</v>
      </c>
      <c r="X90" s="40">
        <f>IF(X$6&lt;$B90,0,IF(X$6=$B90,'Growth Engine'!X$10*'Macro &amp; Indexation'!X$19*gross_yield,W90*(1+'Macro &amp; Indexation'!X$11)))</f>
        <v>0</v>
      </c>
      <c r="Y90" s="40">
        <f>IF(Y$6&lt;$B90,0,IF(Y$6=$B90,'Growth Engine'!Y$10*'Macro &amp; Indexation'!Y$19*gross_yield,X90*(1+'Macro &amp; Indexation'!Y$11)))</f>
        <v>0</v>
      </c>
      <c r="Z90" s="40">
        <f>IF(Z$6&lt;$B90,0,IF(Z$6=$B90,'Growth Engine'!Z$10*'Macro &amp; Indexation'!Z$19*gross_yield,Y90*(1+'Macro &amp; Indexation'!Z$11)))</f>
        <v>0</v>
      </c>
      <c r="AA90" s="40">
        <f>IF(AA$6&lt;$B90,0,IF(AA$6=$B90,'Growth Engine'!AA$10*'Macro &amp; Indexation'!AA$19*gross_yield,Z90*(1+'Macro &amp; Indexation'!AA$11)))</f>
        <v>0</v>
      </c>
      <c r="AB90" s="40">
        <f ca="1">IF(AB$6&lt;$B90,0,IF(AB$6=$B90,'Growth Engine'!AB$10*'Macro &amp; Indexation'!AB$19*gross_yield,AA90*(1+'Macro &amp; Indexation'!AB$11)))</f>
        <v>0</v>
      </c>
      <c r="AC90" s="40">
        <f ca="1">IF(AC$6&lt;$B90,0,IF(AC$6=$B90,'Growth Engine'!AC$10*'Macro &amp; Indexation'!AC$19*gross_yield,AB90*(1+'Macro &amp; Indexation'!AC$11)))</f>
        <v>0</v>
      </c>
      <c r="AD90" s="40">
        <f ca="1">IF(AD$6&lt;$B90,0,IF(AD$6=$B90,'Growth Engine'!AD$10*'Macro &amp; Indexation'!AD$19*gross_yield,AC90*(1+'Macro &amp; Indexation'!AD$11)))</f>
        <v>0</v>
      </c>
      <c r="AE90" s="40">
        <f ca="1">IF(AE$6&lt;$B90,0,IF(AE$6=$B90,'Growth Engine'!AE$10*'Macro &amp; Indexation'!AE$19*gross_yield,AD90*(1+'Macro &amp; Indexation'!AE$11)))</f>
        <v>0</v>
      </c>
      <c r="AF90" s="40">
        <f ca="1">IF(AF$6&lt;$B90,0,IF(AF$6=$B90,'Growth Engine'!AF$10*'Macro &amp; Indexation'!AF$19*gross_yield,AE90*(1+'Macro &amp; Indexation'!AF$11)))</f>
        <v>0</v>
      </c>
      <c r="AG90" s="40">
        <f ca="1">IF(AG$6&lt;$B90,0,IF(AG$6=$B90,'Growth Engine'!AG$10*'Macro &amp; Indexation'!AG$19*gross_yield,AF90*(1+'Macro &amp; Indexation'!AG$11)))</f>
        <v>0</v>
      </c>
      <c r="AH90" s="40">
        <f ca="1">IF(AH$6&lt;$B90,0,IF(AH$6=$B90,'Growth Engine'!AH$10*'Macro &amp; Indexation'!AH$19*gross_yield,AG90*(1+'Macro &amp; Indexation'!AH$11)))</f>
        <v>0</v>
      </c>
      <c r="AI90" s="40">
        <f ca="1">IF(AI$6&lt;$B90,0,IF(AI$6=$B90,'Growth Engine'!AI$10*'Macro &amp; Indexation'!AI$19*gross_yield,AH90*(1+'Macro &amp; Indexation'!AI$11)))</f>
        <v>0</v>
      </c>
      <c r="AJ90" s="40">
        <f ca="1">IF(AJ$6&lt;$B90,0,IF(AJ$6=$B90,'Growth Engine'!AJ$10*'Macro &amp; Indexation'!AJ$19*gross_yield,AI90*(1+'Macro &amp; Indexation'!AJ$11)))</f>
        <v>0</v>
      </c>
      <c r="AK90" s="40">
        <f ca="1">IF(AK$6&lt;$B90,0,IF(AK$6=$B90,'Growth Engine'!AK$10*'Macro &amp; Indexation'!AK$19*gross_yield,AJ90*(1+'Macro &amp; Indexation'!AK$11)))</f>
        <v>0</v>
      </c>
      <c r="AL90" s="40">
        <f ca="1">IF(AL$6&lt;$B90,0,IF(AL$6=$B90,'Growth Engine'!AL$10*'Macro &amp; Indexation'!AL$19*gross_yield,AK90*(1+'Macro &amp; Indexation'!AL$11)))</f>
        <v>0</v>
      </c>
      <c r="AM90" s="40">
        <f ca="1">IF(AM$6&lt;$B90,0,IF(AM$6=$B90,'Growth Engine'!AM$10*'Macro &amp; Indexation'!AM$19*gross_yield,AL90*(1+'Macro &amp; Indexation'!AM$11)))</f>
        <v>0</v>
      </c>
      <c r="AN90" s="40">
        <f ca="1">IF(AN$6&lt;$B90,0,IF(AN$6=$B90,'Growth Engine'!AN$10*'Macro &amp; Indexation'!AN$19*gross_yield,AM90*(1+'Macro &amp; Indexation'!AN$11)))</f>
        <v>0</v>
      </c>
      <c r="AO90" s="40">
        <f ca="1">IF(AO$6&lt;$B90,0,IF(AO$6=$B90,'Growth Engine'!AO$10*'Macro &amp; Indexation'!AO$19*gross_yield,AN90*(1+'Macro &amp; Indexation'!AO$11)))</f>
        <v>0</v>
      </c>
      <c r="AP90" s="40">
        <f ca="1">IF(AP$6&lt;$B90,0,IF(AP$6=$B90,'Growth Engine'!AP$10*'Macro &amp; Indexation'!AP$19*gross_yield,AO90*(1+'Macro &amp; Indexation'!AP$11)))</f>
        <v>0</v>
      </c>
      <c r="AQ90" s="40">
        <f ca="1">IF(AQ$6&lt;$B90,0,IF(AQ$6=$B90,'Growth Engine'!AQ$10*'Macro &amp; Indexation'!AQ$19*gross_yield,AP90*(1+'Macro &amp; Indexation'!AQ$11)))</f>
        <v>0</v>
      </c>
      <c r="AR90" s="40">
        <f ca="1">IF(AR$6&lt;$B90,0,IF(AR$6=$B90,'Growth Engine'!AR$10*'Macro &amp; Indexation'!AR$19*gross_yield,AQ90*(1+'Macro &amp; Indexation'!AR$11)))</f>
        <v>0</v>
      </c>
      <c r="AS90" s="40">
        <f ca="1">IF(AS$6&lt;$B90,0,IF(AS$6=$B90,'Growth Engine'!AS$10*'Macro &amp; Indexation'!AS$19*gross_yield,AR90*(1+'Macro &amp; Indexation'!AS$11)))</f>
        <v>0</v>
      </c>
      <c r="AT90" s="40">
        <f ca="1">IF(AT$6&lt;$B90,0,IF(AT$6=$B90,'Growth Engine'!AT$10*'Macro &amp; Indexation'!AT$19*gross_yield,AS90*(1+'Macro &amp; Indexation'!AT$11)))</f>
        <v>0</v>
      </c>
      <c r="AU90" s="40">
        <f ca="1">IF(AU$6&lt;$B90,0,IF(AU$6=$B90,'Growth Engine'!AU$10*'Macro &amp; Indexation'!AU$19*gross_yield,AT90*(1+'Macro &amp; Indexation'!AU$11)))</f>
        <v>0</v>
      </c>
      <c r="AV90" s="40">
        <f ca="1">IF(AV$6&lt;$B90,0,IF(AV$6=$B90,'Growth Engine'!AV$10*'Macro &amp; Indexation'!AV$19*gross_yield,AU90*(1+'Macro &amp; Indexation'!AV$11)))</f>
        <v>0</v>
      </c>
      <c r="AW90" s="40">
        <f ca="1">IF(AW$6&lt;$B90,0,IF(AW$6=$B90,'Growth Engine'!AW$10*'Macro &amp; Indexation'!AW$19*gross_yield,AV90*(1+'Macro &amp; Indexation'!AW$11)))</f>
        <v>0</v>
      </c>
      <c r="AX90" s="40">
        <f ca="1">IF(AX$6&lt;$B90,0,IF(AX$6=$B90,'Growth Engine'!AX$10*'Macro &amp; Indexation'!AX$19*gross_yield,AW90*(1+'Macro &amp; Indexation'!AX$11)))</f>
        <v>0</v>
      </c>
      <c r="AY90" s="40">
        <f ca="1">IF(AY$6&lt;$B90,0,IF(AY$6=$B90,'Growth Engine'!AY$10*'Macro &amp; Indexation'!AY$19*gross_yield,AX90*(1+'Macro &amp; Indexation'!AY$11)))</f>
        <v>0</v>
      </c>
      <c r="AZ90" s="40">
        <f ca="1">IF(AZ$6&lt;$B90,0,IF(AZ$6=$B90,'Growth Engine'!AZ$10*'Macro &amp; Indexation'!AZ$19*gross_yield,AY90*(1+'Macro &amp; Indexation'!AZ$11)))</f>
        <v>0</v>
      </c>
      <c r="BA90" s="40">
        <f ca="1">IF(BA$6&lt;$B90,0,IF(BA$6=$B90,'Growth Engine'!BA$10*'Macro &amp; Indexation'!BA$19*gross_yield,AZ90*(1+'Macro &amp; Indexation'!BA$11)))</f>
        <v>0</v>
      </c>
    </row>
    <row r="91" spans="1:53" outlineLevel="1" x14ac:dyDescent="0.3">
      <c r="A91" t="s">
        <v>162</v>
      </c>
      <c r="B91">
        <v>26</v>
      </c>
      <c r="D91" s="40">
        <f>IF(D$6&lt;$B91,0,IF(D$6=$B91,'Growth Engine'!D$10*'Macro &amp; Indexation'!D$19*gross_yield,C91*(1+'Macro &amp; Indexation'!D$11)))</f>
        <v>0</v>
      </c>
      <c r="E91" s="40">
        <f>IF(E$6&lt;$B91,0,IF(E$6=$B91,'Growth Engine'!E$10*'Macro &amp; Indexation'!E$19*gross_yield,D91*(1+'Macro &amp; Indexation'!E$11)))</f>
        <v>0</v>
      </c>
      <c r="F91" s="40">
        <f>IF(F$6&lt;$B91,0,IF(F$6=$B91,'Growth Engine'!F$10*'Macro &amp; Indexation'!F$19*gross_yield,E91*(1+'Macro &amp; Indexation'!F$11)))</f>
        <v>0</v>
      </c>
      <c r="G91" s="40">
        <f>IF(G$6&lt;$B91,0,IF(G$6=$B91,'Growth Engine'!G$10*'Macro &amp; Indexation'!G$19*gross_yield,F91*(1+'Macro &amp; Indexation'!G$11)))</f>
        <v>0</v>
      </c>
      <c r="H91" s="40">
        <f>IF(H$6&lt;$B91,0,IF(H$6=$B91,'Growth Engine'!H$10*'Macro &amp; Indexation'!H$19*gross_yield,G91*(1+'Macro &amp; Indexation'!H$11)))</f>
        <v>0</v>
      </c>
      <c r="I91" s="40">
        <f>IF(I$6&lt;$B91,0,IF(I$6=$B91,'Growth Engine'!I$10*'Macro &amp; Indexation'!I$19*gross_yield,H91*(1+'Macro &amp; Indexation'!I$11)))</f>
        <v>0</v>
      </c>
      <c r="J91" s="40">
        <f>IF(J$6&lt;$B91,0,IF(J$6=$B91,'Growth Engine'!J$10*'Macro &amp; Indexation'!J$19*gross_yield,I91*(1+'Macro &amp; Indexation'!J$11)))</f>
        <v>0</v>
      </c>
      <c r="K91" s="40">
        <f>IF(K$6&lt;$B91,0,IF(K$6=$B91,'Growth Engine'!K$10*'Macro &amp; Indexation'!K$19*gross_yield,J91*(1+'Macro &amp; Indexation'!K$11)))</f>
        <v>0</v>
      </c>
      <c r="L91" s="40">
        <f>IF(L$6&lt;$B91,0,IF(L$6=$B91,'Growth Engine'!L$10*'Macro &amp; Indexation'!L$19*gross_yield,K91*(1+'Macro &amp; Indexation'!L$11)))</f>
        <v>0</v>
      </c>
      <c r="M91" s="40">
        <f>IF(M$6&lt;$B91,0,IF(M$6=$B91,'Growth Engine'!M$10*'Macro &amp; Indexation'!M$19*gross_yield,L91*(1+'Macro &amp; Indexation'!M$11)))</f>
        <v>0</v>
      </c>
      <c r="N91" s="40">
        <f>IF(N$6&lt;$B91,0,IF(N$6=$B91,'Growth Engine'!N$10*'Macro &amp; Indexation'!N$19*gross_yield,M91*(1+'Macro &amp; Indexation'!N$11)))</f>
        <v>0</v>
      </c>
      <c r="O91" s="40">
        <f>IF(O$6&lt;$B91,0,IF(O$6=$B91,'Growth Engine'!O$10*'Macro &amp; Indexation'!O$19*gross_yield,N91*(1+'Macro &amp; Indexation'!O$11)))</f>
        <v>0</v>
      </c>
      <c r="P91" s="40">
        <f>IF(P$6&lt;$B91,0,IF(P$6=$B91,'Growth Engine'!P$10*'Macro &amp; Indexation'!P$19*gross_yield,O91*(1+'Macro &amp; Indexation'!P$11)))</f>
        <v>0</v>
      </c>
      <c r="Q91" s="40">
        <f>IF(Q$6&lt;$B91,0,IF(Q$6=$B91,'Growth Engine'!Q$10*'Macro &amp; Indexation'!Q$19*gross_yield,P91*(1+'Macro &amp; Indexation'!Q$11)))</f>
        <v>0</v>
      </c>
      <c r="R91" s="40">
        <f>IF(R$6&lt;$B91,0,IF(R$6=$B91,'Growth Engine'!R$10*'Macro &amp; Indexation'!R$19*gross_yield,Q91*(1+'Macro &amp; Indexation'!R$11)))</f>
        <v>0</v>
      </c>
      <c r="S91" s="40">
        <f>IF(S$6&lt;$B91,0,IF(S$6=$B91,'Growth Engine'!S$10*'Macro &amp; Indexation'!S$19*gross_yield,R91*(1+'Macro &amp; Indexation'!S$11)))</f>
        <v>0</v>
      </c>
      <c r="T91" s="40">
        <f>IF(T$6&lt;$B91,0,IF(T$6=$B91,'Growth Engine'!T$10*'Macro &amp; Indexation'!T$19*gross_yield,S91*(1+'Macro &amp; Indexation'!T$11)))</f>
        <v>0</v>
      </c>
      <c r="U91" s="40">
        <f>IF(U$6&lt;$B91,0,IF(U$6=$B91,'Growth Engine'!U$10*'Macro &amp; Indexation'!U$19*gross_yield,T91*(1+'Macro &amp; Indexation'!U$11)))</f>
        <v>0</v>
      </c>
      <c r="V91" s="40">
        <f>IF(V$6&lt;$B91,0,IF(V$6=$B91,'Growth Engine'!V$10*'Macro &amp; Indexation'!V$19*gross_yield,U91*(1+'Macro &amp; Indexation'!V$11)))</f>
        <v>0</v>
      </c>
      <c r="W91" s="40">
        <f>IF(W$6&lt;$B91,0,IF(W$6=$B91,'Growth Engine'!W$10*'Macro &amp; Indexation'!W$19*gross_yield,V91*(1+'Macro &amp; Indexation'!W$11)))</f>
        <v>0</v>
      </c>
      <c r="X91" s="40">
        <f>IF(X$6&lt;$B91,0,IF(X$6=$B91,'Growth Engine'!X$10*'Macro &amp; Indexation'!X$19*gross_yield,W91*(1+'Macro &amp; Indexation'!X$11)))</f>
        <v>0</v>
      </c>
      <c r="Y91" s="40">
        <f>IF(Y$6&lt;$B91,0,IF(Y$6=$B91,'Growth Engine'!Y$10*'Macro &amp; Indexation'!Y$19*gross_yield,X91*(1+'Macro &amp; Indexation'!Y$11)))</f>
        <v>0</v>
      </c>
      <c r="Z91" s="40">
        <f>IF(Z$6&lt;$B91,0,IF(Z$6=$B91,'Growth Engine'!Z$10*'Macro &amp; Indexation'!Z$19*gross_yield,Y91*(1+'Macro &amp; Indexation'!Z$11)))</f>
        <v>0</v>
      </c>
      <c r="AA91" s="40">
        <f>IF(AA$6&lt;$B91,0,IF(AA$6=$B91,'Growth Engine'!AA$10*'Macro &amp; Indexation'!AA$19*gross_yield,Z91*(1+'Macro &amp; Indexation'!AA$11)))</f>
        <v>0</v>
      </c>
      <c r="AB91" s="40">
        <f>IF(AB$6&lt;$B91,0,IF(AB$6=$B91,'Growth Engine'!AB$10*'Macro &amp; Indexation'!AB$19*gross_yield,AA91*(1+'Macro &amp; Indexation'!AB$11)))</f>
        <v>0</v>
      </c>
      <c r="AC91" s="40">
        <f ca="1">IF(AC$6&lt;$B91,0,IF(AC$6=$B91,'Growth Engine'!AC$10*'Macro &amp; Indexation'!AC$19*gross_yield,AB91*(1+'Macro &amp; Indexation'!AC$11)))</f>
        <v>0</v>
      </c>
      <c r="AD91" s="40">
        <f ca="1">IF(AD$6&lt;$B91,0,IF(AD$6=$B91,'Growth Engine'!AD$10*'Macro &amp; Indexation'!AD$19*gross_yield,AC91*(1+'Macro &amp; Indexation'!AD$11)))</f>
        <v>0</v>
      </c>
      <c r="AE91" s="40">
        <f ca="1">IF(AE$6&lt;$B91,0,IF(AE$6=$B91,'Growth Engine'!AE$10*'Macro &amp; Indexation'!AE$19*gross_yield,AD91*(1+'Macro &amp; Indexation'!AE$11)))</f>
        <v>0</v>
      </c>
      <c r="AF91" s="40">
        <f ca="1">IF(AF$6&lt;$B91,0,IF(AF$6=$B91,'Growth Engine'!AF$10*'Macro &amp; Indexation'!AF$19*gross_yield,AE91*(1+'Macro &amp; Indexation'!AF$11)))</f>
        <v>0</v>
      </c>
      <c r="AG91" s="40">
        <f ca="1">IF(AG$6&lt;$B91,0,IF(AG$6=$B91,'Growth Engine'!AG$10*'Macro &amp; Indexation'!AG$19*gross_yield,AF91*(1+'Macro &amp; Indexation'!AG$11)))</f>
        <v>0</v>
      </c>
      <c r="AH91" s="40">
        <f ca="1">IF(AH$6&lt;$B91,0,IF(AH$6=$B91,'Growth Engine'!AH$10*'Macro &amp; Indexation'!AH$19*gross_yield,AG91*(1+'Macro &amp; Indexation'!AH$11)))</f>
        <v>0</v>
      </c>
      <c r="AI91" s="40">
        <f ca="1">IF(AI$6&lt;$B91,0,IF(AI$6=$B91,'Growth Engine'!AI$10*'Macro &amp; Indexation'!AI$19*gross_yield,AH91*(1+'Macro &amp; Indexation'!AI$11)))</f>
        <v>0</v>
      </c>
      <c r="AJ91" s="40">
        <f ca="1">IF(AJ$6&lt;$B91,0,IF(AJ$6=$B91,'Growth Engine'!AJ$10*'Macro &amp; Indexation'!AJ$19*gross_yield,AI91*(1+'Macro &amp; Indexation'!AJ$11)))</f>
        <v>0</v>
      </c>
      <c r="AK91" s="40">
        <f ca="1">IF(AK$6&lt;$B91,0,IF(AK$6=$B91,'Growth Engine'!AK$10*'Macro &amp; Indexation'!AK$19*gross_yield,AJ91*(1+'Macro &amp; Indexation'!AK$11)))</f>
        <v>0</v>
      </c>
      <c r="AL91" s="40">
        <f ca="1">IF(AL$6&lt;$B91,0,IF(AL$6=$B91,'Growth Engine'!AL$10*'Macro &amp; Indexation'!AL$19*gross_yield,AK91*(1+'Macro &amp; Indexation'!AL$11)))</f>
        <v>0</v>
      </c>
      <c r="AM91" s="40">
        <f ca="1">IF(AM$6&lt;$B91,0,IF(AM$6=$B91,'Growth Engine'!AM$10*'Macro &amp; Indexation'!AM$19*gross_yield,AL91*(1+'Macro &amp; Indexation'!AM$11)))</f>
        <v>0</v>
      </c>
      <c r="AN91" s="40">
        <f ca="1">IF(AN$6&lt;$B91,0,IF(AN$6=$B91,'Growth Engine'!AN$10*'Macro &amp; Indexation'!AN$19*gross_yield,AM91*(1+'Macro &amp; Indexation'!AN$11)))</f>
        <v>0</v>
      </c>
      <c r="AO91" s="40">
        <f ca="1">IF(AO$6&lt;$B91,0,IF(AO$6=$B91,'Growth Engine'!AO$10*'Macro &amp; Indexation'!AO$19*gross_yield,AN91*(1+'Macro &amp; Indexation'!AO$11)))</f>
        <v>0</v>
      </c>
      <c r="AP91" s="40">
        <f ca="1">IF(AP$6&lt;$B91,0,IF(AP$6=$B91,'Growth Engine'!AP$10*'Macro &amp; Indexation'!AP$19*gross_yield,AO91*(1+'Macro &amp; Indexation'!AP$11)))</f>
        <v>0</v>
      </c>
      <c r="AQ91" s="40">
        <f ca="1">IF(AQ$6&lt;$B91,0,IF(AQ$6=$B91,'Growth Engine'!AQ$10*'Macro &amp; Indexation'!AQ$19*gross_yield,AP91*(1+'Macro &amp; Indexation'!AQ$11)))</f>
        <v>0</v>
      </c>
      <c r="AR91" s="40">
        <f ca="1">IF(AR$6&lt;$B91,0,IF(AR$6=$B91,'Growth Engine'!AR$10*'Macro &amp; Indexation'!AR$19*gross_yield,AQ91*(1+'Macro &amp; Indexation'!AR$11)))</f>
        <v>0</v>
      </c>
      <c r="AS91" s="40">
        <f ca="1">IF(AS$6&lt;$B91,0,IF(AS$6=$B91,'Growth Engine'!AS$10*'Macro &amp; Indexation'!AS$19*gross_yield,AR91*(1+'Macro &amp; Indexation'!AS$11)))</f>
        <v>0</v>
      </c>
      <c r="AT91" s="40">
        <f ca="1">IF(AT$6&lt;$B91,0,IF(AT$6=$B91,'Growth Engine'!AT$10*'Macro &amp; Indexation'!AT$19*gross_yield,AS91*(1+'Macro &amp; Indexation'!AT$11)))</f>
        <v>0</v>
      </c>
      <c r="AU91" s="40">
        <f ca="1">IF(AU$6&lt;$B91,0,IF(AU$6=$B91,'Growth Engine'!AU$10*'Macro &amp; Indexation'!AU$19*gross_yield,AT91*(1+'Macro &amp; Indexation'!AU$11)))</f>
        <v>0</v>
      </c>
      <c r="AV91" s="40">
        <f ca="1">IF(AV$6&lt;$B91,0,IF(AV$6=$B91,'Growth Engine'!AV$10*'Macro &amp; Indexation'!AV$19*gross_yield,AU91*(1+'Macro &amp; Indexation'!AV$11)))</f>
        <v>0</v>
      </c>
      <c r="AW91" s="40">
        <f ca="1">IF(AW$6&lt;$B91,0,IF(AW$6=$B91,'Growth Engine'!AW$10*'Macro &amp; Indexation'!AW$19*gross_yield,AV91*(1+'Macro &amp; Indexation'!AW$11)))</f>
        <v>0</v>
      </c>
      <c r="AX91" s="40">
        <f ca="1">IF(AX$6&lt;$B91,0,IF(AX$6=$B91,'Growth Engine'!AX$10*'Macro &amp; Indexation'!AX$19*gross_yield,AW91*(1+'Macro &amp; Indexation'!AX$11)))</f>
        <v>0</v>
      </c>
      <c r="AY91" s="40">
        <f ca="1">IF(AY$6&lt;$B91,0,IF(AY$6=$B91,'Growth Engine'!AY$10*'Macro &amp; Indexation'!AY$19*gross_yield,AX91*(1+'Macro &amp; Indexation'!AY$11)))</f>
        <v>0</v>
      </c>
      <c r="AZ91" s="40">
        <f ca="1">IF(AZ$6&lt;$B91,0,IF(AZ$6=$B91,'Growth Engine'!AZ$10*'Macro &amp; Indexation'!AZ$19*gross_yield,AY91*(1+'Macro &amp; Indexation'!AZ$11)))</f>
        <v>0</v>
      </c>
      <c r="BA91" s="40">
        <f ca="1">IF(BA$6&lt;$B91,0,IF(BA$6=$B91,'Growth Engine'!BA$10*'Macro &amp; Indexation'!BA$19*gross_yield,AZ91*(1+'Macro &amp; Indexation'!BA$11)))</f>
        <v>0</v>
      </c>
    </row>
    <row r="92" spans="1:53" outlineLevel="1" x14ac:dyDescent="0.3">
      <c r="A92" t="s">
        <v>163</v>
      </c>
      <c r="B92">
        <v>27</v>
      </c>
      <c r="D92" s="40">
        <f>IF(D$6&lt;$B92,0,IF(D$6=$B92,'Growth Engine'!D$10*'Macro &amp; Indexation'!D$19*gross_yield,C92*(1+'Macro &amp; Indexation'!D$11)))</f>
        <v>0</v>
      </c>
      <c r="E92" s="40">
        <f>IF(E$6&lt;$B92,0,IF(E$6=$B92,'Growth Engine'!E$10*'Macro &amp; Indexation'!E$19*gross_yield,D92*(1+'Macro &amp; Indexation'!E$11)))</f>
        <v>0</v>
      </c>
      <c r="F92" s="40">
        <f>IF(F$6&lt;$B92,0,IF(F$6=$B92,'Growth Engine'!F$10*'Macro &amp; Indexation'!F$19*gross_yield,E92*(1+'Macro &amp; Indexation'!F$11)))</f>
        <v>0</v>
      </c>
      <c r="G92" s="40">
        <f>IF(G$6&lt;$B92,0,IF(G$6=$B92,'Growth Engine'!G$10*'Macro &amp; Indexation'!G$19*gross_yield,F92*(1+'Macro &amp; Indexation'!G$11)))</f>
        <v>0</v>
      </c>
      <c r="H92" s="40">
        <f>IF(H$6&lt;$B92,0,IF(H$6=$B92,'Growth Engine'!H$10*'Macro &amp; Indexation'!H$19*gross_yield,G92*(1+'Macro &amp; Indexation'!H$11)))</f>
        <v>0</v>
      </c>
      <c r="I92" s="40">
        <f>IF(I$6&lt;$B92,0,IF(I$6=$B92,'Growth Engine'!I$10*'Macro &amp; Indexation'!I$19*gross_yield,H92*(1+'Macro &amp; Indexation'!I$11)))</f>
        <v>0</v>
      </c>
      <c r="J92" s="40">
        <f>IF(J$6&lt;$B92,0,IF(J$6=$B92,'Growth Engine'!J$10*'Macro &amp; Indexation'!J$19*gross_yield,I92*(1+'Macro &amp; Indexation'!J$11)))</f>
        <v>0</v>
      </c>
      <c r="K92" s="40">
        <f>IF(K$6&lt;$B92,0,IF(K$6=$B92,'Growth Engine'!K$10*'Macro &amp; Indexation'!K$19*gross_yield,J92*(1+'Macro &amp; Indexation'!K$11)))</f>
        <v>0</v>
      </c>
      <c r="L92" s="40">
        <f>IF(L$6&lt;$B92,0,IF(L$6=$B92,'Growth Engine'!L$10*'Macro &amp; Indexation'!L$19*gross_yield,K92*(1+'Macro &amp; Indexation'!L$11)))</f>
        <v>0</v>
      </c>
      <c r="M92" s="40">
        <f>IF(M$6&lt;$B92,0,IF(M$6=$B92,'Growth Engine'!M$10*'Macro &amp; Indexation'!M$19*gross_yield,L92*(1+'Macro &amp; Indexation'!M$11)))</f>
        <v>0</v>
      </c>
      <c r="N92" s="40">
        <f>IF(N$6&lt;$B92,0,IF(N$6=$B92,'Growth Engine'!N$10*'Macro &amp; Indexation'!N$19*gross_yield,M92*(1+'Macro &amp; Indexation'!N$11)))</f>
        <v>0</v>
      </c>
      <c r="O92" s="40">
        <f>IF(O$6&lt;$B92,0,IF(O$6=$B92,'Growth Engine'!O$10*'Macro &amp; Indexation'!O$19*gross_yield,N92*(1+'Macro &amp; Indexation'!O$11)))</f>
        <v>0</v>
      </c>
      <c r="P92" s="40">
        <f>IF(P$6&lt;$B92,0,IF(P$6=$B92,'Growth Engine'!P$10*'Macro &amp; Indexation'!P$19*gross_yield,O92*(1+'Macro &amp; Indexation'!P$11)))</f>
        <v>0</v>
      </c>
      <c r="Q92" s="40">
        <f>IF(Q$6&lt;$B92,0,IF(Q$6=$B92,'Growth Engine'!Q$10*'Macro &amp; Indexation'!Q$19*gross_yield,P92*(1+'Macro &amp; Indexation'!Q$11)))</f>
        <v>0</v>
      </c>
      <c r="R92" s="40">
        <f>IF(R$6&lt;$B92,0,IF(R$6=$B92,'Growth Engine'!R$10*'Macro &amp; Indexation'!R$19*gross_yield,Q92*(1+'Macro &amp; Indexation'!R$11)))</f>
        <v>0</v>
      </c>
      <c r="S92" s="40">
        <f>IF(S$6&lt;$B92,0,IF(S$6=$B92,'Growth Engine'!S$10*'Macro &amp; Indexation'!S$19*gross_yield,R92*(1+'Macro &amp; Indexation'!S$11)))</f>
        <v>0</v>
      </c>
      <c r="T92" s="40">
        <f>IF(T$6&lt;$B92,0,IF(T$6=$B92,'Growth Engine'!T$10*'Macro &amp; Indexation'!T$19*gross_yield,S92*(1+'Macro &amp; Indexation'!T$11)))</f>
        <v>0</v>
      </c>
      <c r="U92" s="40">
        <f>IF(U$6&lt;$B92,0,IF(U$6=$B92,'Growth Engine'!U$10*'Macro &amp; Indexation'!U$19*gross_yield,T92*(1+'Macro &amp; Indexation'!U$11)))</f>
        <v>0</v>
      </c>
      <c r="V92" s="40">
        <f>IF(V$6&lt;$B92,0,IF(V$6=$B92,'Growth Engine'!V$10*'Macro &amp; Indexation'!V$19*gross_yield,U92*(1+'Macro &amp; Indexation'!V$11)))</f>
        <v>0</v>
      </c>
      <c r="W92" s="40">
        <f>IF(W$6&lt;$B92,0,IF(W$6=$B92,'Growth Engine'!W$10*'Macro &amp; Indexation'!W$19*gross_yield,V92*(1+'Macro &amp; Indexation'!W$11)))</f>
        <v>0</v>
      </c>
      <c r="X92" s="40">
        <f>IF(X$6&lt;$B92,0,IF(X$6=$B92,'Growth Engine'!X$10*'Macro &amp; Indexation'!X$19*gross_yield,W92*(1+'Macro &amp; Indexation'!X$11)))</f>
        <v>0</v>
      </c>
      <c r="Y92" s="40">
        <f>IF(Y$6&lt;$B92,0,IF(Y$6=$B92,'Growth Engine'!Y$10*'Macro &amp; Indexation'!Y$19*gross_yield,X92*(1+'Macro &amp; Indexation'!Y$11)))</f>
        <v>0</v>
      </c>
      <c r="Z92" s="40">
        <f>IF(Z$6&lt;$B92,0,IF(Z$6=$B92,'Growth Engine'!Z$10*'Macro &amp; Indexation'!Z$19*gross_yield,Y92*(1+'Macro &amp; Indexation'!Z$11)))</f>
        <v>0</v>
      </c>
      <c r="AA92" s="40">
        <f>IF(AA$6&lt;$B92,0,IF(AA$6=$B92,'Growth Engine'!AA$10*'Macro &amp; Indexation'!AA$19*gross_yield,Z92*(1+'Macro &amp; Indexation'!AA$11)))</f>
        <v>0</v>
      </c>
      <c r="AB92" s="40">
        <f>IF(AB$6&lt;$B92,0,IF(AB$6=$B92,'Growth Engine'!AB$10*'Macro &amp; Indexation'!AB$19*gross_yield,AA92*(1+'Macro &amp; Indexation'!AB$11)))</f>
        <v>0</v>
      </c>
      <c r="AC92" s="40">
        <f>IF(AC$6&lt;$B92,0,IF(AC$6=$B92,'Growth Engine'!AC$10*'Macro &amp; Indexation'!AC$19*gross_yield,AB92*(1+'Macro &amp; Indexation'!AC$11)))</f>
        <v>0</v>
      </c>
      <c r="AD92" s="40">
        <f ca="1">IF(AD$6&lt;$B92,0,IF(AD$6=$B92,'Growth Engine'!AD$10*'Macro &amp; Indexation'!AD$19*gross_yield,AC92*(1+'Macro &amp; Indexation'!AD$11)))</f>
        <v>34243.419822029413</v>
      </c>
      <c r="AE92" s="40">
        <f ca="1">IF(AE$6&lt;$B92,0,IF(AE$6=$B92,'Growth Engine'!AE$10*'Macro &amp; Indexation'!AE$19*gross_yield,AD92*(1+'Macro &amp; Indexation'!AE$11)))</f>
        <v>35099.505317580144</v>
      </c>
      <c r="AF92" s="40">
        <f ca="1">IF(AF$6&lt;$B92,0,IF(AF$6=$B92,'Growth Engine'!AF$10*'Macro &amp; Indexation'!AF$19*gross_yield,AE92*(1+'Macro &amp; Indexation'!AF$11)))</f>
        <v>35976.992950519641</v>
      </c>
      <c r="AG92" s="40">
        <f ca="1">IF(AG$6&lt;$B92,0,IF(AG$6=$B92,'Growth Engine'!AG$10*'Macro &amp; Indexation'!AG$19*gross_yield,AF92*(1+'Macro &amp; Indexation'!AG$11)))</f>
        <v>36876.417774282629</v>
      </c>
      <c r="AH92" s="40">
        <f ca="1">IF(AH$6&lt;$B92,0,IF(AH$6=$B92,'Growth Engine'!AH$10*'Macro &amp; Indexation'!AH$19*gross_yield,AG92*(1+'Macro &amp; Indexation'!AH$11)))</f>
        <v>37798.32821863969</v>
      </c>
      <c r="AI92" s="40">
        <f ca="1">IF(AI$6&lt;$B92,0,IF(AI$6=$B92,'Growth Engine'!AI$10*'Macro &amp; Indexation'!AI$19*gross_yield,AH92*(1+'Macro &amp; Indexation'!AI$11)))</f>
        <v>38743.286424105681</v>
      </c>
      <c r="AJ92" s="40">
        <f ca="1">IF(AJ$6&lt;$B92,0,IF(AJ$6=$B92,'Growth Engine'!AJ$10*'Macro &amp; Indexation'!AJ$19*gross_yield,AI92*(1+'Macro &amp; Indexation'!AJ$11)))</f>
        <v>39711.868584708318</v>
      </c>
      <c r="AK92" s="40">
        <f ca="1">IF(AK$6&lt;$B92,0,IF(AK$6=$B92,'Growth Engine'!AK$10*'Macro &amp; Indexation'!AK$19*gross_yield,AJ92*(1+'Macro &amp; Indexation'!AK$11)))</f>
        <v>40704.665299326021</v>
      </c>
      <c r="AL92" s="40">
        <f ca="1">IF(AL$6&lt;$B92,0,IF(AL$6=$B92,'Growth Engine'!AL$10*'Macro &amp; Indexation'!AL$19*gross_yield,AK92*(1+'Macro &amp; Indexation'!AL$11)))</f>
        <v>41722.281931809172</v>
      </c>
      <c r="AM92" s="40">
        <f ca="1">IF(AM$6&lt;$B92,0,IF(AM$6=$B92,'Growth Engine'!AM$10*'Macro &amp; Indexation'!AM$19*gross_yield,AL92*(1+'Macro &amp; Indexation'!AM$11)))</f>
        <v>42765.338980104396</v>
      </c>
      <c r="AN92" s="40">
        <f ca="1">IF(AN$6&lt;$B92,0,IF(AN$6=$B92,'Growth Engine'!AN$10*'Macro &amp; Indexation'!AN$19*gross_yield,AM92*(1+'Macro &amp; Indexation'!AN$11)))</f>
        <v>43834.472454606999</v>
      </c>
      <c r="AO92" s="40">
        <f ca="1">IF(AO$6&lt;$B92,0,IF(AO$6=$B92,'Growth Engine'!AO$10*'Macro &amp; Indexation'!AO$19*gross_yield,AN92*(1+'Macro &amp; Indexation'!AO$11)))</f>
        <v>44930.334265972167</v>
      </c>
      <c r="AP92" s="40">
        <f ca="1">IF(AP$6&lt;$B92,0,IF(AP$6=$B92,'Growth Engine'!AP$10*'Macro &amp; Indexation'!AP$19*gross_yield,AO92*(1+'Macro &amp; Indexation'!AP$11)))</f>
        <v>46053.592622621465</v>
      </c>
      <c r="AQ92" s="40">
        <f ca="1">IF(AQ$6&lt;$B92,0,IF(AQ$6=$B92,'Growth Engine'!AQ$10*'Macro &amp; Indexation'!AQ$19*gross_yield,AP92*(1+'Macro &amp; Indexation'!AQ$11)))</f>
        <v>47204.932438186996</v>
      </c>
      <c r="AR92" s="40">
        <f ca="1">IF(AR$6&lt;$B92,0,IF(AR$6=$B92,'Growth Engine'!AR$10*'Macro &amp; Indexation'!AR$19*gross_yield,AQ92*(1+'Macro &amp; Indexation'!AR$11)))</f>
        <v>48385.055749141669</v>
      </c>
      <c r="AS92" s="40">
        <f ca="1">IF(AS$6&lt;$B92,0,IF(AS$6=$B92,'Growth Engine'!AS$10*'Macro &amp; Indexation'!AS$19*gross_yield,AR92*(1+'Macro &amp; Indexation'!AS$11)))</f>
        <v>49594.68214287021</v>
      </c>
      <c r="AT92" s="40">
        <f ca="1">IF(AT$6&lt;$B92,0,IF(AT$6=$B92,'Growth Engine'!AT$10*'Macro &amp; Indexation'!AT$19*gross_yield,AS92*(1+'Macro &amp; Indexation'!AT$11)))</f>
        <v>50834.549196441963</v>
      </c>
      <c r="AU92" s="40">
        <f ca="1">IF(AU$6&lt;$B92,0,IF(AU$6=$B92,'Growth Engine'!AU$10*'Macro &amp; Indexation'!AU$19*gross_yield,AT92*(1+'Macro &amp; Indexation'!AU$11)))</f>
        <v>52105.412926353005</v>
      </c>
      <c r="AV92" s="40">
        <f ca="1">IF(AV$6&lt;$B92,0,IF(AV$6=$B92,'Growth Engine'!AV$10*'Macro &amp; Indexation'!AV$19*gross_yield,AU92*(1+'Macro &amp; Indexation'!AV$11)))</f>
        <v>53408.048249511827</v>
      </c>
      <c r="AW92" s="40">
        <f ca="1">IF(AW$6&lt;$B92,0,IF(AW$6=$B92,'Growth Engine'!AW$10*'Macro &amp; Indexation'!AW$19*gross_yield,AV92*(1+'Macro &amp; Indexation'!AW$11)))</f>
        <v>54743.249455749617</v>
      </c>
      <c r="AX92" s="40">
        <f ca="1">IF(AX$6&lt;$B92,0,IF(AX$6=$B92,'Growth Engine'!AX$10*'Macro &amp; Indexation'!AX$19*gross_yield,AW92*(1+'Macro &amp; Indexation'!AX$11)))</f>
        <v>56111.830692143354</v>
      </c>
      <c r="AY92" s="40">
        <f ca="1">IF(AY$6&lt;$B92,0,IF(AY$6=$B92,'Growth Engine'!AY$10*'Macro &amp; Indexation'!AY$19*gross_yield,AX92*(1+'Macro &amp; Indexation'!AY$11)))</f>
        <v>57514.626459446932</v>
      </c>
      <c r="AZ92" s="40">
        <f ca="1">IF(AZ$6&lt;$B92,0,IF(AZ$6=$B92,'Growth Engine'!AZ$10*'Macro &amp; Indexation'!AZ$19*gross_yield,AY92*(1+'Macro &amp; Indexation'!AZ$11)))</f>
        <v>58952.492120933101</v>
      </c>
      <c r="BA92" s="40">
        <f ca="1">IF(BA$6&lt;$B92,0,IF(BA$6=$B92,'Growth Engine'!BA$10*'Macro &amp; Indexation'!BA$19*gross_yield,AZ92*(1+'Macro &amp; Indexation'!BA$11)))</f>
        <v>60426.304423956426</v>
      </c>
    </row>
    <row r="93" spans="1:53" outlineLevel="1" x14ac:dyDescent="0.3">
      <c r="A93" t="s">
        <v>164</v>
      </c>
      <c r="B93">
        <v>28</v>
      </c>
      <c r="D93" s="40">
        <f>IF(D$6&lt;$B93,0,IF(D$6=$B93,'Growth Engine'!D$10*'Macro &amp; Indexation'!D$19*gross_yield,C93*(1+'Macro &amp; Indexation'!D$11)))</f>
        <v>0</v>
      </c>
      <c r="E93" s="40">
        <f>IF(E$6&lt;$B93,0,IF(E$6=$B93,'Growth Engine'!E$10*'Macro &amp; Indexation'!E$19*gross_yield,D93*(1+'Macro &amp; Indexation'!E$11)))</f>
        <v>0</v>
      </c>
      <c r="F93" s="40">
        <f>IF(F$6&lt;$B93,0,IF(F$6=$B93,'Growth Engine'!F$10*'Macro &amp; Indexation'!F$19*gross_yield,E93*(1+'Macro &amp; Indexation'!F$11)))</f>
        <v>0</v>
      </c>
      <c r="G93" s="40">
        <f>IF(G$6&lt;$B93,0,IF(G$6=$B93,'Growth Engine'!G$10*'Macro &amp; Indexation'!G$19*gross_yield,F93*(1+'Macro &amp; Indexation'!G$11)))</f>
        <v>0</v>
      </c>
      <c r="H93" s="40">
        <f>IF(H$6&lt;$B93,0,IF(H$6=$B93,'Growth Engine'!H$10*'Macro &amp; Indexation'!H$19*gross_yield,G93*(1+'Macro &amp; Indexation'!H$11)))</f>
        <v>0</v>
      </c>
      <c r="I93" s="40">
        <f>IF(I$6&lt;$B93,0,IF(I$6=$B93,'Growth Engine'!I$10*'Macro &amp; Indexation'!I$19*gross_yield,H93*(1+'Macro &amp; Indexation'!I$11)))</f>
        <v>0</v>
      </c>
      <c r="J93" s="40">
        <f>IF(J$6&lt;$B93,0,IF(J$6=$B93,'Growth Engine'!J$10*'Macro &amp; Indexation'!J$19*gross_yield,I93*(1+'Macro &amp; Indexation'!J$11)))</f>
        <v>0</v>
      </c>
      <c r="K93" s="40">
        <f>IF(K$6&lt;$B93,0,IF(K$6=$B93,'Growth Engine'!K$10*'Macro &amp; Indexation'!K$19*gross_yield,J93*(1+'Macro &amp; Indexation'!K$11)))</f>
        <v>0</v>
      </c>
      <c r="L93" s="40">
        <f>IF(L$6&lt;$B93,0,IF(L$6=$B93,'Growth Engine'!L$10*'Macro &amp; Indexation'!L$19*gross_yield,K93*(1+'Macro &amp; Indexation'!L$11)))</f>
        <v>0</v>
      </c>
      <c r="M93" s="40">
        <f>IF(M$6&lt;$B93,0,IF(M$6=$B93,'Growth Engine'!M$10*'Macro &amp; Indexation'!M$19*gross_yield,L93*(1+'Macro &amp; Indexation'!M$11)))</f>
        <v>0</v>
      </c>
      <c r="N93" s="40">
        <f>IF(N$6&lt;$B93,0,IF(N$6=$B93,'Growth Engine'!N$10*'Macro &amp; Indexation'!N$19*gross_yield,M93*(1+'Macro &amp; Indexation'!N$11)))</f>
        <v>0</v>
      </c>
      <c r="O93" s="40">
        <f>IF(O$6&lt;$B93,0,IF(O$6=$B93,'Growth Engine'!O$10*'Macro &amp; Indexation'!O$19*gross_yield,N93*(1+'Macro &amp; Indexation'!O$11)))</f>
        <v>0</v>
      </c>
      <c r="P93" s="40">
        <f>IF(P$6&lt;$B93,0,IF(P$6=$B93,'Growth Engine'!P$10*'Macro &amp; Indexation'!P$19*gross_yield,O93*(1+'Macro &amp; Indexation'!P$11)))</f>
        <v>0</v>
      </c>
      <c r="Q93" s="40">
        <f>IF(Q$6&lt;$B93,0,IF(Q$6=$B93,'Growth Engine'!Q$10*'Macro &amp; Indexation'!Q$19*gross_yield,P93*(1+'Macro &amp; Indexation'!Q$11)))</f>
        <v>0</v>
      </c>
      <c r="R93" s="40">
        <f>IF(R$6&lt;$B93,0,IF(R$6=$B93,'Growth Engine'!R$10*'Macro &amp; Indexation'!R$19*gross_yield,Q93*(1+'Macro &amp; Indexation'!R$11)))</f>
        <v>0</v>
      </c>
      <c r="S93" s="40">
        <f>IF(S$6&lt;$B93,0,IF(S$6=$B93,'Growth Engine'!S$10*'Macro &amp; Indexation'!S$19*gross_yield,R93*(1+'Macro &amp; Indexation'!S$11)))</f>
        <v>0</v>
      </c>
      <c r="T93" s="40">
        <f>IF(T$6&lt;$B93,0,IF(T$6=$B93,'Growth Engine'!T$10*'Macro &amp; Indexation'!T$19*gross_yield,S93*(1+'Macro &amp; Indexation'!T$11)))</f>
        <v>0</v>
      </c>
      <c r="U93" s="40">
        <f>IF(U$6&lt;$B93,0,IF(U$6=$B93,'Growth Engine'!U$10*'Macro &amp; Indexation'!U$19*gross_yield,T93*(1+'Macro &amp; Indexation'!U$11)))</f>
        <v>0</v>
      </c>
      <c r="V93" s="40">
        <f>IF(V$6&lt;$B93,0,IF(V$6=$B93,'Growth Engine'!V$10*'Macro &amp; Indexation'!V$19*gross_yield,U93*(1+'Macro &amp; Indexation'!V$11)))</f>
        <v>0</v>
      </c>
      <c r="W93" s="40">
        <f>IF(W$6&lt;$B93,0,IF(W$6=$B93,'Growth Engine'!W$10*'Macro &amp; Indexation'!W$19*gross_yield,V93*(1+'Macro &amp; Indexation'!W$11)))</f>
        <v>0</v>
      </c>
      <c r="X93" s="40">
        <f>IF(X$6&lt;$B93,0,IF(X$6=$B93,'Growth Engine'!X$10*'Macro &amp; Indexation'!X$19*gross_yield,W93*(1+'Macro &amp; Indexation'!X$11)))</f>
        <v>0</v>
      </c>
      <c r="Y93" s="40">
        <f>IF(Y$6&lt;$B93,0,IF(Y$6=$B93,'Growth Engine'!Y$10*'Macro &amp; Indexation'!Y$19*gross_yield,X93*(1+'Macro &amp; Indexation'!Y$11)))</f>
        <v>0</v>
      </c>
      <c r="Z93" s="40">
        <f>IF(Z$6&lt;$B93,0,IF(Z$6=$B93,'Growth Engine'!Z$10*'Macro &amp; Indexation'!Z$19*gross_yield,Y93*(1+'Macro &amp; Indexation'!Z$11)))</f>
        <v>0</v>
      </c>
      <c r="AA93" s="40">
        <f>IF(AA$6&lt;$B93,0,IF(AA$6=$B93,'Growth Engine'!AA$10*'Macro &amp; Indexation'!AA$19*gross_yield,Z93*(1+'Macro &amp; Indexation'!AA$11)))</f>
        <v>0</v>
      </c>
      <c r="AB93" s="40">
        <f>IF(AB$6&lt;$B93,0,IF(AB$6=$B93,'Growth Engine'!AB$10*'Macro &amp; Indexation'!AB$19*gross_yield,AA93*(1+'Macro &amp; Indexation'!AB$11)))</f>
        <v>0</v>
      </c>
      <c r="AC93" s="40">
        <f>IF(AC$6&lt;$B93,0,IF(AC$6=$B93,'Growth Engine'!AC$10*'Macro &amp; Indexation'!AC$19*gross_yield,AB93*(1+'Macro &amp; Indexation'!AC$11)))</f>
        <v>0</v>
      </c>
      <c r="AD93" s="40">
        <f>IF(AD$6&lt;$B93,0,IF(AD$6=$B93,'Growth Engine'!AD$10*'Macro &amp; Indexation'!AD$19*gross_yield,AC93*(1+'Macro &amp; Indexation'!AD$11)))</f>
        <v>0</v>
      </c>
      <c r="AE93" s="40">
        <f ca="1">IF(AE$6&lt;$B93,0,IF(AE$6=$B93,'Growth Engine'!AE$10*'Macro &amp; Indexation'!AE$19*gross_yield,AD93*(1+'Macro &amp; Indexation'!AE$11)))</f>
        <v>0</v>
      </c>
      <c r="AF93" s="40">
        <f ca="1">IF(AF$6&lt;$B93,0,IF(AF$6=$B93,'Growth Engine'!AF$10*'Macro &amp; Indexation'!AF$19*gross_yield,AE93*(1+'Macro &amp; Indexation'!AF$11)))</f>
        <v>0</v>
      </c>
      <c r="AG93" s="40">
        <f ca="1">IF(AG$6&lt;$B93,0,IF(AG$6=$B93,'Growth Engine'!AG$10*'Macro &amp; Indexation'!AG$19*gross_yield,AF93*(1+'Macro &amp; Indexation'!AG$11)))</f>
        <v>0</v>
      </c>
      <c r="AH93" s="40">
        <f ca="1">IF(AH$6&lt;$B93,0,IF(AH$6=$B93,'Growth Engine'!AH$10*'Macro &amp; Indexation'!AH$19*gross_yield,AG93*(1+'Macro &amp; Indexation'!AH$11)))</f>
        <v>0</v>
      </c>
      <c r="AI93" s="40">
        <f ca="1">IF(AI$6&lt;$B93,0,IF(AI$6=$B93,'Growth Engine'!AI$10*'Macro &amp; Indexation'!AI$19*gross_yield,AH93*(1+'Macro &amp; Indexation'!AI$11)))</f>
        <v>0</v>
      </c>
      <c r="AJ93" s="40">
        <f ca="1">IF(AJ$6&lt;$B93,0,IF(AJ$6=$B93,'Growth Engine'!AJ$10*'Macro &amp; Indexation'!AJ$19*gross_yield,AI93*(1+'Macro &amp; Indexation'!AJ$11)))</f>
        <v>0</v>
      </c>
      <c r="AK93" s="40">
        <f ca="1">IF(AK$6&lt;$B93,0,IF(AK$6=$B93,'Growth Engine'!AK$10*'Macro &amp; Indexation'!AK$19*gross_yield,AJ93*(1+'Macro &amp; Indexation'!AK$11)))</f>
        <v>0</v>
      </c>
      <c r="AL93" s="40">
        <f ca="1">IF(AL$6&lt;$B93,0,IF(AL$6=$B93,'Growth Engine'!AL$10*'Macro &amp; Indexation'!AL$19*gross_yield,AK93*(1+'Macro &amp; Indexation'!AL$11)))</f>
        <v>0</v>
      </c>
      <c r="AM93" s="40">
        <f ca="1">IF(AM$6&lt;$B93,0,IF(AM$6=$B93,'Growth Engine'!AM$10*'Macro &amp; Indexation'!AM$19*gross_yield,AL93*(1+'Macro &amp; Indexation'!AM$11)))</f>
        <v>0</v>
      </c>
      <c r="AN93" s="40">
        <f ca="1">IF(AN$6&lt;$B93,0,IF(AN$6=$B93,'Growth Engine'!AN$10*'Macro &amp; Indexation'!AN$19*gross_yield,AM93*(1+'Macro &amp; Indexation'!AN$11)))</f>
        <v>0</v>
      </c>
      <c r="AO93" s="40">
        <f ca="1">IF(AO$6&lt;$B93,0,IF(AO$6=$B93,'Growth Engine'!AO$10*'Macro &amp; Indexation'!AO$19*gross_yield,AN93*(1+'Macro &amp; Indexation'!AO$11)))</f>
        <v>0</v>
      </c>
      <c r="AP93" s="40">
        <f ca="1">IF(AP$6&lt;$B93,0,IF(AP$6=$B93,'Growth Engine'!AP$10*'Macro &amp; Indexation'!AP$19*gross_yield,AO93*(1+'Macro &amp; Indexation'!AP$11)))</f>
        <v>0</v>
      </c>
      <c r="AQ93" s="40">
        <f ca="1">IF(AQ$6&lt;$B93,0,IF(AQ$6=$B93,'Growth Engine'!AQ$10*'Macro &amp; Indexation'!AQ$19*gross_yield,AP93*(1+'Macro &amp; Indexation'!AQ$11)))</f>
        <v>0</v>
      </c>
      <c r="AR93" s="40">
        <f ca="1">IF(AR$6&lt;$B93,0,IF(AR$6=$B93,'Growth Engine'!AR$10*'Macro &amp; Indexation'!AR$19*gross_yield,AQ93*(1+'Macro &amp; Indexation'!AR$11)))</f>
        <v>0</v>
      </c>
      <c r="AS93" s="40">
        <f ca="1">IF(AS$6&lt;$B93,0,IF(AS$6=$B93,'Growth Engine'!AS$10*'Macro &amp; Indexation'!AS$19*gross_yield,AR93*(1+'Macro &amp; Indexation'!AS$11)))</f>
        <v>0</v>
      </c>
      <c r="AT93" s="40">
        <f ca="1">IF(AT$6&lt;$B93,0,IF(AT$6=$B93,'Growth Engine'!AT$10*'Macro &amp; Indexation'!AT$19*gross_yield,AS93*(1+'Macro &amp; Indexation'!AT$11)))</f>
        <v>0</v>
      </c>
      <c r="AU93" s="40">
        <f ca="1">IF(AU$6&lt;$B93,0,IF(AU$6=$B93,'Growth Engine'!AU$10*'Macro &amp; Indexation'!AU$19*gross_yield,AT93*(1+'Macro &amp; Indexation'!AU$11)))</f>
        <v>0</v>
      </c>
      <c r="AV93" s="40">
        <f ca="1">IF(AV$6&lt;$B93,0,IF(AV$6=$B93,'Growth Engine'!AV$10*'Macro &amp; Indexation'!AV$19*gross_yield,AU93*(1+'Macro &amp; Indexation'!AV$11)))</f>
        <v>0</v>
      </c>
      <c r="AW93" s="40">
        <f ca="1">IF(AW$6&lt;$B93,0,IF(AW$6=$B93,'Growth Engine'!AW$10*'Macro &amp; Indexation'!AW$19*gross_yield,AV93*(1+'Macro &amp; Indexation'!AW$11)))</f>
        <v>0</v>
      </c>
      <c r="AX93" s="40">
        <f ca="1">IF(AX$6&lt;$B93,0,IF(AX$6=$B93,'Growth Engine'!AX$10*'Macro &amp; Indexation'!AX$19*gross_yield,AW93*(1+'Macro &amp; Indexation'!AX$11)))</f>
        <v>0</v>
      </c>
      <c r="AY93" s="40">
        <f ca="1">IF(AY$6&lt;$B93,0,IF(AY$6=$B93,'Growth Engine'!AY$10*'Macro &amp; Indexation'!AY$19*gross_yield,AX93*(1+'Macro &amp; Indexation'!AY$11)))</f>
        <v>0</v>
      </c>
      <c r="AZ93" s="40">
        <f ca="1">IF(AZ$6&lt;$B93,0,IF(AZ$6=$B93,'Growth Engine'!AZ$10*'Macro &amp; Indexation'!AZ$19*gross_yield,AY93*(1+'Macro &amp; Indexation'!AZ$11)))</f>
        <v>0</v>
      </c>
      <c r="BA93" s="40">
        <f ca="1">IF(BA$6&lt;$B93,0,IF(BA$6=$B93,'Growth Engine'!BA$10*'Macro &amp; Indexation'!BA$19*gross_yield,AZ93*(1+'Macro &amp; Indexation'!BA$11)))</f>
        <v>0</v>
      </c>
    </row>
    <row r="94" spans="1:53" outlineLevel="1" x14ac:dyDescent="0.3">
      <c r="A94" t="s">
        <v>165</v>
      </c>
      <c r="B94">
        <v>29</v>
      </c>
      <c r="D94" s="40">
        <f>IF(D$6&lt;$B94,0,IF(D$6=$B94,'Growth Engine'!D$10*'Macro &amp; Indexation'!D$19*gross_yield,C94*(1+'Macro &amp; Indexation'!D$11)))</f>
        <v>0</v>
      </c>
      <c r="E94" s="40">
        <f>IF(E$6&lt;$B94,0,IF(E$6=$B94,'Growth Engine'!E$10*'Macro &amp; Indexation'!E$19*gross_yield,D94*(1+'Macro &amp; Indexation'!E$11)))</f>
        <v>0</v>
      </c>
      <c r="F94" s="40">
        <f>IF(F$6&lt;$B94,0,IF(F$6=$B94,'Growth Engine'!F$10*'Macro &amp; Indexation'!F$19*gross_yield,E94*(1+'Macro &amp; Indexation'!F$11)))</f>
        <v>0</v>
      </c>
      <c r="G94" s="40">
        <f>IF(G$6&lt;$B94,0,IF(G$6=$B94,'Growth Engine'!G$10*'Macro &amp; Indexation'!G$19*gross_yield,F94*(1+'Macro &amp; Indexation'!G$11)))</f>
        <v>0</v>
      </c>
      <c r="H94" s="40">
        <f>IF(H$6&lt;$B94,0,IF(H$6=$B94,'Growth Engine'!H$10*'Macro &amp; Indexation'!H$19*gross_yield,G94*(1+'Macro &amp; Indexation'!H$11)))</f>
        <v>0</v>
      </c>
      <c r="I94" s="40">
        <f>IF(I$6&lt;$B94,0,IF(I$6=$B94,'Growth Engine'!I$10*'Macro &amp; Indexation'!I$19*gross_yield,H94*(1+'Macro &amp; Indexation'!I$11)))</f>
        <v>0</v>
      </c>
      <c r="J94" s="40">
        <f>IF(J$6&lt;$B94,0,IF(J$6=$B94,'Growth Engine'!J$10*'Macro &amp; Indexation'!J$19*gross_yield,I94*(1+'Macro &amp; Indexation'!J$11)))</f>
        <v>0</v>
      </c>
      <c r="K94" s="40">
        <f>IF(K$6&lt;$B94,0,IF(K$6=$B94,'Growth Engine'!K$10*'Macro &amp; Indexation'!K$19*gross_yield,J94*(1+'Macro &amp; Indexation'!K$11)))</f>
        <v>0</v>
      </c>
      <c r="L94" s="40">
        <f>IF(L$6&lt;$B94,0,IF(L$6=$B94,'Growth Engine'!L$10*'Macro &amp; Indexation'!L$19*gross_yield,K94*(1+'Macro &amp; Indexation'!L$11)))</f>
        <v>0</v>
      </c>
      <c r="M94" s="40">
        <f>IF(M$6&lt;$B94,0,IF(M$6=$B94,'Growth Engine'!M$10*'Macro &amp; Indexation'!M$19*gross_yield,L94*(1+'Macro &amp; Indexation'!M$11)))</f>
        <v>0</v>
      </c>
      <c r="N94" s="40">
        <f>IF(N$6&lt;$B94,0,IF(N$6=$B94,'Growth Engine'!N$10*'Macro &amp; Indexation'!N$19*gross_yield,M94*(1+'Macro &amp; Indexation'!N$11)))</f>
        <v>0</v>
      </c>
      <c r="O94" s="40">
        <f>IF(O$6&lt;$B94,0,IF(O$6=$B94,'Growth Engine'!O$10*'Macro &amp; Indexation'!O$19*gross_yield,N94*(1+'Macro &amp; Indexation'!O$11)))</f>
        <v>0</v>
      </c>
      <c r="P94" s="40">
        <f>IF(P$6&lt;$B94,0,IF(P$6=$B94,'Growth Engine'!P$10*'Macro &amp; Indexation'!P$19*gross_yield,O94*(1+'Macro &amp; Indexation'!P$11)))</f>
        <v>0</v>
      </c>
      <c r="Q94" s="40">
        <f>IF(Q$6&lt;$B94,0,IF(Q$6=$B94,'Growth Engine'!Q$10*'Macro &amp; Indexation'!Q$19*gross_yield,P94*(1+'Macro &amp; Indexation'!Q$11)))</f>
        <v>0</v>
      </c>
      <c r="R94" s="40">
        <f>IF(R$6&lt;$B94,0,IF(R$6=$B94,'Growth Engine'!R$10*'Macro &amp; Indexation'!R$19*gross_yield,Q94*(1+'Macro &amp; Indexation'!R$11)))</f>
        <v>0</v>
      </c>
      <c r="S94" s="40">
        <f>IF(S$6&lt;$B94,0,IF(S$6=$B94,'Growth Engine'!S$10*'Macro &amp; Indexation'!S$19*gross_yield,R94*(1+'Macro &amp; Indexation'!S$11)))</f>
        <v>0</v>
      </c>
      <c r="T94" s="40">
        <f>IF(T$6&lt;$B94,0,IF(T$6=$B94,'Growth Engine'!T$10*'Macro &amp; Indexation'!T$19*gross_yield,S94*(1+'Macro &amp; Indexation'!T$11)))</f>
        <v>0</v>
      </c>
      <c r="U94" s="40">
        <f>IF(U$6&lt;$B94,0,IF(U$6=$B94,'Growth Engine'!U$10*'Macro &amp; Indexation'!U$19*gross_yield,T94*(1+'Macro &amp; Indexation'!U$11)))</f>
        <v>0</v>
      </c>
      <c r="V94" s="40">
        <f>IF(V$6&lt;$B94,0,IF(V$6=$B94,'Growth Engine'!V$10*'Macro &amp; Indexation'!V$19*gross_yield,U94*(1+'Macro &amp; Indexation'!V$11)))</f>
        <v>0</v>
      </c>
      <c r="W94" s="40">
        <f>IF(W$6&lt;$B94,0,IF(W$6=$B94,'Growth Engine'!W$10*'Macro &amp; Indexation'!W$19*gross_yield,V94*(1+'Macro &amp; Indexation'!W$11)))</f>
        <v>0</v>
      </c>
      <c r="X94" s="40">
        <f>IF(X$6&lt;$B94,0,IF(X$6=$B94,'Growth Engine'!X$10*'Macro &amp; Indexation'!X$19*gross_yield,W94*(1+'Macro &amp; Indexation'!X$11)))</f>
        <v>0</v>
      </c>
      <c r="Y94" s="40">
        <f>IF(Y$6&lt;$B94,0,IF(Y$6=$B94,'Growth Engine'!Y$10*'Macro &amp; Indexation'!Y$19*gross_yield,X94*(1+'Macro &amp; Indexation'!Y$11)))</f>
        <v>0</v>
      </c>
      <c r="Z94" s="40">
        <f>IF(Z$6&lt;$B94,0,IF(Z$6=$B94,'Growth Engine'!Z$10*'Macro &amp; Indexation'!Z$19*gross_yield,Y94*(1+'Macro &amp; Indexation'!Z$11)))</f>
        <v>0</v>
      </c>
      <c r="AA94" s="40">
        <f>IF(AA$6&lt;$B94,0,IF(AA$6=$B94,'Growth Engine'!AA$10*'Macro &amp; Indexation'!AA$19*gross_yield,Z94*(1+'Macro &amp; Indexation'!AA$11)))</f>
        <v>0</v>
      </c>
      <c r="AB94" s="40">
        <f>IF(AB$6&lt;$B94,0,IF(AB$6=$B94,'Growth Engine'!AB$10*'Macro &amp; Indexation'!AB$19*gross_yield,AA94*(1+'Macro &amp; Indexation'!AB$11)))</f>
        <v>0</v>
      </c>
      <c r="AC94" s="40">
        <f>IF(AC$6&lt;$B94,0,IF(AC$6=$B94,'Growth Engine'!AC$10*'Macro &amp; Indexation'!AC$19*gross_yield,AB94*(1+'Macro &amp; Indexation'!AC$11)))</f>
        <v>0</v>
      </c>
      <c r="AD94" s="40">
        <f>IF(AD$6&lt;$B94,0,IF(AD$6=$B94,'Growth Engine'!AD$10*'Macro &amp; Indexation'!AD$19*gross_yield,AC94*(1+'Macro &amp; Indexation'!AD$11)))</f>
        <v>0</v>
      </c>
      <c r="AE94" s="40">
        <f>IF(AE$6&lt;$B94,0,IF(AE$6=$B94,'Growth Engine'!AE$10*'Macro &amp; Indexation'!AE$19*gross_yield,AD94*(1+'Macro &amp; Indexation'!AE$11)))</f>
        <v>0</v>
      </c>
      <c r="AF94" s="40">
        <f ca="1">IF(AF$6&lt;$B94,0,IF(AF$6=$B94,'Growth Engine'!AF$10*'Macro &amp; Indexation'!AF$19*gross_yield,AE94*(1+'Macro &amp; Indexation'!AF$11)))</f>
        <v>0</v>
      </c>
      <c r="AG94" s="40">
        <f ca="1">IF(AG$6&lt;$B94,0,IF(AG$6=$B94,'Growth Engine'!AG$10*'Macro &amp; Indexation'!AG$19*gross_yield,AF94*(1+'Macro &amp; Indexation'!AG$11)))</f>
        <v>0</v>
      </c>
      <c r="AH94" s="40">
        <f ca="1">IF(AH$6&lt;$B94,0,IF(AH$6=$B94,'Growth Engine'!AH$10*'Macro &amp; Indexation'!AH$19*gross_yield,AG94*(1+'Macro &amp; Indexation'!AH$11)))</f>
        <v>0</v>
      </c>
      <c r="AI94" s="40">
        <f ca="1">IF(AI$6&lt;$B94,0,IF(AI$6=$B94,'Growth Engine'!AI$10*'Macro &amp; Indexation'!AI$19*gross_yield,AH94*(1+'Macro &amp; Indexation'!AI$11)))</f>
        <v>0</v>
      </c>
      <c r="AJ94" s="40">
        <f ca="1">IF(AJ$6&lt;$B94,0,IF(AJ$6=$B94,'Growth Engine'!AJ$10*'Macro &amp; Indexation'!AJ$19*gross_yield,AI94*(1+'Macro &amp; Indexation'!AJ$11)))</f>
        <v>0</v>
      </c>
      <c r="AK94" s="40">
        <f ca="1">IF(AK$6&lt;$B94,0,IF(AK$6=$B94,'Growth Engine'!AK$10*'Macro &amp; Indexation'!AK$19*gross_yield,AJ94*(1+'Macro &amp; Indexation'!AK$11)))</f>
        <v>0</v>
      </c>
      <c r="AL94" s="40">
        <f ca="1">IF(AL$6&lt;$B94,0,IF(AL$6=$B94,'Growth Engine'!AL$10*'Macro &amp; Indexation'!AL$19*gross_yield,AK94*(1+'Macro &amp; Indexation'!AL$11)))</f>
        <v>0</v>
      </c>
      <c r="AM94" s="40">
        <f ca="1">IF(AM$6&lt;$B94,0,IF(AM$6=$B94,'Growth Engine'!AM$10*'Macro &amp; Indexation'!AM$19*gross_yield,AL94*(1+'Macro &amp; Indexation'!AM$11)))</f>
        <v>0</v>
      </c>
      <c r="AN94" s="40">
        <f ca="1">IF(AN$6&lt;$B94,0,IF(AN$6=$B94,'Growth Engine'!AN$10*'Macro &amp; Indexation'!AN$19*gross_yield,AM94*(1+'Macro &amp; Indexation'!AN$11)))</f>
        <v>0</v>
      </c>
      <c r="AO94" s="40">
        <f ca="1">IF(AO$6&lt;$B94,0,IF(AO$6=$B94,'Growth Engine'!AO$10*'Macro &amp; Indexation'!AO$19*gross_yield,AN94*(1+'Macro &amp; Indexation'!AO$11)))</f>
        <v>0</v>
      </c>
      <c r="AP94" s="40">
        <f ca="1">IF(AP$6&lt;$B94,0,IF(AP$6=$B94,'Growth Engine'!AP$10*'Macro &amp; Indexation'!AP$19*gross_yield,AO94*(1+'Macro &amp; Indexation'!AP$11)))</f>
        <v>0</v>
      </c>
      <c r="AQ94" s="40">
        <f ca="1">IF(AQ$6&lt;$B94,0,IF(AQ$6=$B94,'Growth Engine'!AQ$10*'Macro &amp; Indexation'!AQ$19*gross_yield,AP94*(1+'Macro &amp; Indexation'!AQ$11)))</f>
        <v>0</v>
      </c>
      <c r="AR94" s="40">
        <f ca="1">IF(AR$6&lt;$B94,0,IF(AR$6=$B94,'Growth Engine'!AR$10*'Macro &amp; Indexation'!AR$19*gross_yield,AQ94*(1+'Macro &amp; Indexation'!AR$11)))</f>
        <v>0</v>
      </c>
      <c r="AS94" s="40">
        <f ca="1">IF(AS$6&lt;$B94,0,IF(AS$6=$B94,'Growth Engine'!AS$10*'Macro &amp; Indexation'!AS$19*gross_yield,AR94*(1+'Macro &amp; Indexation'!AS$11)))</f>
        <v>0</v>
      </c>
      <c r="AT94" s="40">
        <f ca="1">IF(AT$6&lt;$B94,0,IF(AT$6=$B94,'Growth Engine'!AT$10*'Macro &amp; Indexation'!AT$19*gross_yield,AS94*(1+'Macro &amp; Indexation'!AT$11)))</f>
        <v>0</v>
      </c>
      <c r="AU94" s="40">
        <f ca="1">IF(AU$6&lt;$B94,0,IF(AU$6=$B94,'Growth Engine'!AU$10*'Macro &amp; Indexation'!AU$19*gross_yield,AT94*(1+'Macro &amp; Indexation'!AU$11)))</f>
        <v>0</v>
      </c>
      <c r="AV94" s="40">
        <f ca="1">IF(AV$6&lt;$B94,0,IF(AV$6=$B94,'Growth Engine'!AV$10*'Macro &amp; Indexation'!AV$19*gross_yield,AU94*(1+'Macro &amp; Indexation'!AV$11)))</f>
        <v>0</v>
      </c>
      <c r="AW94" s="40">
        <f ca="1">IF(AW$6&lt;$B94,0,IF(AW$6=$B94,'Growth Engine'!AW$10*'Macro &amp; Indexation'!AW$19*gross_yield,AV94*(1+'Macro &amp; Indexation'!AW$11)))</f>
        <v>0</v>
      </c>
      <c r="AX94" s="40">
        <f ca="1">IF(AX$6&lt;$B94,0,IF(AX$6=$B94,'Growth Engine'!AX$10*'Macro &amp; Indexation'!AX$19*gross_yield,AW94*(1+'Macro &amp; Indexation'!AX$11)))</f>
        <v>0</v>
      </c>
      <c r="AY94" s="40">
        <f ca="1">IF(AY$6&lt;$B94,0,IF(AY$6=$B94,'Growth Engine'!AY$10*'Macro &amp; Indexation'!AY$19*gross_yield,AX94*(1+'Macro &amp; Indexation'!AY$11)))</f>
        <v>0</v>
      </c>
      <c r="AZ94" s="40">
        <f ca="1">IF(AZ$6&lt;$B94,0,IF(AZ$6=$B94,'Growth Engine'!AZ$10*'Macro &amp; Indexation'!AZ$19*gross_yield,AY94*(1+'Macro &amp; Indexation'!AZ$11)))</f>
        <v>0</v>
      </c>
      <c r="BA94" s="40">
        <f ca="1">IF(BA$6&lt;$B94,0,IF(BA$6=$B94,'Growth Engine'!BA$10*'Macro &amp; Indexation'!BA$19*gross_yield,AZ94*(1+'Macro &amp; Indexation'!BA$11)))</f>
        <v>0</v>
      </c>
    </row>
    <row r="95" spans="1:53" outlineLevel="1" x14ac:dyDescent="0.3">
      <c r="A95" t="s">
        <v>166</v>
      </c>
      <c r="B95">
        <v>30</v>
      </c>
      <c r="D95" s="40">
        <f>IF(D$6&lt;$B95,0,IF(D$6=$B95,'Growth Engine'!D$10*'Macro &amp; Indexation'!D$19*gross_yield,C95*(1+'Macro &amp; Indexation'!D$11)))</f>
        <v>0</v>
      </c>
      <c r="E95" s="40">
        <f>IF(E$6&lt;$B95,0,IF(E$6=$B95,'Growth Engine'!E$10*'Macro &amp; Indexation'!E$19*gross_yield,D95*(1+'Macro &amp; Indexation'!E$11)))</f>
        <v>0</v>
      </c>
      <c r="F95" s="40">
        <f>IF(F$6&lt;$B95,0,IF(F$6=$B95,'Growth Engine'!F$10*'Macro &amp; Indexation'!F$19*gross_yield,E95*(1+'Macro &amp; Indexation'!F$11)))</f>
        <v>0</v>
      </c>
      <c r="G95" s="40">
        <f>IF(G$6&lt;$B95,0,IF(G$6=$B95,'Growth Engine'!G$10*'Macro &amp; Indexation'!G$19*gross_yield,F95*(1+'Macro &amp; Indexation'!G$11)))</f>
        <v>0</v>
      </c>
      <c r="H95" s="40">
        <f>IF(H$6&lt;$B95,0,IF(H$6=$B95,'Growth Engine'!H$10*'Macro &amp; Indexation'!H$19*gross_yield,G95*(1+'Macro &amp; Indexation'!H$11)))</f>
        <v>0</v>
      </c>
      <c r="I95" s="40">
        <f>IF(I$6&lt;$B95,0,IF(I$6=$B95,'Growth Engine'!I$10*'Macro &amp; Indexation'!I$19*gross_yield,H95*(1+'Macro &amp; Indexation'!I$11)))</f>
        <v>0</v>
      </c>
      <c r="J95" s="40">
        <f>IF(J$6&lt;$B95,0,IF(J$6=$B95,'Growth Engine'!J$10*'Macro &amp; Indexation'!J$19*gross_yield,I95*(1+'Macro &amp; Indexation'!J$11)))</f>
        <v>0</v>
      </c>
      <c r="K95" s="40">
        <f>IF(K$6&lt;$B95,0,IF(K$6=$B95,'Growth Engine'!K$10*'Macro &amp; Indexation'!K$19*gross_yield,J95*(1+'Macro &amp; Indexation'!K$11)))</f>
        <v>0</v>
      </c>
      <c r="L95" s="40">
        <f>IF(L$6&lt;$B95,0,IF(L$6=$B95,'Growth Engine'!L$10*'Macro &amp; Indexation'!L$19*gross_yield,K95*(1+'Macro &amp; Indexation'!L$11)))</f>
        <v>0</v>
      </c>
      <c r="M95" s="40">
        <f>IF(M$6&lt;$B95,0,IF(M$6=$B95,'Growth Engine'!M$10*'Macro &amp; Indexation'!M$19*gross_yield,L95*(1+'Macro &amp; Indexation'!M$11)))</f>
        <v>0</v>
      </c>
      <c r="N95" s="40">
        <f>IF(N$6&lt;$B95,0,IF(N$6=$B95,'Growth Engine'!N$10*'Macro &amp; Indexation'!N$19*gross_yield,M95*(1+'Macro &amp; Indexation'!N$11)))</f>
        <v>0</v>
      </c>
      <c r="O95" s="40">
        <f>IF(O$6&lt;$B95,0,IF(O$6=$B95,'Growth Engine'!O$10*'Macro &amp; Indexation'!O$19*gross_yield,N95*(1+'Macro &amp; Indexation'!O$11)))</f>
        <v>0</v>
      </c>
      <c r="P95" s="40">
        <f>IF(P$6&lt;$B95,0,IF(P$6=$B95,'Growth Engine'!P$10*'Macro &amp; Indexation'!P$19*gross_yield,O95*(1+'Macro &amp; Indexation'!P$11)))</f>
        <v>0</v>
      </c>
      <c r="Q95" s="40">
        <f>IF(Q$6&lt;$B95,0,IF(Q$6=$B95,'Growth Engine'!Q$10*'Macro &amp; Indexation'!Q$19*gross_yield,P95*(1+'Macro &amp; Indexation'!Q$11)))</f>
        <v>0</v>
      </c>
      <c r="R95" s="40">
        <f>IF(R$6&lt;$B95,0,IF(R$6=$B95,'Growth Engine'!R$10*'Macro &amp; Indexation'!R$19*gross_yield,Q95*(1+'Macro &amp; Indexation'!R$11)))</f>
        <v>0</v>
      </c>
      <c r="S95" s="40">
        <f>IF(S$6&lt;$B95,0,IF(S$6=$B95,'Growth Engine'!S$10*'Macro &amp; Indexation'!S$19*gross_yield,R95*(1+'Macro &amp; Indexation'!S$11)))</f>
        <v>0</v>
      </c>
      <c r="T95" s="40">
        <f>IF(T$6&lt;$B95,0,IF(T$6=$B95,'Growth Engine'!T$10*'Macro &amp; Indexation'!T$19*gross_yield,S95*(1+'Macro &amp; Indexation'!T$11)))</f>
        <v>0</v>
      </c>
      <c r="U95" s="40">
        <f>IF(U$6&lt;$B95,0,IF(U$6=$B95,'Growth Engine'!U$10*'Macro &amp; Indexation'!U$19*gross_yield,T95*(1+'Macro &amp; Indexation'!U$11)))</f>
        <v>0</v>
      </c>
      <c r="V95" s="40">
        <f>IF(V$6&lt;$B95,0,IF(V$6=$B95,'Growth Engine'!V$10*'Macro &amp; Indexation'!V$19*gross_yield,U95*(1+'Macro &amp; Indexation'!V$11)))</f>
        <v>0</v>
      </c>
      <c r="W95" s="40">
        <f>IF(W$6&lt;$B95,0,IF(W$6=$B95,'Growth Engine'!W$10*'Macro &amp; Indexation'!W$19*gross_yield,V95*(1+'Macro &amp; Indexation'!W$11)))</f>
        <v>0</v>
      </c>
      <c r="X95" s="40">
        <f>IF(X$6&lt;$B95,0,IF(X$6=$B95,'Growth Engine'!X$10*'Macro &amp; Indexation'!X$19*gross_yield,W95*(1+'Macro &amp; Indexation'!X$11)))</f>
        <v>0</v>
      </c>
      <c r="Y95" s="40">
        <f>IF(Y$6&lt;$B95,0,IF(Y$6=$B95,'Growth Engine'!Y$10*'Macro &amp; Indexation'!Y$19*gross_yield,X95*(1+'Macro &amp; Indexation'!Y$11)))</f>
        <v>0</v>
      </c>
      <c r="Z95" s="40">
        <f>IF(Z$6&lt;$B95,0,IF(Z$6=$B95,'Growth Engine'!Z$10*'Macro &amp; Indexation'!Z$19*gross_yield,Y95*(1+'Macro &amp; Indexation'!Z$11)))</f>
        <v>0</v>
      </c>
      <c r="AA95" s="40">
        <f>IF(AA$6&lt;$B95,0,IF(AA$6=$B95,'Growth Engine'!AA$10*'Macro &amp; Indexation'!AA$19*gross_yield,Z95*(1+'Macro &amp; Indexation'!AA$11)))</f>
        <v>0</v>
      </c>
      <c r="AB95" s="40">
        <f>IF(AB$6&lt;$B95,0,IF(AB$6=$B95,'Growth Engine'!AB$10*'Macro &amp; Indexation'!AB$19*gross_yield,AA95*(1+'Macro &amp; Indexation'!AB$11)))</f>
        <v>0</v>
      </c>
      <c r="AC95" s="40">
        <f>IF(AC$6&lt;$B95,0,IF(AC$6=$B95,'Growth Engine'!AC$10*'Macro &amp; Indexation'!AC$19*gross_yield,AB95*(1+'Macro &amp; Indexation'!AC$11)))</f>
        <v>0</v>
      </c>
      <c r="AD95" s="40">
        <f>IF(AD$6&lt;$B95,0,IF(AD$6=$B95,'Growth Engine'!AD$10*'Macro &amp; Indexation'!AD$19*gross_yield,AC95*(1+'Macro &amp; Indexation'!AD$11)))</f>
        <v>0</v>
      </c>
      <c r="AE95" s="40">
        <f>IF(AE$6&lt;$B95,0,IF(AE$6=$B95,'Growth Engine'!AE$10*'Macro &amp; Indexation'!AE$19*gross_yield,AD95*(1+'Macro &amp; Indexation'!AE$11)))</f>
        <v>0</v>
      </c>
      <c r="AF95" s="40">
        <f>IF(AF$6&lt;$B95,0,IF(AF$6=$B95,'Growth Engine'!AF$10*'Macro &amp; Indexation'!AF$19*gross_yield,AE95*(1+'Macro &amp; Indexation'!AF$11)))</f>
        <v>0</v>
      </c>
      <c r="AG95" s="40">
        <f ca="1">IF(AG$6&lt;$B95,0,IF(AG$6=$B95,'Growth Engine'!AG$10*'Macro &amp; Indexation'!AG$19*gross_yield,AF95*(1+'Macro &amp; Indexation'!AG$11)))</f>
        <v>37966.291657813315</v>
      </c>
      <c r="AH95" s="40">
        <f ca="1">IF(AH$6&lt;$B95,0,IF(AH$6=$B95,'Growth Engine'!AH$10*'Macro &amp; Indexation'!AH$19*gross_yield,AG95*(1+'Macro &amp; Indexation'!AH$11)))</f>
        <v>38915.448949258644</v>
      </c>
      <c r="AI95" s="40">
        <f ca="1">IF(AI$6&lt;$B95,0,IF(AI$6=$B95,'Growth Engine'!AI$10*'Macro &amp; Indexation'!AI$19*gross_yield,AH95*(1+'Macro &amp; Indexation'!AI$11)))</f>
        <v>39888.335172990104</v>
      </c>
      <c r="AJ95" s="40">
        <f ca="1">IF(AJ$6&lt;$B95,0,IF(AJ$6=$B95,'Growth Engine'!AJ$10*'Macro &amp; Indexation'!AJ$19*gross_yield,AI95*(1+'Macro &amp; Indexation'!AJ$11)))</f>
        <v>40885.543552314855</v>
      </c>
      <c r="AK95" s="40">
        <f ca="1">IF(AK$6&lt;$B95,0,IF(AK$6=$B95,'Growth Engine'!AK$10*'Macro &amp; Indexation'!AK$19*gross_yield,AJ95*(1+'Macro &amp; Indexation'!AK$11)))</f>
        <v>41907.682141122721</v>
      </c>
      <c r="AL95" s="40">
        <f ca="1">IF(AL$6&lt;$B95,0,IF(AL$6=$B95,'Growth Engine'!AL$10*'Macro &amp; Indexation'!AL$19*gross_yield,AK95*(1+'Macro &amp; Indexation'!AL$11)))</f>
        <v>42955.374194650787</v>
      </c>
      <c r="AM95" s="40">
        <f ca="1">IF(AM$6&lt;$B95,0,IF(AM$6=$B95,'Growth Engine'!AM$10*'Macro &amp; Indexation'!AM$19*gross_yield,AL95*(1+'Macro &amp; Indexation'!AM$11)))</f>
        <v>44029.25854951705</v>
      </c>
      <c r="AN95" s="40">
        <f ca="1">IF(AN$6&lt;$B95,0,IF(AN$6=$B95,'Growth Engine'!AN$10*'Macro &amp; Indexation'!AN$19*gross_yield,AM95*(1+'Macro &amp; Indexation'!AN$11)))</f>
        <v>45129.990013254974</v>
      </c>
      <c r="AO95" s="40">
        <f ca="1">IF(AO$6&lt;$B95,0,IF(AO$6=$B95,'Growth Engine'!AO$10*'Macro &amp; Indexation'!AO$19*gross_yield,AN95*(1+'Macro &amp; Indexation'!AO$11)))</f>
        <v>46258.239763586345</v>
      </c>
      <c r="AP95" s="40">
        <f ca="1">IF(AP$6&lt;$B95,0,IF(AP$6=$B95,'Growth Engine'!AP$10*'Macro &amp; Indexation'!AP$19*gross_yield,AO95*(1+'Macro &amp; Indexation'!AP$11)))</f>
        <v>47414.695757676003</v>
      </c>
      <c r="AQ95" s="40">
        <f ca="1">IF(AQ$6&lt;$B95,0,IF(AQ$6=$B95,'Growth Engine'!AQ$10*'Macro &amp; Indexation'!AQ$19*gross_yield,AP95*(1+'Macro &amp; Indexation'!AQ$11)))</f>
        <v>48600.063151617898</v>
      </c>
      <c r="AR95" s="40">
        <f ca="1">IF(AR$6&lt;$B95,0,IF(AR$6=$B95,'Growth Engine'!AR$10*'Macro &amp; Indexation'!AR$19*gross_yield,AQ95*(1+'Macro &amp; Indexation'!AR$11)))</f>
        <v>49815.06473040834</v>
      </c>
      <c r="AS95" s="40">
        <f ca="1">IF(AS$6&lt;$B95,0,IF(AS$6=$B95,'Growth Engine'!AS$10*'Macro &amp; Indexation'!AS$19*gross_yield,AR95*(1+'Macro &amp; Indexation'!AS$11)))</f>
        <v>51060.441348668544</v>
      </c>
      <c r="AT95" s="40">
        <f ca="1">IF(AT$6&lt;$B95,0,IF(AT$6=$B95,'Growth Engine'!AT$10*'Macro &amp; Indexation'!AT$19*gross_yield,AS95*(1+'Macro &amp; Indexation'!AT$11)))</f>
        <v>52336.952382385251</v>
      </c>
      <c r="AU95" s="40">
        <f ca="1">IF(AU$6&lt;$B95,0,IF(AU$6=$B95,'Growth Engine'!AU$10*'Macro &amp; Indexation'!AU$19*gross_yield,AT95*(1+'Macro &amp; Indexation'!AU$11)))</f>
        <v>53645.376191944881</v>
      </c>
      <c r="AV95" s="40">
        <f ca="1">IF(AV$6&lt;$B95,0,IF(AV$6=$B95,'Growth Engine'!AV$10*'Macro &amp; Indexation'!AV$19*gross_yield,AU95*(1+'Macro &amp; Indexation'!AV$11)))</f>
        <v>54986.510596743501</v>
      </c>
      <c r="AW95" s="40">
        <f ca="1">IF(AW$6&lt;$B95,0,IF(AW$6=$B95,'Growth Engine'!AW$10*'Macro &amp; Indexation'!AW$19*gross_yield,AV95*(1+'Macro &amp; Indexation'!AW$11)))</f>
        <v>56361.173361662084</v>
      </c>
      <c r="AX95" s="40">
        <f ca="1">IF(AX$6&lt;$B95,0,IF(AX$6=$B95,'Growth Engine'!AX$10*'Macro &amp; Indexation'!AX$19*gross_yield,AW95*(1+'Macro &amp; Indexation'!AX$11)))</f>
        <v>57770.202695703629</v>
      </c>
      <c r="AY95" s="40">
        <f ca="1">IF(AY$6&lt;$B95,0,IF(AY$6=$B95,'Growth Engine'!AY$10*'Macro &amp; Indexation'!AY$19*gross_yield,AX95*(1+'Macro &amp; Indexation'!AY$11)))</f>
        <v>59214.457763096216</v>
      </c>
      <c r="AZ95" s="40">
        <f ca="1">IF(AZ$6&lt;$B95,0,IF(AZ$6=$B95,'Growth Engine'!AZ$10*'Macro &amp; Indexation'!AZ$19*gross_yield,AY95*(1+'Macro &amp; Indexation'!AZ$11)))</f>
        <v>60694.819207173619</v>
      </c>
      <c r="BA95" s="40">
        <f ca="1">IF(BA$6&lt;$B95,0,IF(BA$6=$B95,'Growth Engine'!BA$10*'Macro &amp; Indexation'!BA$19*gross_yield,AZ95*(1+'Macro &amp; Indexation'!BA$11)))</f>
        <v>62212.189687352955</v>
      </c>
    </row>
    <row r="96" spans="1:53" outlineLevel="1" x14ac:dyDescent="0.3">
      <c r="A96" t="s">
        <v>167</v>
      </c>
      <c r="B96">
        <v>31</v>
      </c>
      <c r="D96" s="40">
        <f>IF(D$6&lt;$B96,0,IF(D$6=$B96,'Growth Engine'!D$10*'Macro &amp; Indexation'!D$19*gross_yield,C96*(1+'Macro &amp; Indexation'!D$11)))</f>
        <v>0</v>
      </c>
      <c r="E96" s="40">
        <f>IF(E$6&lt;$B96,0,IF(E$6=$B96,'Growth Engine'!E$10*'Macro &amp; Indexation'!E$19*gross_yield,D96*(1+'Macro &amp; Indexation'!E$11)))</f>
        <v>0</v>
      </c>
      <c r="F96" s="40">
        <f>IF(F$6&lt;$B96,0,IF(F$6=$B96,'Growth Engine'!F$10*'Macro &amp; Indexation'!F$19*gross_yield,E96*(1+'Macro &amp; Indexation'!F$11)))</f>
        <v>0</v>
      </c>
      <c r="G96" s="40">
        <f>IF(G$6&lt;$B96,0,IF(G$6=$B96,'Growth Engine'!G$10*'Macro &amp; Indexation'!G$19*gross_yield,F96*(1+'Macro &amp; Indexation'!G$11)))</f>
        <v>0</v>
      </c>
      <c r="H96" s="40">
        <f>IF(H$6&lt;$B96,0,IF(H$6=$B96,'Growth Engine'!H$10*'Macro &amp; Indexation'!H$19*gross_yield,G96*(1+'Macro &amp; Indexation'!H$11)))</f>
        <v>0</v>
      </c>
      <c r="I96" s="40">
        <f>IF(I$6&lt;$B96,0,IF(I$6=$B96,'Growth Engine'!I$10*'Macro &amp; Indexation'!I$19*gross_yield,H96*(1+'Macro &amp; Indexation'!I$11)))</f>
        <v>0</v>
      </c>
      <c r="J96" s="40">
        <f>IF(J$6&lt;$B96,0,IF(J$6=$B96,'Growth Engine'!J$10*'Macro &amp; Indexation'!J$19*gross_yield,I96*(1+'Macro &amp; Indexation'!J$11)))</f>
        <v>0</v>
      </c>
      <c r="K96" s="40">
        <f>IF(K$6&lt;$B96,0,IF(K$6=$B96,'Growth Engine'!K$10*'Macro &amp; Indexation'!K$19*gross_yield,J96*(1+'Macro &amp; Indexation'!K$11)))</f>
        <v>0</v>
      </c>
      <c r="L96" s="40">
        <f>IF(L$6&lt;$B96,0,IF(L$6=$B96,'Growth Engine'!L$10*'Macro &amp; Indexation'!L$19*gross_yield,K96*(1+'Macro &amp; Indexation'!L$11)))</f>
        <v>0</v>
      </c>
      <c r="M96" s="40">
        <f>IF(M$6&lt;$B96,0,IF(M$6=$B96,'Growth Engine'!M$10*'Macro &amp; Indexation'!M$19*gross_yield,L96*(1+'Macro &amp; Indexation'!M$11)))</f>
        <v>0</v>
      </c>
      <c r="N96" s="40">
        <f>IF(N$6&lt;$B96,0,IF(N$6=$B96,'Growth Engine'!N$10*'Macro &amp; Indexation'!N$19*gross_yield,M96*(1+'Macro &amp; Indexation'!N$11)))</f>
        <v>0</v>
      </c>
      <c r="O96" s="40">
        <f>IF(O$6&lt;$B96,0,IF(O$6=$B96,'Growth Engine'!O$10*'Macro &amp; Indexation'!O$19*gross_yield,N96*(1+'Macro &amp; Indexation'!O$11)))</f>
        <v>0</v>
      </c>
      <c r="P96" s="40">
        <f>IF(P$6&lt;$B96,0,IF(P$6=$B96,'Growth Engine'!P$10*'Macro &amp; Indexation'!P$19*gross_yield,O96*(1+'Macro &amp; Indexation'!P$11)))</f>
        <v>0</v>
      </c>
      <c r="Q96" s="40">
        <f>IF(Q$6&lt;$B96,0,IF(Q$6=$B96,'Growth Engine'!Q$10*'Macro &amp; Indexation'!Q$19*gross_yield,P96*(1+'Macro &amp; Indexation'!Q$11)))</f>
        <v>0</v>
      </c>
      <c r="R96" s="40">
        <f>IF(R$6&lt;$B96,0,IF(R$6=$B96,'Growth Engine'!R$10*'Macro &amp; Indexation'!R$19*gross_yield,Q96*(1+'Macro &amp; Indexation'!R$11)))</f>
        <v>0</v>
      </c>
      <c r="S96" s="40">
        <f>IF(S$6&lt;$B96,0,IF(S$6=$B96,'Growth Engine'!S$10*'Macro &amp; Indexation'!S$19*gross_yield,R96*(1+'Macro &amp; Indexation'!S$11)))</f>
        <v>0</v>
      </c>
      <c r="T96" s="40">
        <f>IF(T$6&lt;$B96,0,IF(T$6=$B96,'Growth Engine'!T$10*'Macro &amp; Indexation'!T$19*gross_yield,S96*(1+'Macro &amp; Indexation'!T$11)))</f>
        <v>0</v>
      </c>
      <c r="U96" s="40">
        <f>IF(U$6&lt;$B96,0,IF(U$6=$B96,'Growth Engine'!U$10*'Macro &amp; Indexation'!U$19*gross_yield,T96*(1+'Macro &amp; Indexation'!U$11)))</f>
        <v>0</v>
      </c>
      <c r="V96" s="40">
        <f>IF(V$6&lt;$B96,0,IF(V$6=$B96,'Growth Engine'!V$10*'Macro &amp; Indexation'!V$19*gross_yield,U96*(1+'Macro &amp; Indexation'!V$11)))</f>
        <v>0</v>
      </c>
      <c r="W96" s="40">
        <f>IF(W$6&lt;$B96,0,IF(W$6=$B96,'Growth Engine'!W$10*'Macro &amp; Indexation'!W$19*gross_yield,V96*(1+'Macro &amp; Indexation'!W$11)))</f>
        <v>0</v>
      </c>
      <c r="X96" s="40">
        <f>IF(X$6&lt;$B96,0,IF(X$6=$B96,'Growth Engine'!X$10*'Macro &amp; Indexation'!X$19*gross_yield,W96*(1+'Macro &amp; Indexation'!X$11)))</f>
        <v>0</v>
      </c>
      <c r="Y96" s="40">
        <f>IF(Y$6&lt;$B96,0,IF(Y$6=$B96,'Growth Engine'!Y$10*'Macro &amp; Indexation'!Y$19*gross_yield,X96*(1+'Macro &amp; Indexation'!Y$11)))</f>
        <v>0</v>
      </c>
      <c r="Z96" s="40">
        <f>IF(Z$6&lt;$B96,0,IF(Z$6=$B96,'Growth Engine'!Z$10*'Macro &amp; Indexation'!Z$19*gross_yield,Y96*(1+'Macro &amp; Indexation'!Z$11)))</f>
        <v>0</v>
      </c>
      <c r="AA96" s="40">
        <f>IF(AA$6&lt;$B96,0,IF(AA$6=$B96,'Growth Engine'!AA$10*'Macro &amp; Indexation'!AA$19*gross_yield,Z96*(1+'Macro &amp; Indexation'!AA$11)))</f>
        <v>0</v>
      </c>
      <c r="AB96" s="40">
        <f>IF(AB$6&lt;$B96,0,IF(AB$6=$B96,'Growth Engine'!AB$10*'Macro &amp; Indexation'!AB$19*gross_yield,AA96*(1+'Macro &amp; Indexation'!AB$11)))</f>
        <v>0</v>
      </c>
      <c r="AC96" s="40">
        <f>IF(AC$6&lt;$B96,0,IF(AC$6=$B96,'Growth Engine'!AC$10*'Macro &amp; Indexation'!AC$19*gross_yield,AB96*(1+'Macro &amp; Indexation'!AC$11)))</f>
        <v>0</v>
      </c>
      <c r="AD96" s="40">
        <f>IF(AD$6&lt;$B96,0,IF(AD$6=$B96,'Growth Engine'!AD$10*'Macro &amp; Indexation'!AD$19*gross_yield,AC96*(1+'Macro &amp; Indexation'!AD$11)))</f>
        <v>0</v>
      </c>
      <c r="AE96" s="40">
        <f>IF(AE$6&lt;$B96,0,IF(AE$6=$B96,'Growth Engine'!AE$10*'Macro &amp; Indexation'!AE$19*gross_yield,AD96*(1+'Macro &amp; Indexation'!AE$11)))</f>
        <v>0</v>
      </c>
      <c r="AF96" s="40">
        <f>IF(AF$6&lt;$B96,0,IF(AF$6=$B96,'Growth Engine'!AF$10*'Macro &amp; Indexation'!AF$19*gross_yield,AE96*(1+'Macro &amp; Indexation'!AF$11)))</f>
        <v>0</v>
      </c>
      <c r="AG96" s="40">
        <f>IF(AG$6&lt;$B96,0,IF(AG$6=$B96,'Growth Engine'!AG$10*'Macro &amp; Indexation'!AG$19*gross_yield,AF96*(1+'Macro &amp; Indexation'!AG$11)))</f>
        <v>0</v>
      </c>
      <c r="AH96" s="40">
        <f ca="1">IF(AH$6&lt;$B96,0,IF(AH$6=$B96,'Growth Engine'!AH$10*'Macro &amp; Indexation'!AH$19*gross_yield,AG96*(1+'Macro &amp; Indexation'!AH$11)))</f>
        <v>0</v>
      </c>
      <c r="AI96" s="40">
        <f ca="1">IF(AI$6&lt;$B96,0,IF(AI$6=$B96,'Growth Engine'!AI$10*'Macro &amp; Indexation'!AI$19*gross_yield,AH96*(1+'Macro &amp; Indexation'!AI$11)))</f>
        <v>0</v>
      </c>
      <c r="AJ96" s="40">
        <f ca="1">IF(AJ$6&lt;$B96,0,IF(AJ$6=$B96,'Growth Engine'!AJ$10*'Macro &amp; Indexation'!AJ$19*gross_yield,AI96*(1+'Macro &amp; Indexation'!AJ$11)))</f>
        <v>0</v>
      </c>
      <c r="AK96" s="40">
        <f ca="1">IF(AK$6&lt;$B96,0,IF(AK$6=$B96,'Growth Engine'!AK$10*'Macro &amp; Indexation'!AK$19*gross_yield,AJ96*(1+'Macro &amp; Indexation'!AK$11)))</f>
        <v>0</v>
      </c>
      <c r="AL96" s="40">
        <f ca="1">IF(AL$6&lt;$B96,0,IF(AL$6=$B96,'Growth Engine'!AL$10*'Macro &amp; Indexation'!AL$19*gross_yield,AK96*(1+'Macro &amp; Indexation'!AL$11)))</f>
        <v>0</v>
      </c>
      <c r="AM96" s="40">
        <f ca="1">IF(AM$6&lt;$B96,0,IF(AM$6=$B96,'Growth Engine'!AM$10*'Macro &amp; Indexation'!AM$19*gross_yield,AL96*(1+'Macro &amp; Indexation'!AM$11)))</f>
        <v>0</v>
      </c>
      <c r="AN96" s="40">
        <f ca="1">IF(AN$6&lt;$B96,0,IF(AN$6=$B96,'Growth Engine'!AN$10*'Macro &amp; Indexation'!AN$19*gross_yield,AM96*(1+'Macro &amp; Indexation'!AN$11)))</f>
        <v>0</v>
      </c>
      <c r="AO96" s="40">
        <f ca="1">IF(AO$6&lt;$B96,0,IF(AO$6=$B96,'Growth Engine'!AO$10*'Macro &amp; Indexation'!AO$19*gross_yield,AN96*(1+'Macro &amp; Indexation'!AO$11)))</f>
        <v>0</v>
      </c>
      <c r="AP96" s="40">
        <f ca="1">IF(AP$6&lt;$B96,0,IF(AP$6=$B96,'Growth Engine'!AP$10*'Macro &amp; Indexation'!AP$19*gross_yield,AO96*(1+'Macro &amp; Indexation'!AP$11)))</f>
        <v>0</v>
      </c>
      <c r="AQ96" s="40">
        <f ca="1">IF(AQ$6&lt;$B96,0,IF(AQ$6=$B96,'Growth Engine'!AQ$10*'Macro &amp; Indexation'!AQ$19*gross_yield,AP96*(1+'Macro &amp; Indexation'!AQ$11)))</f>
        <v>0</v>
      </c>
      <c r="AR96" s="40">
        <f ca="1">IF(AR$6&lt;$B96,0,IF(AR$6=$B96,'Growth Engine'!AR$10*'Macro &amp; Indexation'!AR$19*gross_yield,AQ96*(1+'Macro &amp; Indexation'!AR$11)))</f>
        <v>0</v>
      </c>
      <c r="AS96" s="40">
        <f ca="1">IF(AS$6&lt;$B96,0,IF(AS$6=$B96,'Growth Engine'!AS$10*'Macro &amp; Indexation'!AS$19*gross_yield,AR96*(1+'Macro &amp; Indexation'!AS$11)))</f>
        <v>0</v>
      </c>
      <c r="AT96" s="40">
        <f ca="1">IF(AT$6&lt;$B96,0,IF(AT$6=$B96,'Growth Engine'!AT$10*'Macro &amp; Indexation'!AT$19*gross_yield,AS96*(1+'Macro &amp; Indexation'!AT$11)))</f>
        <v>0</v>
      </c>
      <c r="AU96" s="40">
        <f ca="1">IF(AU$6&lt;$B96,0,IF(AU$6=$B96,'Growth Engine'!AU$10*'Macro &amp; Indexation'!AU$19*gross_yield,AT96*(1+'Macro &amp; Indexation'!AU$11)))</f>
        <v>0</v>
      </c>
      <c r="AV96" s="40">
        <f ca="1">IF(AV$6&lt;$B96,0,IF(AV$6=$B96,'Growth Engine'!AV$10*'Macro &amp; Indexation'!AV$19*gross_yield,AU96*(1+'Macro &amp; Indexation'!AV$11)))</f>
        <v>0</v>
      </c>
      <c r="AW96" s="40">
        <f ca="1">IF(AW$6&lt;$B96,0,IF(AW$6=$B96,'Growth Engine'!AW$10*'Macro &amp; Indexation'!AW$19*gross_yield,AV96*(1+'Macro &amp; Indexation'!AW$11)))</f>
        <v>0</v>
      </c>
      <c r="AX96" s="40">
        <f ca="1">IF(AX$6&lt;$B96,0,IF(AX$6=$B96,'Growth Engine'!AX$10*'Macro &amp; Indexation'!AX$19*gross_yield,AW96*(1+'Macro &amp; Indexation'!AX$11)))</f>
        <v>0</v>
      </c>
      <c r="AY96" s="40">
        <f ca="1">IF(AY$6&lt;$B96,0,IF(AY$6=$B96,'Growth Engine'!AY$10*'Macro &amp; Indexation'!AY$19*gross_yield,AX96*(1+'Macro &amp; Indexation'!AY$11)))</f>
        <v>0</v>
      </c>
      <c r="AZ96" s="40">
        <f ca="1">IF(AZ$6&lt;$B96,0,IF(AZ$6=$B96,'Growth Engine'!AZ$10*'Macro &amp; Indexation'!AZ$19*gross_yield,AY96*(1+'Macro &amp; Indexation'!AZ$11)))</f>
        <v>0</v>
      </c>
      <c r="BA96" s="40">
        <f ca="1">IF(BA$6&lt;$B96,0,IF(BA$6=$B96,'Growth Engine'!BA$10*'Macro &amp; Indexation'!BA$19*gross_yield,AZ96*(1+'Macro &amp; Indexation'!BA$11)))</f>
        <v>0</v>
      </c>
    </row>
    <row r="97" spans="1:53" outlineLevel="1" x14ac:dyDescent="0.3">
      <c r="A97" t="s">
        <v>168</v>
      </c>
      <c r="B97">
        <v>32</v>
      </c>
      <c r="D97" s="40">
        <f>IF(D$6&lt;$B97,0,IF(D$6=$B97,'Growth Engine'!D$10*'Macro &amp; Indexation'!D$19*gross_yield,C97*(1+'Macro &amp; Indexation'!D$11)))</f>
        <v>0</v>
      </c>
      <c r="E97" s="40">
        <f>IF(E$6&lt;$B97,0,IF(E$6=$B97,'Growth Engine'!E$10*'Macro &amp; Indexation'!E$19*gross_yield,D97*(1+'Macro &amp; Indexation'!E$11)))</f>
        <v>0</v>
      </c>
      <c r="F97" s="40">
        <f>IF(F$6&lt;$B97,0,IF(F$6=$B97,'Growth Engine'!F$10*'Macro &amp; Indexation'!F$19*gross_yield,E97*(1+'Macro &amp; Indexation'!F$11)))</f>
        <v>0</v>
      </c>
      <c r="G97" s="40">
        <f>IF(G$6&lt;$B97,0,IF(G$6=$B97,'Growth Engine'!G$10*'Macro &amp; Indexation'!G$19*gross_yield,F97*(1+'Macro &amp; Indexation'!G$11)))</f>
        <v>0</v>
      </c>
      <c r="H97" s="40">
        <f>IF(H$6&lt;$B97,0,IF(H$6=$B97,'Growth Engine'!H$10*'Macro &amp; Indexation'!H$19*gross_yield,G97*(1+'Macro &amp; Indexation'!H$11)))</f>
        <v>0</v>
      </c>
      <c r="I97" s="40">
        <f>IF(I$6&lt;$B97,0,IF(I$6=$B97,'Growth Engine'!I$10*'Macro &amp; Indexation'!I$19*gross_yield,H97*(1+'Macro &amp; Indexation'!I$11)))</f>
        <v>0</v>
      </c>
      <c r="J97" s="40">
        <f>IF(J$6&lt;$B97,0,IF(J$6=$B97,'Growth Engine'!J$10*'Macro &amp; Indexation'!J$19*gross_yield,I97*(1+'Macro &amp; Indexation'!J$11)))</f>
        <v>0</v>
      </c>
      <c r="K97" s="40">
        <f>IF(K$6&lt;$B97,0,IF(K$6=$B97,'Growth Engine'!K$10*'Macro &amp; Indexation'!K$19*gross_yield,J97*(1+'Macro &amp; Indexation'!K$11)))</f>
        <v>0</v>
      </c>
      <c r="L97" s="40">
        <f>IF(L$6&lt;$B97,0,IF(L$6=$B97,'Growth Engine'!L$10*'Macro &amp; Indexation'!L$19*gross_yield,K97*(1+'Macro &amp; Indexation'!L$11)))</f>
        <v>0</v>
      </c>
      <c r="M97" s="40">
        <f>IF(M$6&lt;$B97,0,IF(M$6=$B97,'Growth Engine'!M$10*'Macro &amp; Indexation'!M$19*gross_yield,L97*(1+'Macro &amp; Indexation'!M$11)))</f>
        <v>0</v>
      </c>
      <c r="N97" s="40">
        <f>IF(N$6&lt;$B97,0,IF(N$6=$B97,'Growth Engine'!N$10*'Macro &amp; Indexation'!N$19*gross_yield,M97*(1+'Macro &amp; Indexation'!N$11)))</f>
        <v>0</v>
      </c>
      <c r="O97" s="40">
        <f>IF(O$6&lt;$B97,0,IF(O$6=$B97,'Growth Engine'!O$10*'Macro &amp; Indexation'!O$19*gross_yield,N97*(1+'Macro &amp; Indexation'!O$11)))</f>
        <v>0</v>
      </c>
      <c r="P97" s="40">
        <f>IF(P$6&lt;$B97,0,IF(P$6=$B97,'Growth Engine'!P$10*'Macro &amp; Indexation'!P$19*gross_yield,O97*(1+'Macro &amp; Indexation'!P$11)))</f>
        <v>0</v>
      </c>
      <c r="Q97" s="40">
        <f>IF(Q$6&lt;$B97,0,IF(Q$6=$B97,'Growth Engine'!Q$10*'Macro &amp; Indexation'!Q$19*gross_yield,P97*(1+'Macro &amp; Indexation'!Q$11)))</f>
        <v>0</v>
      </c>
      <c r="R97" s="40">
        <f>IF(R$6&lt;$B97,0,IF(R$6=$B97,'Growth Engine'!R$10*'Macro &amp; Indexation'!R$19*gross_yield,Q97*(1+'Macro &amp; Indexation'!R$11)))</f>
        <v>0</v>
      </c>
      <c r="S97" s="40">
        <f>IF(S$6&lt;$B97,0,IF(S$6=$B97,'Growth Engine'!S$10*'Macro &amp; Indexation'!S$19*gross_yield,R97*(1+'Macro &amp; Indexation'!S$11)))</f>
        <v>0</v>
      </c>
      <c r="T97" s="40">
        <f>IF(T$6&lt;$B97,0,IF(T$6=$B97,'Growth Engine'!T$10*'Macro &amp; Indexation'!T$19*gross_yield,S97*(1+'Macro &amp; Indexation'!T$11)))</f>
        <v>0</v>
      </c>
      <c r="U97" s="40">
        <f>IF(U$6&lt;$B97,0,IF(U$6=$B97,'Growth Engine'!U$10*'Macro &amp; Indexation'!U$19*gross_yield,T97*(1+'Macro &amp; Indexation'!U$11)))</f>
        <v>0</v>
      </c>
      <c r="V97" s="40">
        <f>IF(V$6&lt;$B97,0,IF(V$6=$B97,'Growth Engine'!V$10*'Macro &amp; Indexation'!V$19*gross_yield,U97*(1+'Macro &amp; Indexation'!V$11)))</f>
        <v>0</v>
      </c>
      <c r="W97" s="40">
        <f>IF(W$6&lt;$B97,0,IF(W$6=$B97,'Growth Engine'!W$10*'Macro &amp; Indexation'!W$19*gross_yield,V97*(1+'Macro &amp; Indexation'!W$11)))</f>
        <v>0</v>
      </c>
      <c r="X97" s="40">
        <f>IF(X$6&lt;$B97,0,IF(X$6=$B97,'Growth Engine'!X$10*'Macro &amp; Indexation'!X$19*gross_yield,W97*(1+'Macro &amp; Indexation'!X$11)))</f>
        <v>0</v>
      </c>
      <c r="Y97" s="40">
        <f>IF(Y$6&lt;$B97,0,IF(Y$6=$B97,'Growth Engine'!Y$10*'Macro &amp; Indexation'!Y$19*gross_yield,X97*(1+'Macro &amp; Indexation'!Y$11)))</f>
        <v>0</v>
      </c>
      <c r="Z97" s="40">
        <f>IF(Z$6&lt;$B97,0,IF(Z$6=$B97,'Growth Engine'!Z$10*'Macro &amp; Indexation'!Z$19*gross_yield,Y97*(1+'Macro &amp; Indexation'!Z$11)))</f>
        <v>0</v>
      </c>
      <c r="AA97" s="40">
        <f>IF(AA$6&lt;$B97,0,IF(AA$6=$B97,'Growth Engine'!AA$10*'Macro &amp; Indexation'!AA$19*gross_yield,Z97*(1+'Macro &amp; Indexation'!AA$11)))</f>
        <v>0</v>
      </c>
      <c r="AB97" s="40">
        <f>IF(AB$6&lt;$B97,0,IF(AB$6=$B97,'Growth Engine'!AB$10*'Macro &amp; Indexation'!AB$19*gross_yield,AA97*(1+'Macro &amp; Indexation'!AB$11)))</f>
        <v>0</v>
      </c>
      <c r="AC97" s="40">
        <f>IF(AC$6&lt;$B97,0,IF(AC$6=$B97,'Growth Engine'!AC$10*'Macro &amp; Indexation'!AC$19*gross_yield,AB97*(1+'Macro &amp; Indexation'!AC$11)))</f>
        <v>0</v>
      </c>
      <c r="AD97" s="40">
        <f>IF(AD$6&lt;$B97,0,IF(AD$6=$B97,'Growth Engine'!AD$10*'Macro &amp; Indexation'!AD$19*gross_yield,AC97*(1+'Macro &amp; Indexation'!AD$11)))</f>
        <v>0</v>
      </c>
      <c r="AE97" s="40">
        <f>IF(AE$6&lt;$B97,0,IF(AE$6=$B97,'Growth Engine'!AE$10*'Macro &amp; Indexation'!AE$19*gross_yield,AD97*(1+'Macro &amp; Indexation'!AE$11)))</f>
        <v>0</v>
      </c>
      <c r="AF97" s="40">
        <f>IF(AF$6&lt;$B97,0,IF(AF$6=$B97,'Growth Engine'!AF$10*'Macro &amp; Indexation'!AF$19*gross_yield,AE97*(1+'Macro &amp; Indexation'!AF$11)))</f>
        <v>0</v>
      </c>
      <c r="AG97" s="40">
        <f>IF(AG$6&lt;$B97,0,IF(AG$6=$B97,'Growth Engine'!AG$10*'Macro &amp; Indexation'!AG$19*gross_yield,AF97*(1+'Macro &amp; Indexation'!AG$11)))</f>
        <v>0</v>
      </c>
      <c r="AH97" s="40">
        <f>IF(AH$6&lt;$B97,0,IF(AH$6=$B97,'Growth Engine'!AH$10*'Macro &amp; Indexation'!AH$19*gross_yield,AG97*(1+'Macro &amp; Indexation'!AH$11)))</f>
        <v>0</v>
      </c>
      <c r="AI97" s="40">
        <f ca="1">IF(AI$6&lt;$B97,0,IF(AI$6=$B97,'Growth Engine'!AI$10*'Macro &amp; Indexation'!AI$19*gross_yield,AH97*(1+'Macro &amp; Indexation'!AI$11)))</f>
        <v>40670.440781141064</v>
      </c>
      <c r="AJ97" s="40">
        <f ca="1">IF(AJ$6&lt;$B97,0,IF(AJ$6=$B97,'Growth Engine'!AJ$10*'Macro &amp; Indexation'!AJ$19*gross_yield,AI97*(1+'Macro &amp; Indexation'!AJ$11)))</f>
        <v>41687.201800669587</v>
      </c>
      <c r="AK97" s="40">
        <f ca="1">IF(AK$6&lt;$B97,0,IF(AK$6=$B97,'Growth Engine'!AK$10*'Macro &amp; Indexation'!AK$19*gross_yield,AJ97*(1+'Macro &amp; Indexation'!AK$11)))</f>
        <v>42729.381845686323</v>
      </c>
      <c r="AL97" s="40">
        <f ca="1">IF(AL$6&lt;$B97,0,IF(AL$6=$B97,'Growth Engine'!AL$10*'Macro &amp; Indexation'!AL$19*gross_yield,AK97*(1+'Macro &amp; Indexation'!AL$11)))</f>
        <v>43797.61639182848</v>
      </c>
      <c r="AM97" s="40">
        <f ca="1">IF(AM$6&lt;$B97,0,IF(AM$6=$B97,'Growth Engine'!AM$10*'Macro &amp; Indexation'!AM$19*gross_yield,AL97*(1+'Macro &amp; Indexation'!AM$11)))</f>
        <v>44892.556801624189</v>
      </c>
      <c r="AN97" s="40">
        <f ca="1">IF(AN$6&lt;$B97,0,IF(AN$6=$B97,'Growth Engine'!AN$10*'Macro &amp; Indexation'!AN$19*gross_yield,AM97*(1+'Macro &amp; Indexation'!AN$11)))</f>
        <v>46014.870721664789</v>
      </c>
      <c r="AO97" s="40">
        <f ca="1">IF(AO$6&lt;$B97,0,IF(AO$6=$B97,'Growth Engine'!AO$10*'Macro &amp; Indexation'!AO$19*gross_yield,AN97*(1+'Macro &amp; Indexation'!AO$11)))</f>
        <v>47165.242489706405</v>
      </c>
      <c r="AP97" s="40">
        <f ca="1">IF(AP$6&lt;$B97,0,IF(AP$6=$B97,'Growth Engine'!AP$10*'Macro &amp; Indexation'!AP$19*gross_yield,AO97*(1+'Macro &amp; Indexation'!AP$11)))</f>
        <v>48344.373551949058</v>
      </c>
      <c r="AQ97" s="40">
        <f ca="1">IF(AQ$6&lt;$B97,0,IF(AQ$6=$B97,'Growth Engine'!AQ$10*'Macro &amp; Indexation'!AQ$19*gross_yield,AP97*(1+'Macro &amp; Indexation'!AQ$11)))</f>
        <v>49552.982890747779</v>
      </c>
      <c r="AR97" s="40">
        <f ca="1">IF(AR$6&lt;$B97,0,IF(AR$6=$B97,'Growth Engine'!AR$10*'Macro &amp; Indexation'!AR$19*gross_yield,AQ97*(1+'Macro &amp; Indexation'!AR$11)))</f>
        <v>50791.80746301647</v>
      </c>
      <c r="AS97" s="40">
        <f ca="1">IF(AS$6&lt;$B97,0,IF(AS$6=$B97,'Growth Engine'!AS$10*'Macro &amp; Indexation'!AS$19*gross_yield,AR97*(1+'Macro &amp; Indexation'!AS$11)))</f>
        <v>52061.602649591878</v>
      </c>
      <c r="AT97" s="40">
        <f ca="1">IF(AT$6&lt;$B97,0,IF(AT$6=$B97,'Growth Engine'!AT$10*'Macro &amp; Indexation'!AT$19*gross_yield,AS97*(1+'Macro &amp; Indexation'!AT$11)))</f>
        <v>53363.142715831673</v>
      </c>
      <c r="AU97" s="40">
        <f ca="1">IF(AU$6&lt;$B97,0,IF(AU$6=$B97,'Growth Engine'!AU$10*'Macro &amp; Indexation'!AU$19*gross_yield,AT97*(1+'Macro &amp; Indexation'!AU$11)))</f>
        <v>54697.221283727456</v>
      </c>
      <c r="AV97" s="40">
        <f ca="1">IF(AV$6&lt;$B97,0,IF(AV$6=$B97,'Growth Engine'!AV$10*'Macro &amp; Indexation'!AV$19*gross_yield,AU97*(1+'Macro &amp; Indexation'!AV$11)))</f>
        <v>56064.651815820638</v>
      </c>
      <c r="AW97" s="40">
        <f ca="1">IF(AW$6&lt;$B97,0,IF(AW$6=$B97,'Growth Engine'!AW$10*'Macro &amp; Indexation'!AW$19*gross_yield,AV97*(1+'Macro &amp; Indexation'!AW$11)))</f>
        <v>57466.268111216152</v>
      </c>
      <c r="AX97" s="40">
        <f ca="1">IF(AX$6&lt;$B97,0,IF(AX$6=$B97,'Growth Engine'!AX$10*'Macro &amp; Indexation'!AX$19*gross_yield,AW97*(1+'Macro &amp; Indexation'!AX$11)))</f>
        <v>58902.924813996549</v>
      </c>
      <c r="AY97" s="40">
        <f ca="1">IF(AY$6&lt;$B97,0,IF(AY$6=$B97,'Growth Engine'!AY$10*'Macro &amp; Indexation'!AY$19*gross_yield,AX97*(1+'Macro &amp; Indexation'!AY$11)))</f>
        <v>60375.497934346458</v>
      </c>
      <c r="AZ97" s="40">
        <f ca="1">IF(AZ$6&lt;$B97,0,IF(AZ$6=$B97,'Growth Engine'!AZ$10*'Macro &amp; Indexation'!AZ$19*gross_yield,AY97*(1+'Macro &amp; Indexation'!AZ$11)))</f>
        <v>61884.885382705113</v>
      </c>
      <c r="BA97" s="40">
        <f ca="1">IF(BA$6&lt;$B97,0,IF(BA$6=$B97,'Growth Engine'!BA$10*'Macro &amp; Indexation'!BA$19*gross_yield,AZ97*(1+'Macro &amp; Indexation'!BA$11)))</f>
        <v>63432.007517272737</v>
      </c>
    </row>
    <row r="98" spans="1:53" outlineLevel="1" x14ac:dyDescent="0.3">
      <c r="A98" t="s">
        <v>169</v>
      </c>
      <c r="B98">
        <v>33</v>
      </c>
      <c r="D98" s="40">
        <f>IF(D$6&lt;$B98,0,IF(D$6=$B98,'Growth Engine'!D$10*'Macro &amp; Indexation'!D$19*gross_yield,C98*(1+'Macro &amp; Indexation'!D$11)))</f>
        <v>0</v>
      </c>
      <c r="E98" s="40">
        <f>IF(E$6&lt;$B98,0,IF(E$6=$B98,'Growth Engine'!E$10*'Macro &amp; Indexation'!E$19*gross_yield,D98*(1+'Macro &amp; Indexation'!E$11)))</f>
        <v>0</v>
      </c>
      <c r="F98" s="40">
        <f>IF(F$6&lt;$B98,0,IF(F$6=$B98,'Growth Engine'!F$10*'Macro &amp; Indexation'!F$19*gross_yield,E98*(1+'Macro &amp; Indexation'!F$11)))</f>
        <v>0</v>
      </c>
      <c r="G98" s="40">
        <f>IF(G$6&lt;$B98,0,IF(G$6=$B98,'Growth Engine'!G$10*'Macro &amp; Indexation'!G$19*gross_yield,F98*(1+'Macro &amp; Indexation'!G$11)))</f>
        <v>0</v>
      </c>
      <c r="H98" s="40">
        <f>IF(H$6&lt;$B98,0,IF(H$6=$B98,'Growth Engine'!H$10*'Macro &amp; Indexation'!H$19*gross_yield,G98*(1+'Macro &amp; Indexation'!H$11)))</f>
        <v>0</v>
      </c>
      <c r="I98" s="40">
        <f>IF(I$6&lt;$B98,0,IF(I$6=$B98,'Growth Engine'!I$10*'Macro &amp; Indexation'!I$19*gross_yield,H98*(1+'Macro &amp; Indexation'!I$11)))</f>
        <v>0</v>
      </c>
      <c r="J98" s="40">
        <f>IF(J$6&lt;$B98,0,IF(J$6=$B98,'Growth Engine'!J$10*'Macro &amp; Indexation'!J$19*gross_yield,I98*(1+'Macro &amp; Indexation'!J$11)))</f>
        <v>0</v>
      </c>
      <c r="K98" s="40">
        <f>IF(K$6&lt;$B98,0,IF(K$6=$B98,'Growth Engine'!K$10*'Macro &amp; Indexation'!K$19*gross_yield,J98*(1+'Macro &amp; Indexation'!K$11)))</f>
        <v>0</v>
      </c>
      <c r="L98" s="40">
        <f>IF(L$6&lt;$B98,0,IF(L$6=$B98,'Growth Engine'!L$10*'Macro &amp; Indexation'!L$19*gross_yield,K98*(1+'Macro &amp; Indexation'!L$11)))</f>
        <v>0</v>
      </c>
      <c r="M98" s="40">
        <f>IF(M$6&lt;$B98,0,IF(M$6=$B98,'Growth Engine'!M$10*'Macro &amp; Indexation'!M$19*gross_yield,L98*(1+'Macro &amp; Indexation'!M$11)))</f>
        <v>0</v>
      </c>
      <c r="N98" s="40">
        <f>IF(N$6&lt;$B98,0,IF(N$6=$B98,'Growth Engine'!N$10*'Macro &amp; Indexation'!N$19*gross_yield,M98*(1+'Macro &amp; Indexation'!N$11)))</f>
        <v>0</v>
      </c>
      <c r="O98" s="40">
        <f>IF(O$6&lt;$B98,0,IF(O$6=$B98,'Growth Engine'!O$10*'Macro &amp; Indexation'!O$19*gross_yield,N98*(1+'Macro &amp; Indexation'!O$11)))</f>
        <v>0</v>
      </c>
      <c r="P98" s="40">
        <f>IF(P$6&lt;$B98,0,IF(P$6=$B98,'Growth Engine'!P$10*'Macro &amp; Indexation'!P$19*gross_yield,O98*(1+'Macro &amp; Indexation'!P$11)))</f>
        <v>0</v>
      </c>
      <c r="Q98" s="40">
        <f>IF(Q$6&lt;$B98,0,IF(Q$6=$B98,'Growth Engine'!Q$10*'Macro &amp; Indexation'!Q$19*gross_yield,P98*(1+'Macro &amp; Indexation'!Q$11)))</f>
        <v>0</v>
      </c>
      <c r="R98" s="40">
        <f>IF(R$6&lt;$B98,0,IF(R$6=$B98,'Growth Engine'!R$10*'Macro &amp; Indexation'!R$19*gross_yield,Q98*(1+'Macro &amp; Indexation'!R$11)))</f>
        <v>0</v>
      </c>
      <c r="S98" s="40">
        <f>IF(S$6&lt;$B98,0,IF(S$6=$B98,'Growth Engine'!S$10*'Macro &amp; Indexation'!S$19*gross_yield,R98*(1+'Macro &amp; Indexation'!S$11)))</f>
        <v>0</v>
      </c>
      <c r="T98" s="40">
        <f>IF(T$6&lt;$B98,0,IF(T$6=$B98,'Growth Engine'!T$10*'Macro &amp; Indexation'!T$19*gross_yield,S98*(1+'Macro &amp; Indexation'!T$11)))</f>
        <v>0</v>
      </c>
      <c r="U98" s="40">
        <f>IF(U$6&lt;$B98,0,IF(U$6=$B98,'Growth Engine'!U$10*'Macro &amp; Indexation'!U$19*gross_yield,T98*(1+'Macro &amp; Indexation'!U$11)))</f>
        <v>0</v>
      </c>
      <c r="V98" s="40">
        <f>IF(V$6&lt;$B98,0,IF(V$6=$B98,'Growth Engine'!V$10*'Macro &amp; Indexation'!V$19*gross_yield,U98*(1+'Macro &amp; Indexation'!V$11)))</f>
        <v>0</v>
      </c>
      <c r="W98" s="40">
        <f>IF(W$6&lt;$B98,0,IF(W$6=$B98,'Growth Engine'!W$10*'Macro &amp; Indexation'!W$19*gross_yield,V98*(1+'Macro &amp; Indexation'!W$11)))</f>
        <v>0</v>
      </c>
      <c r="X98" s="40">
        <f>IF(X$6&lt;$B98,0,IF(X$6=$B98,'Growth Engine'!X$10*'Macro &amp; Indexation'!X$19*gross_yield,W98*(1+'Macro &amp; Indexation'!X$11)))</f>
        <v>0</v>
      </c>
      <c r="Y98" s="40">
        <f>IF(Y$6&lt;$B98,0,IF(Y$6=$B98,'Growth Engine'!Y$10*'Macro &amp; Indexation'!Y$19*gross_yield,X98*(1+'Macro &amp; Indexation'!Y$11)))</f>
        <v>0</v>
      </c>
      <c r="Z98" s="40">
        <f>IF(Z$6&lt;$B98,0,IF(Z$6=$B98,'Growth Engine'!Z$10*'Macro &amp; Indexation'!Z$19*gross_yield,Y98*(1+'Macro &amp; Indexation'!Z$11)))</f>
        <v>0</v>
      </c>
      <c r="AA98" s="40">
        <f>IF(AA$6&lt;$B98,0,IF(AA$6=$B98,'Growth Engine'!AA$10*'Macro &amp; Indexation'!AA$19*gross_yield,Z98*(1+'Macro &amp; Indexation'!AA$11)))</f>
        <v>0</v>
      </c>
      <c r="AB98" s="40">
        <f>IF(AB$6&lt;$B98,0,IF(AB$6=$B98,'Growth Engine'!AB$10*'Macro &amp; Indexation'!AB$19*gross_yield,AA98*(1+'Macro &amp; Indexation'!AB$11)))</f>
        <v>0</v>
      </c>
      <c r="AC98" s="40">
        <f>IF(AC$6&lt;$B98,0,IF(AC$6=$B98,'Growth Engine'!AC$10*'Macro &amp; Indexation'!AC$19*gross_yield,AB98*(1+'Macro &amp; Indexation'!AC$11)))</f>
        <v>0</v>
      </c>
      <c r="AD98" s="40">
        <f>IF(AD$6&lt;$B98,0,IF(AD$6=$B98,'Growth Engine'!AD$10*'Macro &amp; Indexation'!AD$19*gross_yield,AC98*(1+'Macro &amp; Indexation'!AD$11)))</f>
        <v>0</v>
      </c>
      <c r="AE98" s="40">
        <f>IF(AE$6&lt;$B98,0,IF(AE$6=$B98,'Growth Engine'!AE$10*'Macro &amp; Indexation'!AE$19*gross_yield,AD98*(1+'Macro &amp; Indexation'!AE$11)))</f>
        <v>0</v>
      </c>
      <c r="AF98" s="40">
        <f>IF(AF$6&lt;$B98,0,IF(AF$6=$B98,'Growth Engine'!AF$10*'Macro &amp; Indexation'!AF$19*gross_yield,AE98*(1+'Macro &amp; Indexation'!AF$11)))</f>
        <v>0</v>
      </c>
      <c r="AG98" s="40">
        <f>IF(AG$6&lt;$B98,0,IF(AG$6=$B98,'Growth Engine'!AG$10*'Macro &amp; Indexation'!AG$19*gross_yield,AF98*(1+'Macro &amp; Indexation'!AG$11)))</f>
        <v>0</v>
      </c>
      <c r="AH98" s="40">
        <f>IF(AH$6&lt;$B98,0,IF(AH$6=$B98,'Growth Engine'!AH$10*'Macro &amp; Indexation'!AH$19*gross_yield,AG98*(1+'Macro &amp; Indexation'!AH$11)))</f>
        <v>0</v>
      </c>
      <c r="AI98" s="40">
        <f>IF(AI$6&lt;$B98,0,IF(AI$6=$B98,'Growth Engine'!AI$10*'Macro &amp; Indexation'!AI$19*gross_yield,AH98*(1+'Macro &amp; Indexation'!AI$11)))</f>
        <v>0</v>
      </c>
      <c r="AJ98" s="40">
        <f ca="1">IF(AJ$6&lt;$B98,0,IF(AJ$6=$B98,'Growth Engine'!AJ$10*'Macro &amp; Indexation'!AJ$19*gross_yield,AI98*(1+'Macro &amp; Indexation'!AJ$11)))</f>
        <v>42093.906208480992</v>
      </c>
      <c r="AK98" s="40">
        <f ca="1">IF(AK$6&lt;$B98,0,IF(AK$6=$B98,'Growth Engine'!AK$10*'Macro &amp; Indexation'!AK$19*gross_yield,AJ98*(1+'Macro &amp; Indexation'!AK$11)))</f>
        <v>43146.253863693011</v>
      </c>
      <c r="AL98" s="40">
        <f ca="1">IF(AL$6&lt;$B98,0,IF(AL$6=$B98,'Growth Engine'!AL$10*'Macro &amp; Indexation'!AL$19*gross_yield,AK98*(1+'Macro &amp; Indexation'!AL$11)))</f>
        <v>44224.910210285336</v>
      </c>
      <c r="AM98" s="40">
        <f ca="1">IF(AM$6&lt;$B98,0,IF(AM$6=$B98,'Growth Engine'!AM$10*'Macro &amp; Indexation'!AM$19*gross_yield,AL98*(1+'Macro &amp; Indexation'!AM$11)))</f>
        <v>45330.532965542465</v>
      </c>
      <c r="AN98" s="40">
        <f ca="1">IF(AN$6&lt;$B98,0,IF(AN$6=$B98,'Growth Engine'!AN$10*'Macro &amp; Indexation'!AN$19*gross_yield,AM98*(1+'Macro &amp; Indexation'!AN$11)))</f>
        <v>46463.79628968102</v>
      </c>
      <c r="AO98" s="40">
        <f ca="1">IF(AO$6&lt;$B98,0,IF(AO$6=$B98,'Growth Engine'!AO$10*'Macro &amp; Indexation'!AO$19*gross_yield,AN98*(1+'Macro &amp; Indexation'!AO$11)))</f>
        <v>47625.391196923039</v>
      </c>
      <c r="AP98" s="40">
        <f ca="1">IF(AP$6&lt;$B98,0,IF(AP$6=$B98,'Growth Engine'!AP$10*'Macro &amp; Indexation'!AP$19*gross_yield,AO98*(1+'Macro &amp; Indexation'!AP$11)))</f>
        <v>48816.025976846111</v>
      </c>
      <c r="AQ98" s="40">
        <f ca="1">IF(AQ$6&lt;$B98,0,IF(AQ$6=$B98,'Growth Engine'!AQ$10*'Macro &amp; Indexation'!AQ$19*gross_yield,AP98*(1+'Macro &amp; Indexation'!AQ$11)))</f>
        <v>50036.426626267261</v>
      </c>
      <c r="AR98" s="40">
        <f ca="1">IF(AR$6&lt;$B98,0,IF(AR$6=$B98,'Growth Engine'!AR$10*'Macro &amp; Indexation'!AR$19*gross_yield,AQ98*(1+'Macro &amp; Indexation'!AR$11)))</f>
        <v>51287.337291923941</v>
      </c>
      <c r="AS98" s="40">
        <f ca="1">IF(AS$6&lt;$B98,0,IF(AS$6=$B98,'Growth Engine'!AS$10*'Macro &amp; Indexation'!AS$19*gross_yield,AR98*(1+'Macro &amp; Indexation'!AS$11)))</f>
        <v>52569.520724222035</v>
      </c>
      <c r="AT98" s="40">
        <f ca="1">IF(AT$6&lt;$B98,0,IF(AT$6=$B98,'Growth Engine'!AT$10*'Macro &amp; Indexation'!AT$19*gross_yield,AS98*(1+'Macro &amp; Indexation'!AT$11)))</f>
        <v>53883.758742327584</v>
      </c>
      <c r="AU98" s="40">
        <f ca="1">IF(AU$6&lt;$B98,0,IF(AU$6=$B98,'Growth Engine'!AU$10*'Macro &amp; Indexation'!AU$19*gross_yield,AT98*(1+'Macro &amp; Indexation'!AU$11)))</f>
        <v>55230.852710885767</v>
      </c>
      <c r="AV98" s="40">
        <f ca="1">IF(AV$6&lt;$B98,0,IF(AV$6=$B98,'Growth Engine'!AV$10*'Macro &amp; Indexation'!AV$19*gross_yield,AU98*(1+'Macro &amp; Indexation'!AV$11)))</f>
        <v>56611.624028657905</v>
      </c>
      <c r="AW98" s="40">
        <f ca="1">IF(AW$6&lt;$B98,0,IF(AW$6=$B98,'Growth Engine'!AW$10*'Macro &amp; Indexation'!AW$19*gross_yield,AV98*(1+'Macro &amp; Indexation'!AW$11)))</f>
        <v>58026.914629374347</v>
      </c>
      <c r="AX98" s="40">
        <f ca="1">IF(AX$6&lt;$B98,0,IF(AX$6=$B98,'Growth Engine'!AX$10*'Macro &amp; Indexation'!AX$19*gross_yield,AW98*(1+'Macro &amp; Indexation'!AX$11)))</f>
        <v>59477.587495108703</v>
      </c>
      <c r="AY98" s="40">
        <f ca="1">IF(AY$6&lt;$B98,0,IF(AY$6=$B98,'Growth Engine'!AY$10*'Macro &amp; Indexation'!AY$19*gross_yield,AX98*(1+'Macro &amp; Indexation'!AY$11)))</f>
        <v>60964.527182486418</v>
      </c>
      <c r="AZ98" s="40">
        <f ca="1">IF(AZ$6&lt;$B98,0,IF(AZ$6=$B98,'Growth Engine'!AZ$10*'Macro &amp; Indexation'!AZ$19*gross_yield,AY98*(1+'Macro &amp; Indexation'!AZ$11)))</f>
        <v>62488.640362048573</v>
      </c>
      <c r="BA98" s="40">
        <f ca="1">IF(BA$6&lt;$B98,0,IF(BA$6=$B98,'Growth Engine'!BA$10*'Macro &amp; Indexation'!BA$19*gross_yield,AZ98*(1+'Macro &amp; Indexation'!BA$11)))</f>
        <v>64050.856371099784</v>
      </c>
    </row>
    <row r="99" spans="1:53" outlineLevel="1" x14ac:dyDescent="0.3">
      <c r="A99" t="s">
        <v>170</v>
      </c>
      <c r="B99">
        <v>34</v>
      </c>
      <c r="D99" s="40">
        <f>IF(D$6&lt;$B99,0,IF(D$6=$B99,'Growth Engine'!D$10*'Macro &amp; Indexation'!D$19*gross_yield,C99*(1+'Macro &amp; Indexation'!D$11)))</f>
        <v>0</v>
      </c>
      <c r="E99" s="40">
        <f>IF(E$6&lt;$B99,0,IF(E$6=$B99,'Growth Engine'!E$10*'Macro &amp; Indexation'!E$19*gross_yield,D99*(1+'Macro &amp; Indexation'!E$11)))</f>
        <v>0</v>
      </c>
      <c r="F99" s="40">
        <f>IF(F$6&lt;$B99,0,IF(F$6=$B99,'Growth Engine'!F$10*'Macro &amp; Indexation'!F$19*gross_yield,E99*(1+'Macro &amp; Indexation'!F$11)))</f>
        <v>0</v>
      </c>
      <c r="G99" s="40">
        <f>IF(G$6&lt;$B99,0,IF(G$6=$B99,'Growth Engine'!G$10*'Macro &amp; Indexation'!G$19*gross_yield,F99*(1+'Macro &amp; Indexation'!G$11)))</f>
        <v>0</v>
      </c>
      <c r="H99" s="40">
        <f>IF(H$6&lt;$B99,0,IF(H$6=$B99,'Growth Engine'!H$10*'Macro &amp; Indexation'!H$19*gross_yield,G99*(1+'Macro &amp; Indexation'!H$11)))</f>
        <v>0</v>
      </c>
      <c r="I99" s="40">
        <f>IF(I$6&lt;$B99,0,IF(I$6=$B99,'Growth Engine'!I$10*'Macro &amp; Indexation'!I$19*gross_yield,H99*(1+'Macro &amp; Indexation'!I$11)))</f>
        <v>0</v>
      </c>
      <c r="J99" s="40">
        <f>IF(J$6&lt;$B99,0,IF(J$6=$B99,'Growth Engine'!J$10*'Macro &amp; Indexation'!J$19*gross_yield,I99*(1+'Macro &amp; Indexation'!J$11)))</f>
        <v>0</v>
      </c>
      <c r="K99" s="40">
        <f>IF(K$6&lt;$B99,0,IF(K$6=$B99,'Growth Engine'!K$10*'Macro &amp; Indexation'!K$19*gross_yield,J99*(1+'Macro &amp; Indexation'!K$11)))</f>
        <v>0</v>
      </c>
      <c r="L99" s="40">
        <f>IF(L$6&lt;$B99,0,IF(L$6=$B99,'Growth Engine'!L$10*'Macro &amp; Indexation'!L$19*gross_yield,K99*(1+'Macro &amp; Indexation'!L$11)))</f>
        <v>0</v>
      </c>
      <c r="M99" s="40">
        <f>IF(M$6&lt;$B99,0,IF(M$6=$B99,'Growth Engine'!M$10*'Macro &amp; Indexation'!M$19*gross_yield,L99*(1+'Macro &amp; Indexation'!M$11)))</f>
        <v>0</v>
      </c>
      <c r="N99" s="40">
        <f>IF(N$6&lt;$B99,0,IF(N$6=$B99,'Growth Engine'!N$10*'Macro &amp; Indexation'!N$19*gross_yield,M99*(1+'Macro &amp; Indexation'!N$11)))</f>
        <v>0</v>
      </c>
      <c r="O99" s="40">
        <f>IF(O$6&lt;$B99,0,IF(O$6=$B99,'Growth Engine'!O$10*'Macro &amp; Indexation'!O$19*gross_yield,N99*(1+'Macro &amp; Indexation'!O$11)))</f>
        <v>0</v>
      </c>
      <c r="P99" s="40">
        <f>IF(P$6&lt;$B99,0,IF(P$6=$B99,'Growth Engine'!P$10*'Macro &amp; Indexation'!P$19*gross_yield,O99*(1+'Macro &amp; Indexation'!P$11)))</f>
        <v>0</v>
      </c>
      <c r="Q99" s="40">
        <f>IF(Q$6&lt;$B99,0,IF(Q$6=$B99,'Growth Engine'!Q$10*'Macro &amp; Indexation'!Q$19*gross_yield,P99*(1+'Macro &amp; Indexation'!Q$11)))</f>
        <v>0</v>
      </c>
      <c r="R99" s="40">
        <f>IF(R$6&lt;$B99,0,IF(R$6=$B99,'Growth Engine'!R$10*'Macro &amp; Indexation'!R$19*gross_yield,Q99*(1+'Macro &amp; Indexation'!R$11)))</f>
        <v>0</v>
      </c>
      <c r="S99" s="40">
        <f>IF(S$6&lt;$B99,0,IF(S$6=$B99,'Growth Engine'!S$10*'Macro &amp; Indexation'!S$19*gross_yield,R99*(1+'Macro &amp; Indexation'!S$11)))</f>
        <v>0</v>
      </c>
      <c r="T99" s="40">
        <f>IF(T$6&lt;$B99,0,IF(T$6=$B99,'Growth Engine'!T$10*'Macro &amp; Indexation'!T$19*gross_yield,S99*(1+'Macro &amp; Indexation'!T$11)))</f>
        <v>0</v>
      </c>
      <c r="U99" s="40">
        <f>IF(U$6&lt;$B99,0,IF(U$6=$B99,'Growth Engine'!U$10*'Macro &amp; Indexation'!U$19*gross_yield,T99*(1+'Macro &amp; Indexation'!U$11)))</f>
        <v>0</v>
      </c>
      <c r="V99" s="40">
        <f>IF(V$6&lt;$B99,0,IF(V$6=$B99,'Growth Engine'!V$10*'Macro &amp; Indexation'!V$19*gross_yield,U99*(1+'Macro &amp; Indexation'!V$11)))</f>
        <v>0</v>
      </c>
      <c r="W99" s="40">
        <f>IF(W$6&lt;$B99,0,IF(W$6=$B99,'Growth Engine'!W$10*'Macro &amp; Indexation'!W$19*gross_yield,V99*(1+'Macro &amp; Indexation'!W$11)))</f>
        <v>0</v>
      </c>
      <c r="X99" s="40">
        <f>IF(X$6&lt;$B99,0,IF(X$6=$B99,'Growth Engine'!X$10*'Macro &amp; Indexation'!X$19*gross_yield,W99*(1+'Macro &amp; Indexation'!X$11)))</f>
        <v>0</v>
      </c>
      <c r="Y99" s="40">
        <f>IF(Y$6&lt;$B99,0,IF(Y$6=$B99,'Growth Engine'!Y$10*'Macro &amp; Indexation'!Y$19*gross_yield,X99*(1+'Macro &amp; Indexation'!Y$11)))</f>
        <v>0</v>
      </c>
      <c r="Z99" s="40">
        <f>IF(Z$6&lt;$B99,0,IF(Z$6=$B99,'Growth Engine'!Z$10*'Macro &amp; Indexation'!Z$19*gross_yield,Y99*(1+'Macro &amp; Indexation'!Z$11)))</f>
        <v>0</v>
      </c>
      <c r="AA99" s="40">
        <f>IF(AA$6&lt;$B99,0,IF(AA$6=$B99,'Growth Engine'!AA$10*'Macro &amp; Indexation'!AA$19*gross_yield,Z99*(1+'Macro &amp; Indexation'!AA$11)))</f>
        <v>0</v>
      </c>
      <c r="AB99" s="40">
        <f>IF(AB$6&lt;$B99,0,IF(AB$6=$B99,'Growth Engine'!AB$10*'Macro &amp; Indexation'!AB$19*gross_yield,AA99*(1+'Macro &amp; Indexation'!AB$11)))</f>
        <v>0</v>
      </c>
      <c r="AC99" s="40">
        <f>IF(AC$6&lt;$B99,0,IF(AC$6=$B99,'Growth Engine'!AC$10*'Macro &amp; Indexation'!AC$19*gross_yield,AB99*(1+'Macro &amp; Indexation'!AC$11)))</f>
        <v>0</v>
      </c>
      <c r="AD99" s="40">
        <f>IF(AD$6&lt;$B99,0,IF(AD$6=$B99,'Growth Engine'!AD$10*'Macro &amp; Indexation'!AD$19*gross_yield,AC99*(1+'Macro &amp; Indexation'!AD$11)))</f>
        <v>0</v>
      </c>
      <c r="AE99" s="40">
        <f>IF(AE$6&lt;$B99,0,IF(AE$6=$B99,'Growth Engine'!AE$10*'Macro &amp; Indexation'!AE$19*gross_yield,AD99*(1+'Macro &amp; Indexation'!AE$11)))</f>
        <v>0</v>
      </c>
      <c r="AF99" s="40">
        <f>IF(AF$6&lt;$B99,0,IF(AF$6=$B99,'Growth Engine'!AF$10*'Macro &amp; Indexation'!AF$19*gross_yield,AE99*(1+'Macro &amp; Indexation'!AF$11)))</f>
        <v>0</v>
      </c>
      <c r="AG99" s="40">
        <f>IF(AG$6&lt;$B99,0,IF(AG$6=$B99,'Growth Engine'!AG$10*'Macro &amp; Indexation'!AG$19*gross_yield,AF99*(1+'Macro &amp; Indexation'!AG$11)))</f>
        <v>0</v>
      </c>
      <c r="AH99" s="40">
        <f>IF(AH$6&lt;$B99,0,IF(AH$6=$B99,'Growth Engine'!AH$10*'Macro &amp; Indexation'!AH$19*gross_yield,AG99*(1+'Macro &amp; Indexation'!AH$11)))</f>
        <v>0</v>
      </c>
      <c r="AI99" s="40">
        <f>IF(AI$6&lt;$B99,0,IF(AI$6=$B99,'Growth Engine'!AI$10*'Macro &amp; Indexation'!AI$19*gross_yield,AH99*(1+'Macro &amp; Indexation'!AI$11)))</f>
        <v>0</v>
      </c>
      <c r="AJ99" s="40">
        <f>IF(AJ$6&lt;$B99,0,IF(AJ$6=$B99,'Growth Engine'!AJ$10*'Macro &amp; Indexation'!AJ$19*gross_yield,AI99*(1+'Macro &amp; Indexation'!AJ$11)))</f>
        <v>0</v>
      </c>
      <c r="AK99" s="40">
        <f ca="1">IF(AK$6&lt;$B99,0,IF(AK$6=$B99,'Growth Engine'!AK$10*'Macro &amp; Indexation'!AK$19*gross_yield,AJ99*(1+'Macro &amp; Indexation'!AK$11)))</f>
        <v>0</v>
      </c>
      <c r="AL99" s="40">
        <f ca="1">IF(AL$6&lt;$B99,0,IF(AL$6=$B99,'Growth Engine'!AL$10*'Macro &amp; Indexation'!AL$19*gross_yield,AK99*(1+'Macro &amp; Indexation'!AL$11)))</f>
        <v>0</v>
      </c>
      <c r="AM99" s="40">
        <f ca="1">IF(AM$6&lt;$B99,0,IF(AM$6=$B99,'Growth Engine'!AM$10*'Macro &amp; Indexation'!AM$19*gross_yield,AL99*(1+'Macro &amp; Indexation'!AM$11)))</f>
        <v>0</v>
      </c>
      <c r="AN99" s="40">
        <f ca="1">IF(AN$6&lt;$B99,0,IF(AN$6=$B99,'Growth Engine'!AN$10*'Macro &amp; Indexation'!AN$19*gross_yield,AM99*(1+'Macro &amp; Indexation'!AN$11)))</f>
        <v>0</v>
      </c>
      <c r="AO99" s="40">
        <f ca="1">IF(AO$6&lt;$B99,0,IF(AO$6=$B99,'Growth Engine'!AO$10*'Macro &amp; Indexation'!AO$19*gross_yield,AN99*(1+'Macro &amp; Indexation'!AO$11)))</f>
        <v>0</v>
      </c>
      <c r="AP99" s="40">
        <f ca="1">IF(AP$6&lt;$B99,0,IF(AP$6=$B99,'Growth Engine'!AP$10*'Macro &amp; Indexation'!AP$19*gross_yield,AO99*(1+'Macro &amp; Indexation'!AP$11)))</f>
        <v>0</v>
      </c>
      <c r="AQ99" s="40">
        <f ca="1">IF(AQ$6&lt;$B99,0,IF(AQ$6=$B99,'Growth Engine'!AQ$10*'Macro &amp; Indexation'!AQ$19*gross_yield,AP99*(1+'Macro &amp; Indexation'!AQ$11)))</f>
        <v>0</v>
      </c>
      <c r="AR99" s="40">
        <f ca="1">IF(AR$6&lt;$B99,0,IF(AR$6=$B99,'Growth Engine'!AR$10*'Macro &amp; Indexation'!AR$19*gross_yield,AQ99*(1+'Macro &amp; Indexation'!AR$11)))</f>
        <v>0</v>
      </c>
      <c r="AS99" s="40">
        <f ca="1">IF(AS$6&lt;$B99,0,IF(AS$6=$B99,'Growth Engine'!AS$10*'Macro &amp; Indexation'!AS$19*gross_yield,AR99*(1+'Macro &amp; Indexation'!AS$11)))</f>
        <v>0</v>
      </c>
      <c r="AT99" s="40">
        <f ca="1">IF(AT$6&lt;$B99,0,IF(AT$6=$B99,'Growth Engine'!AT$10*'Macro &amp; Indexation'!AT$19*gross_yield,AS99*(1+'Macro &amp; Indexation'!AT$11)))</f>
        <v>0</v>
      </c>
      <c r="AU99" s="40">
        <f ca="1">IF(AU$6&lt;$B99,0,IF(AU$6=$B99,'Growth Engine'!AU$10*'Macro &amp; Indexation'!AU$19*gross_yield,AT99*(1+'Macro &amp; Indexation'!AU$11)))</f>
        <v>0</v>
      </c>
      <c r="AV99" s="40">
        <f ca="1">IF(AV$6&lt;$B99,0,IF(AV$6=$B99,'Growth Engine'!AV$10*'Macro &amp; Indexation'!AV$19*gross_yield,AU99*(1+'Macro &amp; Indexation'!AV$11)))</f>
        <v>0</v>
      </c>
      <c r="AW99" s="40">
        <f ca="1">IF(AW$6&lt;$B99,0,IF(AW$6=$B99,'Growth Engine'!AW$10*'Macro &amp; Indexation'!AW$19*gross_yield,AV99*(1+'Macro &amp; Indexation'!AW$11)))</f>
        <v>0</v>
      </c>
      <c r="AX99" s="40">
        <f ca="1">IF(AX$6&lt;$B99,0,IF(AX$6=$B99,'Growth Engine'!AX$10*'Macro &amp; Indexation'!AX$19*gross_yield,AW99*(1+'Macro &amp; Indexation'!AX$11)))</f>
        <v>0</v>
      </c>
      <c r="AY99" s="40">
        <f ca="1">IF(AY$6&lt;$B99,0,IF(AY$6=$B99,'Growth Engine'!AY$10*'Macro &amp; Indexation'!AY$19*gross_yield,AX99*(1+'Macro &amp; Indexation'!AY$11)))</f>
        <v>0</v>
      </c>
      <c r="AZ99" s="40">
        <f ca="1">IF(AZ$6&lt;$B99,0,IF(AZ$6=$B99,'Growth Engine'!AZ$10*'Macro &amp; Indexation'!AZ$19*gross_yield,AY99*(1+'Macro &amp; Indexation'!AZ$11)))</f>
        <v>0</v>
      </c>
      <c r="BA99" s="40">
        <f ca="1">IF(BA$6&lt;$B99,0,IF(BA$6=$B99,'Growth Engine'!BA$10*'Macro &amp; Indexation'!BA$19*gross_yield,AZ99*(1+'Macro &amp; Indexation'!BA$11)))</f>
        <v>0</v>
      </c>
    </row>
    <row r="100" spans="1:53" outlineLevel="1" x14ac:dyDescent="0.3">
      <c r="A100" t="s">
        <v>171</v>
      </c>
      <c r="B100">
        <v>35</v>
      </c>
      <c r="D100" s="40">
        <f>IF(D$6&lt;$B100,0,IF(D$6=$B100,'Growth Engine'!D$10*'Macro &amp; Indexation'!D$19*gross_yield,C100*(1+'Macro &amp; Indexation'!D$11)))</f>
        <v>0</v>
      </c>
      <c r="E100" s="40">
        <f>IF(E$6&lt;$B100,0,IF(E$6=$B100,'Growth Engine'!E$10*'Macro &amp; Indexation'!E$19*gross_yield,D100*(1+'Macro &amp; Indexation'!E$11)))</f>
        <v>0</v>
      </c>
      <c r="F100" s="40">
        <f>IF(F$6&lt;$B100,0,IF(F$6=$B100,'Growth Engine'!F$10*'Macro &amp; Indexation'!F$19*gross_yield,E100*(1+'Macro &amp; Indexation'!F$11)))</f>
        <v>0</v>
      </c>
      <c r="G100" s="40">
        <f>IF(G$6&lt;$B100,0,IF(G$6=$B100,'Growth Engine'!G$10*'Macro &amp; Indexation'!G$19*gross_yield,F100*(1+'Macro &amp; Indexation'!G$11)))</f>
        <v>0</v>
      </c>
      <c r="H100" s="40">
        <f>IF(H$6&lt;$B100,0,IF(H$6=$B100,'Growth Engine'!H$10*'Macro &amp; Indexation'!H$19*gross_yield,G100*(1+'Macro &amp; Indexation'!H$11)))</f>
        <v>0</v>
      </c>
      <c r="I100" s="40">
        <f>IF(I$6&lt;$B100,0,IF(I$6=$B100,'Growth Engine'!I$10*'Macro &amp; Indexation'!I$19*gross_yield,H100*(1+'Macro &amp; Indexation'!I$11)))</f>
        <v>0</v>
      </c>
      <c r="J100" s="40">
        <f>IF(J$6&lt;$B100,0,IF(J$6=$B100,'Growth Engine'!J$10*'Macro &amp; Indexation'!J$19*gross_yield,I100*(1+'Macro &amp; Indexation'!J$11)))</f>
        <v>0</v>
      </c>
      <c r="K100" s="40">
        <f>IF(K$6&lt;$B100,0,IF(K$6=$B100,'Growth Engine'!K$10*'Macro &amp; Indexation'!K$19*gross_yield,J100*(1+'Macro &amp; Indexation'!K$11)))</f>
        <v>0</v>
      </c>
      <c r="L100" s="40">
        <f>IF(L$6&lt;$B100,0,IF(L$6=$B100,'Growth Engine'!L$10*'Macro &amp; Indexation'!L$19*gross_yield,K100*(1+'Macro &amp; Indexation'!L$11)))</f>
        <v>0</v>
      </c>
      <c r="M100" s="40">
        <f>IF(M$6&lt;$B100,0,IF(M$6=$B100,'Growth Engine'!M$10*'Macro &amp; Indexation'!M$19*gross_yield,L100*(1+'Macro &amp; Indexation'!M$11)))</f>
        <v>0</v>
      </c>
      <c r="N100" s="40">
        <f>IF(N$6&lt;$B100,0,IF(N$6=$B100,'Growth Engine'!N$10*'Macro &amp; Indexation'!N$19*gross_yield,M100*(1+'Macro &amp; Indexation'!N$11)))</f>
        <v>0</v>
      </c>
      <c r="O100" s="40">
        <f>IF(O$6&lt;$B100,0,IF(O$6=$B100,'Growth Engine'!O$10*'Macro &amp; Indexation'!O$19*gross_yield,N100*(1+'Macro &amp; Indexation'!O$11)))</f>
        <v>0</v>
      </c>
      <c r="P100" s="40">
        <f>IF(P$6&lt;$B100,0,IF(P$6=$B100,'Growth Engine'!P$10*'Macro &amp; Indexation'!P$19*gross_yield,O100*(1+'Macro &amp; Indexation'!P$11)))</f>
        <v>0</v>
      </c>
      <c r="Q100" s="40">
        <f>IF(Q$6&lt;$B100,0,IF(Q$6=$B100,'Growth Engine'!Q$10*'Macro &amp; Indexation'!Q$19*gross_yield,P100*(1+'Macro &amp; Indexation'!Q$11)))</f>
        <v>0</v>
      </c>
      <c r="R100" s="40">
        <f>IF(R$6&lt;$B100,0,IF(R$6=$B100,'Growth Engine'!R$10*'Macro &amp; Indexation'!R$19*gross_yield,Q100*(1+'Macro &amp; Indexation'!R$11)))</f>
        <v>0</v>
      </c>
      <c r="S100" s="40">
        <f>IF(S$6&lt;$B100,0,IF(S$6=$B100,'Growth Engine'!S$10*'Macro &amp; Indexation'!S$19*gross_yield,R100*(1+'Macro &amp; Indexation'!S$11)))</f>
        <v>0</v>
      </c>
      <c r="T100" s="40">
        <f>IF(T$6&lt;$B100,0,IF(T$6=$B100,'Growth Engine'!T$10*'Macro &amp; Indexation'!T$19*gross_yield,S100*(1+'Macro &amp; Indexation'!T$11)))</f>
        <v>0</v>
      </c>
      <c r="U100" s="40">
        <f>IF(U$6&lt;$B100,0,IF(U$6=$B100,'Growth Engine'!U$10*'Macro &amp; Indexation'!U$19*gross_yield,T100*(1+'Macro &amp; Indexation'!U$11)))</f>
        <v>0</v>
      </c>
      <c r="V100" s="40">
        <f>IF(V$6&lt;$B100,0,IF(V$6=$B100,'Growth Engine'!V$10*'Macro &amp; Indexation'!V$19*gross_yield,U100*(1+'Macro &amp; Indexation'!V$11)))</f>
        <v>0</v>
      </c>
      <c r="W100" s="40">
        <f>IF(W$6&lt;$B100,0,IF(W$6=$B100,'Growth Engine'!W$10*'Macro &amp; Indexation'!W$19*gross_yield,V100*(1+'Macro &amp; Indexation'!W$11)))</f>
        <v>0</v>
      </c>
      <c r="X100" s="40">
        <f>IF(X$6&lt;$B100,0,IF(X$6=$B100,'Growth Engine'!X$10*'Macro &amp; Indexation'!X$19*gross_yield,W100*(1+'Macro &amp; Indexation'!X$11)))</f>
        <v>0</v>
      </c>
      <c r="Y100" s="40">
        <f>IF(Y$6&lt;$B100,0,IF(Y$6=$B100,'Growth Engine'!Y$10*'Macro &amp; Indexation'!Y$19*gross_yield,X100*(1+'Macro &amp; Indexation'!Y$11)))</f>
        <v>0</v>
      </c>
      <c r="Z100" s="40">
        <f>IF(Z$6&lt;$B100,0,IF(Z$6=$B100,'Growth Engine'!Z$10*'Macro &amp; Indexation'!Z$19*gross_yield,Y100*(1+'Macro &amp; Indexation'!Z$11)))</f>
        <v>0</v>
      </c>
      <c r="AA100" s="40">
        <f>IF(AA$6&lt;$B100,0,IF(AA$6=$B100,'Growth Engine'!AA$10*'Macro &amp; Indexation'!AA$19*gross_yield,Z100*(1+'Macro &amp; Indexation'!AA$11)))</f>
        <v>0</v>
      </c>
      <c r="AB100" s="40">
        <f>IF(AB$6&lt;$B100,0,IF(AB$6=$B100,'Growth Engine'!AB$10*'Macro &amp; Indexation'!AB$19*gross_yield,AA100*(1+'Macro &amp; Indexation'!AB$11)))</f>
        <v>0</v>
      </c>
      <c r="AC100" s="40">
        <f>IF(AC$6&lt;$B100,0,IF(AC$6=$B100,'Growth Engine'!AC$10*'Macro &amp; Indexation'!AC$19*gross_yield,AB100*(1+'Macro &amp; Indexation'!AC$11)))</f>
        <v>0</v>
      </c>
      <c r="AD100" s="40">
        <f>IF(AD$6&lt;$B100,0,IF(AD$6=$B100,'Growth Engine'!AD$10*'Macro &amp; Indexation'!AD$19*gross_yield,AC100*(1+'Macro &amp; Indexation'!AD$11)))</f>
        <v>0</v>
      </c>
      <c r="AE100" s="40">
        <f>IF(AE$6&lt;$B100,0,IF(AE$6=$B100,'Growth Engine'!AE$10*'Macro &amp; Indexation'!AE$19*gross_yield,AD100*(1+'Macro &amp; Indexation'!AE$11)))</f>
        <v>0</v>
      </c>
      <c r="AF100" s="40">
        <f>IF(AF$6&lt;$B100,0,IF(AF$6=$B100,'Growth Engine'!AF$10*'Macro &amp; Indexation'!AF$19*gross_yield,AE100*(1+'Macro &amp; Indexation'!AF$11)))</f>
        <v>0</v>
      </c>
      <c r="AG100" s="40">
        <f>IF(AG$6&lt;$B100,0,IF(AG$6=$B100,'Growth Engine'!AG$10*'Macro &amp; Indexation'!AG$19*gross_yield,AF100*(1+'Macro &amp; Indexation'!AG$11)))</f>
        <v>0</v>
      </c>
      <c r="AH100" s="40">
        <f>IF(AH$6&lt;$B100,0,IF(AH$6=$B100,'Growth Engine'!AH$10*'Macro &amp; Indexation'!AH$19*gross_yield,AG100*(1+'Macro &amp; Indexation'!AH$11)))</f>
        <v>0</v>
      </c>
      <c r="AI100" s="40">
        <f>IF(AI$6&lt;$B100,0,IF(AI$6=$B100,'Growth Engine'!AI$10*'Macro &amp; Indexation'!AI$19*gross_yield,AH100*(1+'Macro &amp; Indexation'!AI$11)))</f>
        <v>0</v>
      </c>
      <c r="AJ100" s="40">
        <f>IF(AJ$6&lt;$B100,0,IF(AJ$6=$B100,'Growth Engine'!AJ$10*'Macro &amp; Indexation'!AJ$19*gross_yield,AI100*(1+'Macro &amp; Indexation'!AJ$11)))</f>
        <v>0</v>
      </c>
      <c r="AK100" s="40">
        <f>IF(AK$6&lt;$B100,0,IF(AK$6=$B100,'Growth Engine'!AK$10*'Macro &amp; Indexation'!AK$19*gross_yield,AJ100*(1+'Macro &amp; Indexation'!AK$11)))</f>
        <v>0</v>
      </c>
      <c r="AL100" s="40">
        <f ca="1">IF(AL$6&lt;$B100,0,IF(AL$6=$B100,'Growth Engine'!AL$10*'Macro &amp; Indexation'!AL$19*gross_yield,AK100*(1+'Macro &amp; Indexation'!AL$11)))</f>
        <v>45092.044678180042</v>
      </c>
      <c r="AM100" s="40">
        <f ca="1">IF(AM$6&lt;$B100,0,IF(AM$6=$B100,'Growth Engine'!AM$10*'Macro &amp; Indexation'!AM$19*gross_yield,AL100*(1+'Macro &amp; Indexation'!AM$11)))</f>
        <v>46219.345795134541</v>
      </c>
      <c r="AN100" s="40">
        <f ca="1">IF(AN$6&lt;$B100,0,IF(AN$6=$B100,'Growth Engine'!AN$10*'Macro &amp; Indexation'!AN$19*gross_yield,AM100*(1+'Macro &amp; Indexation'!AN$11)))</f>
        <v>47374.829440012902</v>
      </c>
      <c r="AO100" s="40">
        <f ca="1">IF(AO$6&lt;$B100,0,IF(AO$6=$B100,'Growth Engine'!AO$10*'Macro &amp; Indexation'!AO$19*gross_yield,AN100*(1+'Macro &amp; Indexation'!AO$11)))</f>
        <v>48559.200176013219</v>
      </c>
      <c r="AP100" s="40">
        <f ca="1">IF(AP$6&lt;$B100,0,IF(AP$6=$B100,'Growth Engine'!AP$10*'Macro &amp; Indexation'!AP$19*gross_yield,AO100*(1+'Macro &amp; Indexation'!AP$11)))</f>
        <v>49773.180180413547</v>
      </c>
      <c r="AQ100" s="40">
        <f ca="1">IF(AQ$6&lt;$B100,0,IF(AQ$6=$B100,'Growth Engine'!AQ$10*'Macro &amp; Indexation'!AQ$19*gross_yield,AP100*(1+'Macro &amp; Indexation'!AQ$11)))</f>
        <v>51017.509684923883</v>
      </c>
      <c r="AR100" s="40">
        <f ca="1">IF(AR$6&lt;$B100,0,IF(AR$6=$B100,'Growth Engine'!AR$10*'Macro &amp; Indexation'!AR$19*gross_yield,AQ100*(1+'Macro &amp; Indexation'!AR$11)))</f>
        <v>52292.947427046973</v>
      </c>
      <c r="AS100" s="40">
        <f ca="1">IF(AS$6&lt;$B100,0,IF(AS$6=$B100,'Growth Engine'!AS$10*'Macro &amp; Indexation'!AS$19*gross_yield,AR100*(1+'Macro &amp; Indexation'!AS$11)))</f>
        <v>53600.271112723145</v>
      </c>
      <c r="AT100" s="40">
        <f ca="1">IF(AT$6&lt;$B100,0,IF(AT$6=$B100,'Growth Engine'!AT$10*'Macro &amp; Indexation'!AT$19*gross_yield,AS100*(1+'Macro &amp; Indexation'!AT$11)))</f>
        <v>54940.27789054122</v>
      </c>
      <c r="AU100" s="40">
        <f ca="1">IF(AU$6&lt;$B100,0,IF(AU$6=$B100,'Growth Engine'!AU$10*'Macro &amp; Indexation'!AU$19*gross_yield,AT100*(1+'Macro &amp; Indexation'!AU$11)))</f>
        <v>56313.784837804742</v>
      </c>
      <c r="AV100" s="40">
        <f ca="1">IF(AV$6&lt;$B100,0,IF(AV$6=$B100,'Growth Engine'!AV$10*'Macro &amp; Indexation'!AV$19*gross_yield,AU100*(1+'Macro &amp; Indexation'!AV$11)))</f>
        <v>57721.629458749856</v>
      </c>
      <c r="AW100" s="40">
        <f ca="1">IF(AW$6&lt;$B100,0,IF(AW$6=$B100,'Growth Engine'!AW$10*'Macro &amp; Indexation'!AW$19*gross_yield,AV100*(1+'Macro &amp; Indexation'!AW$11)))</f>
        <v>59164.670195218598</v>
      </c>
      <c r="AX100" s="40">
        <f ca="1">IF(AX$6&lt;$B100,0,IF(AX$6=$B100,'Growth Engine'!AX$10*'Macro &amp; Indexation'!AX$19*gross_yield,AW100*(1+'Macro &amp; Indexation'!AX$11)))</f>
        <v>60643.786950099056</v>
      </c>
      <c r="AY100" s="40">
        <f ca="1">IF(AY$6&lt;$B100,0,IF(AY$6=$B100,'Growth Engine'!AY$10*'Macro &amp; Indexation'!AY$19*gross_yield,AX100*(1+'Macro &amp; Indexation'!AY$11)))</f>
        <v>62159.881623851528</v>
      </c>
      <c r="AZ100" s="40">
        <f ca="1">IF(AZ$6&lt;$B100,0,IF(AZ$6=$B100,'Growth Engine'!AZ$10*'Macro &amp; Indexation'!AZ$19*gross_yield,AY100*(1+'Macro &amp; Indexation'!AZ$11)))</f>
        <v>63713.87866444781</v>
      </c>
      <c r="BA100" s="40">
        <f ca="1">IF(BA$6&lt;$B100,0,IF(BA$6=$B100,'Growth Engine'!BA$10*'Macro &amp; Indexation'!BA$19*gross_yield,AZ100*(1+'Macro &amp; Indexation'!BA$11)))</f>
        <v>65306.725631059002</v>
      </c>
    </row>
    <row r="101" spans="1:53" outlineLevel="1" x14ac:dyDescent="0.3">
      <c r="A101" t="s">
        <v>172</v>
      </c>
      <c r="B101">
        <v>36</v>
      </c>
      <c r="D101" s="40">
        <f>IF(D$6&lt;$B101,0,IF(D$6=$B101,'Growth Engine'!D$10*'Macro &amp; Indexation'!D$19*gross_yield,C101*(1+'Macro &amp; Indexation'!D$11)))</f>
        <v>0</v>
      </c>
      <c r="E101" s="40">
        <f>IF(E$6&lt;$B101,0,IF(E$6=$B101,'Growth Engine'!E$10*'Macro &amp; Indexation'!E$19*gross_yield,D101*(1+'Macro &amp; Indexation'!E$11)))</f>
        <v>0</v>
      </c>
      <c r="F101" s="40">
        <f>IF(F$6&lt;$B101,0,IF(F$6=$B101,'Growth Engine'!F$10*'Macro &amp; Indexation'!F$19*gross_yield,E101*(1+'Macro &amp; Indexation'!F$11)))</f>
        <v>0</v>
      </c>
      <c r="G101" s="40">
        <f>IF(G$6&lt;$B101,0,IF(G$6=$B101,'Growth Engine'!G$10*'Macro &amp; Indexation'!G$19*gross_yield,F101*(1+'Macro &amp; Indexation'!G$11)))</f>
        <v>0</v>
      </c>
      <c r="H101" s="40">
        <f>IF(H$6&lt;$B101,0,IF(H$6=$B101,'Growth Engine'!H$10*'Macro &amp; Indexation'!H$19*gross_yield,G101*(1+'Macro &amp; Indexation'!H$11)))</f>
        <v>0</v>
      </c>
      <c r="I101" s="40">
        <f>IF(I$6&lt;$B101,0,IF(I$6=$B101,'Growth Engine'!I$10*'Macro &amp; Indexation'!I$19*gross_yield,H101*(1+'Macro &amp; Indexation'!I$11)))</f>
        <v>0</v>
      </c>
      <c r="J101" s="40">
        <f>IF(J$6&lt;$B101,0,IF(J$6=$B101,'Growth Engine'!J$10*'Macro &amp; Indexation'!J$19*gross_yield,I101*(1+'Macro &amp; Indexation'!J$11)))</f>
        <v>0</v>
      </c>
      <c r="K101" s="40">
        <f>IF(K$6&lt;$B101,0,IF(K$6=$B101,'Growth Engine'!K$10*'Macro &amp; Indexation'!K$19*gross_yield,J101*(1+'Macro &amp; Indexation'!K$11)))</f>
        <v>0</v>
      </c>
      <c r="L101" s="40">
        <f>IF(L$6&lt;$B101,0,IF(L$6=$B101,'Growth Engine'!L$10*'Macro &amp; Indexation'!L$19*gross_yield,K101*(1+'Macro &amp; Indexation'!L$11)))</f>
        <v>0</v>
      </c>
      <c r="M101" s="40">
        <f>IF(M$6&lt;$B101,0,IF(M$6=$B101,'Growth Engine'!M$10*'Macro &amp; Indexation'!M$19*gross_yield,L101*(1+'Macro &amp; Indexation'!M$11)))</f>
        <v>0</v>
      </c>
      <c r="N101" s="40">
        <f>IF(N$6&lt;$B101,0,IF(N$6=$B101,'Growth Engine'!N$10*'Macro &amp; Indexation'!N$19*gross_yield,M101*(1+'Macro &amp; Indexation'!N$11)))</f>
        <v>0</v>
      </c>
      <c r="O101" s="40">
        <f>IF(O$6&lt;$B101,0,IF(O$6=$B101,'Growth Engine'!O$10*'Macro &amp; Indexation'!O$19*gross_yield,N101*(1+'Macro &amp; Indexation'!O$11)))</f>
        <v>0</v>
      </c>
      <c r="P101" s="40">
        <f>IF(P$6&lt;$B101,0,IF(P$6=$B101,'Growth Engine'!P$10*'Macro &amp; Indexation'!P$19*gross_yield,O101*(1+'Macro &amp; Indexation'!P$11)))</f>
        <v>0</v>
      </c>
      <c r="Q101" s="40">
        <f>IF(Q$6&lt;$B101,0,IF(Q$6=$B101,'Growth Engine'!Q$10*'Macro &amp; Indexation'!Q$19*gross_yield,P101*(1+'Macro &amp; Indexation'!Q$11)))</f>
        <v>0</v>
      </c>
      <c r="R101" s="40">
        <f>IF(R$6&lt;$B101,0,IF(R$6=$B101,'Growth Engine'!R$10*'Macro &amp; Indexation'!R$19*gross_yield,Q101*(1+'Macro &amp; Indexation'!R$11)))</f>
        <v>0</v>
      </c>
      <c r="S101" s="40">
        <f>IF(S$6&lt;$B101,0,IF(S$6=$B101,'Growth Engine'!S$10*'Macro &amp; Indexation'!S$19*gross_yield,R101*(1+'Macro &amp; Indexation'!S$11)))</f>
        <v>0</v>
      </c>
      <c r="T101" s="40">
        <f>IF(T$6&lt;$B101,0,IF(T$6=$B101,'Growth Engine'!T$10*'Macro &amp; Indexation'!T$19*gross_yield,S101*(1+'Macro &amp; Indexation'!T$11)))</f>
        <v>0</v>
      </c>
      <c r="U101" s="40">
        <f>IF(U$6&lt;$B101,0,IF(U$6=$B101,'Growth Engine'!U$10*'Macro &amp; Indexation'!U$19*gross_yield,T101*(1+'Macro &amp; Indexation'!U$11)))</f>
        <v>0</v>
      </c>
      <c r="V101" s="40">
        <f>IF(V$6&lt;$B101,0,IF(V$6=$B101,'Growth Engine'!V$10*'Macro &amp; Indexation'!V$19*gross_yield,U101*(1+'Macro &amp; Indexation'!V$11)))</f>
        <v>0</v>
      </c>
      <c r="W101" s="40">
        <f>IF(W$6&lt;$B101,0,IF(W$6=$B101,'Growth Engine'!W$10*'Macro &amp; Indexation'!W$19*gross_yield,V101*(1+'Macro &amp; Indexation'!W$11)))</f>
        <v>0</v>
      </c>
      <c r="X101" s="40">
        <f>IF(X$6&lt;$B101,0,IF(X$6=$B101,'Growth Engine'!X$10*'Macro &amp; Indexation'!X$19*gross_yield,W101*(1+'Macro &amp; Indexation'!X$11)))</f>
        <v>0</v>
      </c>
      <c r="Y101" s="40">
        <f>IF(Y$6&lt;$B101,0,IF(Y$6=$B101,'Growth Engine'!Y$10*'Macro &amp; Indexation'!Y$19*gross_yield,X101*(1+'Macro &amp; Indexation'!Y$11)))</f>
        <v>0</v>
      </c>
      <c r="Z101" s="40">
        <f>IF(Z$6&lt;$B101,0,IF(Z$6=$B101,'Growth Engine'!Z$10*'Macro &amp; Indexation'!Z$19*gross_yield,Y101*(1+'Macro &amp; Indexation'!Z$11)))</f>
        <v>0</v>
      </c>
      <c r="AA101" s="40">
        <f>IF(AA$6&lt;$B101,0,IF(AA$6=$B101,'Growth Engine'!AA$10*'Macro &amp; Indexation'!AA$19*gross_yield,Z101*(1+'Macro &amp; Indexation'!AA$11)))</f>
        <v>0</v>
      </c>
      <c r="AB101" s="40">
        <f>IF(AB$6&lt;$B101,0,IF(AB$6=$B101,'Growth Engine'!AB$10*'Macro &amp; Indexation'!AB$19*gross_yield,AA101*(1+'Macro &amp; Indexation'!AB$11)))</f>
        <v>0</v>
      </c>
      <c r="AC101" s="40">
        <f>IF(AC$6&lt;$B101,0,IF(AC$6=$B101,'Growth Engine'!AC$10*'Macro &amp; Indexation'!AC$19*gross_yield,AB101*(1+'Macro &amp; Indexation'!AC$11)))</f>
        <v>0</v>
      </c>
      <c r="AD101" s="40">
        <f>IF(AD$6&lt;$B101,0,IF(AD$6=$B101,'Growth Engine'!AD$10*'Macro &amp; Indexation'!AD$19*gross_yield,AC101*(1+'Macro &amp; Indexation'!AD$11)))</f>
        <v>0</v>
      </c>
      <c r="AE101" s="40">
        <f>IF(AE$6&lt;$B101,0,IF(AE$6=$B101,'Growth Engine'!AE$10*'Macro &amp; Indexation'!AE$19*gross_yield,AD101*(1+'Macro &amp; Indexation'!AE$11)))</f>
        <v>0</v>
      </c>
      <c r="AF101" s="40">
        <f>IF(AF$6&lt;$B101,0,IF(AF$6=$B101,'Growth Engine'!AF$10*'Macro &amp; Indexation'!AF$19*gross_yield,AE101*(1+'Macro &amp; Indexation'!AF$11)))</f>
        <v>0</v>
      </c>
      <c r="AG101" s="40">
        <f>IF(AG$6&lt;$B101,0,IF(AG$6=$B101,'Growth Engine'!AG$10*'Macro &amp; Indexation'!AG$19*gross_yield,AF101*(1+'Macro &amp; Indexation'!AG$11)))</f>
        <v>0</v>
      </c>
      <c r="AH101" s="40">
        <f>IF(AH$6&lt;$B101,0,IF(AH$6=$B101,'Growth Engine'!AH$10*'Macro &amp; Indexation'!AH$19*gross_yield,AG101*(1+'Macro &amp; Indexation'!AH$11)))</f>
        <v>0</v>
      </c>
      <c r="AI101" s="40">
        <f>IF(AI$6&lt;$B101,0,IF(AI$6=$B101,'Growth Engine'!AI$10*'Macro &amp; Indexation'!AI$19*gross_yield,AH101*(1+'Macro &amp; Indexation'!AI$11)))</f>
        <v>0</v>
      </c>
      <c r="AJ101" s="40">
        <f>IF(AJ$6&lt;$B101,0,IF(AJ$6=$B101,'Growth Engine'!AJ$10*'Macro &amp; Indexation'!AJ$19*gross_yield,AI101*(1+'Macro &amp; Indexation'!AJ$11)))</f>
        <v>0</v>
      </c>
      <c r="AK101" s="40">
        <f>IF(AK$6&lt;$B101,0,IF(AK$6=$B101,'Growth Engine'!AK$10*'Macro &amp; Indexation'!AK$19*gross_yield,AJ101*(1+'Macro &amp; Indexation'!AK$11)))</f>
        <v>0</v>
      </c>
      <c r="AL101" s="40">
        <f>IF(AL$6&lt;$B101,0,IF(AL$6=$B101,'Growth Engine'!AL$10*'Macro &amp; Indexation'!AL$19*gross_yield,AK101*(1+'Macro &amp; Indexation'!AL$11)))</f>
        <v>0</v>
      </c>
      <c r="AM101" s="40">
        <f ca="1">IF(AM$6&lt;$B101,0,IF(AM$6=$B101,'Growth Engine'!AM$10*'Macro &amp; Indexation'!AM$19*gross_yield,AL101*(1+'Macro &amp; Indexation'!AM$11)))</f>
        <v>46670.266241916339</v>
      </c>
      <c r="AN101" s="40">
        <f ca="1">IF(AN$6&lt;$B101,0,IF(AN$6=$B101,'Growth Engine'!AN$10*'Macro &amp; Indexation'!AN$19*gross_yield,AM101*(1+'Macro &amp; Indexation'!AN$11)))</f>
        <v>47837.022897964242</v>
      </c>
      <c r="AO101" s="40">
        <f ca="1">IF(AO$6&lt;$B101,0,IF(AO$6=$B101,'Growth Engine'!AO$10*'Macro &amp; Indexation'!AO$19*gross_yield,AN101*(1+'Macro &amp; Indexation'!AO$11)))</f>
        <v>49032.948470413343</v>
      </c>
      <c r="AP101" s="40">
        <f ca="1">IF(AP$6&lt;$B101,0,IF(AP$6=$B101,'Growth Engine'!AP$10*'Macro &amp; Indexation'!AP$19*gross_yield,AO101*(1+'Macro &amp; Indexation'!AP$11)))</f>
        <v>50258.77218217367</v>
      </c>
      <c r="AQ101" s="40">
        <f ca="1">IF(AQ$6&lt;$B101,0,IF(AQ$6=$B101,'Growth Engine'!AQ$10*'Macro &amp; Indexation'!AQ$19*gross_yield,AP101*(1+'Macro &amp; Indexation'!AQ$11)))</f>
        <v>51515.241486728009</v>
      </c>
      <c r="AR101" s="40">
        <f ca="1">IF(AR$6&lt;$B101,0,IF(AR$6=$B101,'Growth Engine'!AR$10*'Macro &amp; Indexation'!AR$19*gross_yield,AQ101*(1+'Macro &amp; Indexation'!AR$11)))</f>
        <v>52803.122523896207</v>
      </c>
      <c r="AS101" s="40">
        <f ca="1">IF(AS$6&lt;$B101,0,IF(AS$6=$B101,'Growth Engine'!AS$10*'Macro &amp; Indexation'!AS$19*gross_yield,AR101*(1+'Macro &amp; Indexation'!AS$11)))</f>
        <v>54123.200586993611</v>
      </c>
      <c r="AT101" s="40">
        <f ca="1">IF(AT$6&lt;$B101,0,IF(AT$6=$B101,'Growth Engine'!AT$10*'Macro &amp; Indexation'!AT$19*gross_yield,AS101*(1+'Macro &amp; Indexation'!AT$11)))</f>
        <v>55476.280601668448</v>
      </c>
      <c r="AU101" s="40">
        <f ca="1">IF(AU$6&lt;$B101,0,IF(AU$6=$B101,'Growth Engine'!AU$10*'Macro &amp; Indexation'!AU$19*gross_yield,AT101*(1+'Macro &amp; Indexation'!AU$11)))</f>
        <v>56863.187616710151</v>
      </c>
      <c r="AV101" s="40">
        <f ca="1">IF(AV$6&lt;$B101,0,IF(AV$6=$B101,'Growth Engine'!AV$10*'Macro &amp; Indexation'!AV$19*gross_yield,AU101*(1+'Macro &amp; Indexation'!AV$11)))</f>
        <v>58284.767307127899</v>
      </c>
      <c r="AW101" s="40">
        <f ca="1">IF(AW$6&lt;$B101,0,IF(AW$6=$B101,'Growth Engine'!AW$10*'Macro &amp; Indexation'!AW$19*gross_yield,AV101*(1+'Macro &amp; Indexation'!AW$11)))</f>
        <v>59741.886489806093</v>
      </c>
      <c r="AX101" s="40">
        <f ca="1">IF(AX$6&lt;$B101,0,IF(AX$6=$B101,'Growth Engine'!AX$10*'Macro &amp; Indexation'!AX$19*gross_yield,AW101*(1+'Macro &amp; Indexation'!AX$11)))</f>
        <v>61235.433652051237</v>
      </c>
      <c r="AY101" s="40">
        <f ca="1">IF(AY$6&lt;$B101,0,IF(AY$6=$B101,'Growth Engine'!AY$10*'Macro &amp; Indexation'!AY$19*gross_yield,AX101*(1+'Macro &amp; Indexation'!AY$11)))</f>
        <v>62766.319493352516</v>
      </c>
      <c r="AZ101" s="40">
        <f ca="1">IF(AZ$6&lt;$B101,0,IF(AZ$6=$B101,'Growth Engine'!AZ$10*'Macro &amp; Indexation'!AZ$19*gross_yield,AY101*(1+'Macro &amp; Indexation'!AZ$11)))</f>
        <v>64335.477480686321</v>
      </c>
      <c r="BA101" s="40">
        <f ca="1">IF(BA$6&lt;$B101,0,IF(BA$6=$B101,'Growth Engine'!BA$10*'Macro &amp; Indexation'!BA$19*gross_yield,AZ101*(1+'Macro &amp; Indexation'!BA$11)))</f>
        <v>65943.864417703473</v>
      </c>
    </row>
    <row r="102" spans="1:53" outlineLevel="1" x14ac:dyDescent="0.3">
      <c r="A102" t="s">
        <v>173</v>
      </c>
      <c r="B102">
        <v>37</v>
      </c>
      <c r="D102" s="40">
        <f>IF(D$6&lt;$B102,0,IF(D$6=$B102,'Growth Engine'!D$10*'Macro &amp; Indexation'!D$19*gross_yield,C102*(1+'Macro &amp; Indexation'!D$11)))</f>
        <v>0</v>
      </c>
      <c r="E102" s="40">
        <f>IF(E$6&lt;$B102,0,IF(E$6=$B102,'Growth Engine'!E$10*'Macro &amp; Indexation'!E$19*gross_yield,D102*(1+'Macro &amp; Indexation'!E$11)))</f>
        <v>0</v>
      </c>
      <c r="F102" s="40">
        <f>IF(F$6&lt;$B102,0,IF(F$6=$B102,'Growth Engine'!F$10*'Macro &amp; Indexation'!F$19*gross_yield,E102*(1+'Macro &amp; Indexation'!F$11)))</f>
        <v>0</v>
      </c>
      <c r="G102" s="40">
        <f>IF(G$6&lt;$B102,0,IF(G$6=$B102,'Growth Engine'!G$10*'Macro &amp; Indexation'!G$19*gross_yield,F102*(1+'Macro &amp; Indexation'!G$11)))</f>
        <v>0</v>
      </c>
      <c r="H102" s="40">
        <f>IF(H$6&lt;$B102,0,IF(H$6=$B102,'Growth Engine'!H$10*'Macro &amp; Indexation'!H$19*gross_yield,G102*(1+'Macro &amp; Indexation'!H$11)))</f>
        <v>0</v>
      </c>
      <c r="I102" s="40">
        <f>IF(I$6&lt;$B102,0,IF(I$6=$B102,'Growth Engine'!I$10*'Macro &amp; Indexation'!I$19*gross_yield,H102*(1+'Macro &amp; Indexation'!I$11)))</f>
        <v>0</v>
      </c>
      <c r="J102" s="40">
        <f>IF(J$6&lt;$B102,0,IF(J$6=$B102,'Growth Engine'!J$10*'Macro &amp; Indexation'!J$19*gross_yield,I102*(1+'Macro &amp; Indexation'!J$11)))</f>
        <v>0</v>
      </c>
      <c r="K102" s="40">
        <f>IF(K$6&lt;$B102,0,IF(K$6=$B102,'Growth Engine'!K$10*'Macro &amp; Indexation'!K$19*gross_yield,J102*(1+'Macro &amp; Indexation'!K$11)))</f>
        <v>0</v>
      </c>
      <c r="L102" s="40">
        <f>IF(L$6&lt;$B102,0,IF(L$6=$B102,'Growth Engine'!L$10*'Macro &amp; Indexation'!L$19*gross_yield,K102*(1+'Macro &amp; Indexation'!L$11)))</f>
        <v>0</v>
      </c>
      <c r="M102" s="40">
        <f>IF(M$6&lt;$B102,0,IF(M$6=$B102,'Growth Engine'!M$10*'Macro &amp; Indexation'!M$19*gross_yield,L102*(1+'Macro &amp; Indexation'!M$11)))</f>
        <v>0</v>
      </c>
      <c r="N102" s="40">
        <f>IF(N$6&lt;$B102,0,IF(N$6=$B102,'Growth Engine'!N$10*'Macro &amp; Indexation'!N$19*gross_yield,M102*(1+'Macro &amp; Indexation'!N$11)))</f>
        <v>0</v>
      </c>
      <c r="O102" s="40">
        <f>IF(O$6&lt;$B102,0,IF(O$6=$B102,'Growth Engine'!O$10*'Macro &amp; Indexation'!O$19*gross_yield,N102*(1+'Macro &amp; Indexation'!O$11)))</f>
        <v>0</v>
      </c>
      <c r="P102" s="40">
        <f>IF(P$6&lt;$B102,0,IF(P$6=$B102,'Growth Engine'!P$10*'Macro &amp; Indexation'!P$19*gross_yield,O102*(1+'Macro &amp; Indexation'!P$11)))</f>
        <v>0</v>
      </c>
      <c r="Q102" s="40">
        <f>IF(Q$6&lt;$B102,0,IF(Q$6=$B102,'Growth Engine'!Q$10*'Macro &amp; Indexation'!Q$19*gross_yield,P102*(1+'Macro &amp; Indexation'!Q$11)))</f>
        <v>0</v>
      </c>
      <c r="R102" s="40">
        <f>IF(R$6&lt;$B102,0,IF(R$6=$B102,'Growth Engine'!R$10*'Macro &amp; Indexation'!R$19*gross_yield,Q102*(1+'Macro &amp; Indexation'!R$11)))</f>
        <v>0</v>
      </c>
      <c r="S102" s="40">
        <f>IF(S$6&lt;$B102,0,IF(S$6=$B102,'Growth Engine'!S$10*'Macro &amp; Indexation'!S$19*gross_yield,R102*(1+'Macro &amp; Indexation'!S$11)))</f>
        <v>0</v>
      </c>
      <c r="T102" s="40">
        <f>IF(T$6&lt;$B102,0,IF(T$6=$B102,'Growth Engine'!T$10*'Macro &amp; Indexation'!T$19*gross_yield,S102*(1+'Macro &amp; Indexation'!T$11)))</f>
        <v>0</v>
      </c>
      <c r="U102" s="40">
        <f>IF(U$6&lt;$B102,0,IF(U$6=$B102,'Growth Engine'!U$10*'Macro &amp; Indexation'!U$19*gross_yield,T102*(1+'Macro &amp; Indexation'!U$11)))</f>
        <v>0</v>
      </c>
      <c r="V102" s="40">
        <f>IF(V$6&lt;$B102,0,IF(V$6=$B102,'Growth Engine'!V$10*'Macro &amp; Indexation'!V$19*gross_yield,U102*(1+'Macro &amp; Indexation'!V$11)))</f>
        <v>0</v>
      </c>
      <c r="W102" s="40">
        <f>IF(W$6&lt;$B102,0,IF(W$6=$B102,'Growth Engine'!W$10*'Macro &amp; Indexation'!W$19*gross_yield,V102*(1+'Macro &amp; Indexation'!W$11)))</f>
        <v>0</v>
      </c>
      <c r="X102" s="40">
        <f>IF(X$6&lt;$B102,0,IF(X$6=$B102,'Growth Engine'!X$10*'Macro &amp; Indexation'!X$19*gross_yield,W102*(1+'Macro &amp; Indexation'!X$11)))</f>
        <v>0</v>
      </c>
      <c r="Y102" s="40">
        <f>IF(Y$6&lt;$B102,0,IF(Y$6=$B102,'Growth Engine'!Y$10*'Macro &amp; Indexation'!Y$19*gross_yield,X102*(1+'Macro &amp; Indexation'!Y$11)))</f>
        <v>0</v>
      </c>
      <c r="Z102" s="40">
        <f>IF(Z$6&lt;$B102,0,IF(Z$6=$B102,'Growth Engine'!Z$10*'Macro &amp; Indexation'!Z$19*gross_yield,Y102*(1+'Macro &amp; Indexation'!Z$11)))</f>
        <v>0</v>
      </c>
      <c r="AA102" s="40">
        <f>IF(AA$6&lt;$B102,0,IF(AA$6=$B102,'Growth Engine'!AA$10*'Macro &amp; Indexation'!AA$19*gross_yield,Z102*(1+'Macro &amp; Indexation'!AA$11)))</f>
        <v>0</v>
      </c>
      <c r="AB102" s="40">
        <f>IF(AB$6&lt;$B102,0,IF(AB$6=$B102,'Growth Engine'!AB$10*'Macro &amp; Indexation'!AB$19*gross_yield,AA102*(1+'Macro &amp; Indexation'!AB$11)))</f>
        <v>0</v>
      </c>
      <c r="AC102" s="40">
        <f>IF(AC$6&lt;$B102,0,IF(AC$6=$B102,'Growth Engine'!AC$10*'Macro &amp; Indexation'!AC$19*gross_yield,AB102*(1+'Macro &amp; Indexation'!AC$11)))</f>
        <v>0</v>
      </c>
      <c r="AD102" s="40">
        <f>IF(AD$6&lt;$B102,0,IF(AD$6=$B102,'Growth Engine'!AD$10*'Macro &amp; Indexation'!AD$19*gross_yield,AC102*(1+'Macro &amp; Indexation'!AD$11)))</f>
        <v>0</v>
      </c>
      <c r="AE102" s="40">
        <f>IF(AE$6&lt;$B102,0,IF(AE$6=$B102,'Growth Engine'!AE$10*'Macro &amp; Indexation'!AE$19*gross_yield,AD102*(1+'Macro &amp; Indexation'!AE$11)))</f>
        <v>0</v>
      </c>
      <c r="AF102" s="40">
        <f>IF(AF$6&lt;$B102,0,IF(AF$6=$B102,'Growth Engine'!AF$10*'Macro &amp; Indexation'!AF$19*gross_yield,AE102*(1+'Macro &amp; Indexation'!AF$11)))</f>
        <v>0</v>
      </c>
      <c r="AG102" s="40">
        <f>IF(AG$6&lt;$B102,0,IF(AG$6=$B102,'Growth Engine'!AG$10*'Macro &amp; Indexation'!AG$19*gross_yield,AF102*(1+'Macro &amp; Indexation'!AG$11)))</f>
        <v>0</v>
      </c>
      <c r="AH102" s="40">
        <f>IF(AH$6&lt;$B102,0,IF(AH$6=$B102,'Growth Engine'!AH$10*'Macro &amp; Indexation'!AH$19*gross_yield,AG102*(1+'Macro &amp; Indexation'!AH$11)))</f>
        <v>0</v>
      </c>
      <c r="AI102" s="40">
        <f>IF(AI$6&lt;$B102,0,IF(AI$6=$B102,'Growth Engine'!AI$10*'Macro &amp; Indexation'!AI$19*gross_yield,AH102*(1+'Macro &amp; Indexation'!AI$11)))</f>
        <v>0</v>
      </c>
      <c r="AJ102" s="40">
        <f>IF(AJ$6&lt;$B102,0,IF(AJ$6=$B102,'Growth Engine'!AJ$10*'Macro &amp; Indexation'!AJ$19*gross_yield,AI102*(1+'Macro &amp; Indexation'!AJ$11)))</f>
        <v>0</v>
      </c>
      <c r="AK102" s="40">
        <f>IF(AK$6&lt;$B102,0,IF(AK$6=$B102,'Growth Engine'!AK$10*'Macro &amp; Indexation'!AK$19*gross_yield,AJ102*(1+'Macro &amp; Indexation'!AK$11)))</f>
        <v>0</v>
      </c>
      <c r="AL102" s="40">
        <f>IF(AL$6&lt;$B102,0,IF(AL$6=$B102,'Growth Engine'!AL$10*'Macro &amp; Indexation'!AL$19*gross_yield,AK102*(1+'Macro &amp; Indexation'!AL$11)))</f>
        <v>0</v>
      </c>
      <c r="AM102" s="40">
        <f>IF(AM$6&lt;$B102,0,IF(AM$6=$B102,'Growth Engine'!AM$10*'Macro &amp; Indexation'!AM$19*gross_yield,AL102*(1+'Macro &amp; Indexation'!AM$11)))</f>
        <v>0</v>
      </c>
      <c r="AN102" s="40">
        <f ca="1">IF(AN$6&lt;$B102,0,IF(AN$6=$B102,'Growth Engine'!AN$10*'Macro &amp; Indexation'!AN$19*gross_yield,AM102*(1+'Macro &amp; Indexation'!AN$11)))</f>
        <v>0</v>
      </c>
      <c r="AO102" s="40">
        <f ca="1">IF(AO$6&lt;$B102,0,IF(AO$6=$B102,'Growth Engine'!AO$10*'Macro &amp; Indexation'!AO$19*gross_yield,AN102*(1+'Macro &amp; Indexation'!AO$11)))</f>
        <v>0</v>
      </c>
      <c r="AP102" s="40">
        <f ca="1">IF(AP$6&lt;$B102,0,IF(AP$6=$B102,'Growth Engine'!AP$10*'Macro &amp; Indexation'!AP$19*gross_yield,AO102*(1+'Macro &amp; Indexation'!AP$11)))</f>
        <v>0</v>
      </c>
      <c r="AQ102" s="40">
        <f ca="1">IF(AQ$6&lt;$B102,0,IF(AQ$6=$B102,'Growth Engine'!AQ$10*'Macro &amp; Indexation'!AQ$19*gross_yield,AP102*(1+'Macro &amp; Indexation'!AQ$11)))</f>
        <v>0</v>
      </c>
      <c r="AR102" s="40">
        <f ca="1">IF(AR$6&lt;$B102,0,IF(AR$6=$B102,'Growth Engine'!AR$10*'Macro &amp; Indexation'!AR$19*gross_yield,AQ102*(1+'Macro &amp; Indexation'!AR$11)))</f>
        <v>0</v>
      </c>
      <c r="AS102" s="40">
        <f ca="1">IF(AS$6&lt;$B102,0,IF(AS$6=$B102,'Growth Engine'!AS$10*'Macro &amp; Indexation'!AS$19*gross_yield,AR102*(1+'Macro &amp; Indexation'!AS$11)))</f>
        <v>0</v>
      </c>
      <c r="AT102" s="40">
        <f ca="1">IF(AT$6&lt;$B102,0,IF(AT$6=$B102,'Growth Engine'!AT$10*'Macro &amp; Indexation'!AT$19*gross_yield,AS102*(1+'Macro &amp; Indexation'!AT$11)))</f>
        <v>0</v>
      </c>
      <c r="AU102" s="40">
        <f ca="1">IF(AU$6&lt;$B102,0,IF(AU$6=$B102,'Growth Engine'!AU$10*'Macro &amp; Indexation'!AU$19*gross_yield,AT102*(1+'Macro &amp; Indexation'!AU$11)))</f>
        <v>0</v>
      </c>
      <c r="AV102" s="40">
        <f ca="1">IF(AV$6&lt;$B102,0,IF(AV$6=$B102,'Growth Engine'!AV$10*'Macro &amp; Indexation'!AV$19*gross_yield,AU102*(1+'Macro &amp; Indexation'!AV$11)))</f>
        <v>0</v>
      </c>
      <c r="AW102" s="40">
        <f ca="1">IF(AW$6&lt;$B102,0,IF(AW$6=$B102,'Growth Engine'!AW$10*'Macro &amp; Indexation'!AW$19*gross_yield,AV102*(1+'Macro &amp; Indexation'!AW$11)))</f>
        <v>0</v>
      </c>
      <c r="AX102" s="40">
        <f ca="1">IF(AX$6&lt;$B102,0,IF(AX$6=$B102,'Growth Engine'!AX$10*'Macro &amp; Indexation'!AX$19*gross_yield,AW102*(1+'Macro &amp; Indexation'!AX$11)))</f>
        <v>0</v>
      </c>
      <c r="AY102" s="40">
        <f ca="1">IF(AY$6&lt;$B102,0,IF(AY$6=$B102,'Growth Engine'!AY$10*'Macro &amp; Indexation'!AY$19*gross_yield,AX102*(1+'Macro &amp; Indexation'!AY$11)))</f>
        <v>0</v>
      </c>
      <c r="AZ102" s="40">
        <f ca="1">IF(AZ$6&lt;$B102,0,IF(AZ$6=$B102,'Growth Engine'!AZ$10*'Macro &amp; Indexation'!AZ$19*gross_yield,AY102*(1+'Macro &amp; Indexation'!AZ$11)))</f>
        <v>0</v>
      </c>
      <c r="BA102" s="40">
        <f ca="1">IF(BA$6&lt;$B102,0,IF(BA$6=$B102,'Growth Engine'!BA$10*'Macro &amp; Indexation'!BA$19*gross_yield,AZ102*(1+'Macro &amp; Indexation'!BA$11)))</f>
        <v>0</v>
      </c>
    </row>
    <row r="103" spans="1:53" outlineLevel="1" x14ac:dyDescent="0.3">
      <c r="A103" t="s">
        <v>174</v>
      </c>
      <c r="B103">
        <v>38</v>
      </c>
      <c r="D103" s="40">
        <f>IF(D$6&lt;$B103,0,IF(D$6=$B103,'Growth Engine'!D$10*'Macro &amp; Indexation'!D$19*gross_yield,C103*(1+'Macro &amp; Indexation'!D$11)))</f>
        <v>0</v>
      </c>
      <c r="E103" s="40">
        <f>IF(E$6&lt;$B103,0,IF(E$6=$B103,'Growth Engine'!E$10*'Macro &amp; Indexation'!E$19*gross_yield,D103*(1+'Macro &amp; Indexation'!E$11)))</f>
        <v>0</v>
      </c>
      <c r="F103" s="40">
        <f>IF(F$6&lt;$B103,0,IF(F$6=$B103,'Growth Engine'!F$10*'Macro &amp; Indexation'!F$19*gross_yield,E103*(1+'Macro &amp; Indexation'!F$11)))</f>
        <v>0</v>
      </c>
      <c r="G103" s="40">
        <f>IF(G$6&lt;$B103,0,IF(G$6=$B103,'Growth Engine'!G$10*'Macro &amp; Indexation'!G$19*gross_yield,F103*(1+'Macro &amp; Indexation'!G$11)))</f>
        <v>0</v>
      </c>
      <c r="H103" s="40">
        <f>IF(H$6&lt;$B103,0,IF(H$6=$B103,'Growth Engine'!H$10*'Macro &amp; Indexation'!H$19*gross_yield,G103*(1+'Macro &amp; Indexation'!H$11)))</f>
        <v>0</v>
      </c>
      <c r="I103" s="40">
        <f>IF(I$6&lt;$B103,0,IF(I$6=$B103,'Growth Engine'!I$10*'Macro &amp; Indexation'!I$19*gross_yield,H103*(1+'Macro &amp; Indexation'!I$11)))</f>
        <v>0</v>
      </c>
      <c r="J103" s="40">
        <f>IF(J$6&lt;$B103,0,IF(J$6=$B103,'Growth Engine'!J$10*'Macro &amp; Indexation'!J$19*gross_yield,I103*(1+'Macro &amp; Indexation'!J$11)))</f>
        <v>0</v>
      </c>
      <c r="K103" s="40">
        <f>IF(K$6&lt;$B103,0,IF(K$6=$B103,'Growth Engine'!K$10*'Macro &amp; Indexation'!K$19*gross_yield,J103*(1+'Macro &amp; Indexation'!K$11)))</f>
        <v>0</v>
      </c>
      <c r="L103" s="40">
        <f>IF(L$6&lt;$B103,0,IF(L$6=$B103,'Growth Engine'!L$10*'Macro &amp; Indexation'!L$19*gross_yield,K103*(1+'Macro &amp; Indexation'!L$11)))</f>
        <v>0</v>
      </c>
      <c r="M103" s="40">
        <f>IF(M$6&lt;$B103,0,IF(M$6=$B103,'Growth Engine'!M$10*'Macro &amp; Indexation'!M$19*gross_yield,L103*(1+'Macro &amp; Indexation'!M$11)))</f>
        <v>0</v>
      </c>
      <c r="N103" s="40">
        <f>IF(N$6&lt;$B103,0,IF(N$6=$B103,'Growth Engine'!N$10*'Macro &amp; Indexation'!N$19*gross_yield,M103*(1+'Macro &amp; Indexation'!N$11)))</f>
        <v>0</v>
      </c>
      <c r="O103" s="40">
        <f>IF(O$6&lt;$B103,0,IF(O$6=$B103,'Growth Engine'!O$10*'Macro &amp; Indexation'!O$19*gross_yield,N103*(1+'Macro &amp; Indexation'!O$11)))</f>
        <v>0</v>
      </c>
      <c r="P103" s="40">
        <f>IF(P$6&lt;$B103,0,IF(P$6=$B103,'Growth Engine'!P$10*'Macro &amp; Indexation'!P$19*gross_yield,O103*(1+'Macro &amp; Indexation'!P$11)))</f>
        <v>0</v>
      </c>
      <c r="Q103" s="40">
        <f>IF(Q$6&lt;$B103,0,IF(Q$6=$B103,'Growth Engine'!Q$10*'Macro &amp; Indexation'!Q$19*gross_yield,P103*(1+'Macro &amp; Indexation'!Q$11)))</f>
        <v>0</v>
      </c>
      <c r="R103" s="40">
        <f>IF(R$6&lt;$B103,0,IF(R$6=$B103,'Growth Engine'!R$10*'Macro &amp; Indexation'!R$19*gross_yield,Q103*(1+'Macro &amp; Indexation'!R$11)))</f>
        <v>0</v>
      </c>
      <c r="S103" s="40">
        <f>IF(S$6&lt;$B103,0,IF(S$6=$B103,'Growth Engine'!S$10*'Macro &amp; Indexation'!S$19*gross_yield,R103*(1+'Macro &amp; Indexation'!S$11)))</f>
        <v>0</v>
      </c>
      <c r="T103" s="40">
        <f>IF(T$6&lt;$B103,0,IF(T$6=$B103,'Growth Engine'!T$10*'Macro &amp; Indexation'!T$19*gross_yield,S103*(1+'Macro &amp; Indexation'!T$11)))</f>
        <v>0</v>
      </c>
      <c r="U103" s="40">
        <f>IF(U$6&lt;$B103,0,IF(U$6=$B103,'Growth Engine'!U$10*'Macro &amp; Indexation'!U$19*gross_yield,T103*(1+'Macro &amp; Indexation'!U$11)))</f>
        <v>0</v>
      </c>
      <c r="V103" s="40">
        <f>IF(V$6&lt;$B103,0,IF(V$6=$B103,'Growth Engine'!V$10*'Macro &amp; Indexation'!V$19*gross_yield,U103*(1+'Macro &amp; Indexation'!V$11)))</f>
        <v>0</v>
      </c>
      <c r="W103" s="40">
        <f>IF(W$6&lt;$B103,0,IF(W$6=$B103,'Growth Engine'!W$10*'Macro &amp; Indexation'!W$19*gross_yield,V103*(1+'Macro &amp; Indexation'!W$11)))</f>
        <v>0</v>
      </c>
      <c r="X103" s="40">
        <f>IF(X$6&lt;$B103,0,IF(X$6=$B103,'Growth Engine'!X$10*'Macro &amp; Indexation'!X$19*gross_yield,W103*(1+'Macro &amp; Indexation'!X$11)))</f>
        <v>0</v>
      </c>
      <c r="Y103" s="40">
        <f>IF(Y$6&lt;$B103,0,IF(Y$6=$B103,'Growth Engine'!Y$10*'Macro &amp; Indexation'!Y$19*gross_yield,X103*(1+'Macro &amp; Indexation'!Y$11)))</f>
        <v>0</v>
      </c>
      <c r="Z103" s="40">
        <f>IF(Z$6&lt;$B103,0,IF(Z$6=$B103,'Growth Engine'!Z$10*'Macro &amp; Indexation'!Z$19*gross_yield,Y103*(1+'Macro &amp; Indexation'!Z$11)))</f>
        <v>0</v>
      </c>
      <c r="AA103" s="40">
        <f>IF(AA$6&lt;$B103,0,IF(AA$6=$B103,'Growth Engine'!AA$10*'Macro &amp; Indexation'!AA$19*gross_yield,Z103*(1+'Macro &amp; Indexation'!AA$11)))</f>
        <v>0</v>
      </c>
      <c r="AB103" s="40">
        <f>IF(AB$6&lt;$B103,0,IF(AB$6=$B103,'Growth Engine'!AB$10*'Macro &amp; Indexation'!AB$19*gross_yield,AA103*(1+'Macro &amp; Indexation'!AB$11)))</f>
        <v>0</v>
      </c>
      <c r="AC103" s="40">
        <f>IF(AC$6&lt;$B103,0,IF(AC$6=$B103,'Growth Engine'!AC$10*'Macro &amp; Indexation'!AC$19*gross_yield,AB103*(1+'Macro &amp; Indexation'!AC$11)))</f>
        <v>0</v>
      </c>
      <c r="AD103" s="40">
        <f>IF(AD$6&lt;$B103,0,IF(AD$6=$B103,'Growth Engine'!AD$10*'Macro &amp; Indexation'!AD$19*gross_yield,AC103*(1+'Macro &amp; Indexation'!AD$11)))</f>
        <v>0</v>
      </c>
      <c r="AE103" s="40">
        <f>IF(AE$6&lt;$B103,0,IF(AE$6=$B103,'Growth Engine'!AE$10*'Macro &amp; Indexation'!AE$19*gross_yield,AD103*(1+'Macro &amp; Indexation'!AE$11)))</f>
        <v>0</v>
      </c>
      <c r="AF103" s="40">
        <f>IF(AF$6&lt;$B103,0,IF(AF$6=$B103,'Growth Engine'!AF$10*'Macro &amp; Indexation'!AF$19*gross_yield,AE103*(1+'Macro &amp; Indexation'!AF$11)))</f>
        <v>0</v>
      </c>
      <c r="AG103" s="40">
        <f>IF(AG$6&lt;$B103,0,IF(AG$6=$B103,'Growth Engine'!AG$10*'Macro &amp; Indexation'!AG$19*gross_yield,AF103*(1+'Macro &amp; Indexation'!AG$11)))</f>
        <v>0</v>
      </c>
      <c r="AH103" s="40">
        <f>IF(AH$6&lt;$B103,0,IF(AH$6=$B103,'Growth Engine'!AH$10*'Macro &amp; Indexation'!AH$19*gross_yield,AG103*(1+'Macro &amp; Indexation'!AH$11)))</f>
        <v>0</v>
      </c>
      <c r="AI103" s="40">
        <f>IF(AI$6&lt;$B103,0,IF(AI$6=$B103,'Growth Engine'!AI$10*'Macro &amp; Indexation'!AI$19*gross_yield,AH103*(1+'Macro &amp; Indexation'!AI$11)))</f>
        <v>0</v>
      </c>
      <c r="AJ103" s="40">
        <f>IF(AJ$6&lt;$B103,0,IF(AJ$6=$B103,'Growth Engine'!AJ$10*'Macro &amp; Indexation'!AJ$19*gross_yield,AI103*(1+'Macro &amp; Indexation'!AJ$11)))</f>
        <v>0</v>
      </c>
      <c r="AK103" s="40">
        <f>IF(AK$6&lt;$B103,0,IF(AK$6=$B103,'Growth Engine'!AK$10*'Macro &amp; Indexation'!AK$19*gross_yield,AJ103*(1+'Macro &amp; Indexation'!AK$11)))</f>
        <v>0</v>
      </c>
      <c r="AL103" s="40">
        <f>IF(AL$6&lt;$B103,0,IF(AL$6=$B103,'Growth Engine'!AL$10*'Macro &amp; Indexation'!AL$19*gross_yield,AK103*(1+'Macro &amp; Indexation'!AL$11)))</f>
        <v>0</v>
      </c>
      <c r="AM103" s="40">
        <f>IF(AM$6&lt;$B103,0,IF(AM$6=$B103,'Growth Engine'!AM$10*'Macro &amp; Indexation'!AM$19*gross_yield,AL103*(1+'Macro &amp; Indexation'!AM$11)))</f>
        <v>0</v>
      </c>
      <c r="AN103" s="40">
        <f>IF(AN$6&lt;$B103,0,IF(AN$6=$B103,'Growth Engine'!AN$10*'Macro &amp; Indexation'!AN$19*gross_yield,AM103*(1+'Macro &amp; Indexation'!AN$11)))</f>
        <v>0</v>
      </c>
      <c r="AO103" s="40">
        <f ca="1">IF(AO$6&lt;$B103,0,IF(AO$6=$B103,'Growth Engine'!AO$10*'Macro &amp; Indexation'!AO$19*gross_yield,AN103*(1+'Macro &amp; Indexation'!AO$11)))</f>
        <v>49994.355954996827</v>
      </c>
      <c r="AP103" s="40">
        <f ca="1">IF(AP$6&lt;$B103,0,IF(AP$6=$B103,'Growth Engine'!AP$10*'Macro &amp; Indexation'!AP$19*gross_yield,AO103*(1+'Macro &amp; Indexation'!AP$11)))</f>
        <v>51244.214853871745</v>
      </c>
      <c r="AQ103" s="40">
        <f ca="1">IF(AQ$6&lt;$B103,0,IF(AQ$6=$B103,'Growth Engine'!AQ$10*'Macro &amp; Indexation'!AQ$19*gross_yield,AP103*(1+'Macro &amp; Indexation'!AQ$11)))</f>
        <v>52525.320225218537</v>
      </c>
      <c r="AR103" s="40">
        <f ca="1">IF(AR$6&lt;$B103,0,IF(AR$6=$B103,'Growth Engine'!AR$10*'Macro &amp; Indexation'!AR$19*gross_yield,AQ103*(1+'Macro &amp; Indexation'!AR$11)))</f>
        <v>53838.453230848994</v>
      </c>
      <c r="AS103" s="40">
        <f ca="1">IF(AS$6&lt;$B103,0,IF(AS$6=$B103,'Growth Engine'!AS$10*'Macro &amp; Indexation'!AS$19*gross_yield,AR103*(1+'Macro &amp; Indexation'!AS$11)))</f>
        <v>55184.414561620215</v>
      </c>
      <c r="AT103" s="40">
        <f ca="1">IF(AT$6&lt;$B103,0,IF(AT$6=$B103,'Growth Engine'!AT$10*'Macro &amp; Indexation'!AT$19*gross_yield,AS103*(1+'Macro &amp; Indexation'!AT$11)))</f>
        <v>56564.024925660713</v>
      </c>
      <c r="AU103" s="40">
        <f ca="1">IF(AU$6&lt;$B103,0,IF(AU$6=$B103,'Growth Engine'!AU$10*'Macro &amp; Indexation'!AU$19*gross_yield,AT103*(1+'Macro &amp; Indexation'!AU$11)))</f>
        <v>57978.125548802229</v>
      </c>
      <c r="AV103" s="40">
        <f ca="1">IF(AV$6&lt;$B103,0,IF(AV$6=$B103,'Growth Engine'!AV$10*'Macro &amp; Indexation'!AV$19*gross_yield,AU103*(1+'Macro &amp; Indexation'!AV$11)))</f>
        <v>59427.578687522277</v>
      </c>
      <c r="AW103" s="40">
        <f ca="1">IF(AW$6&lt;$B103,0,IF(AW$6=$B103,'Growth Engine'!AW$10*'Macro &amp; Indexation'!AW$19*gross_yield,AV103*(1+'Macro &amp; Indexation'!AW$11)))</f>
        <v>60913.268154710328</v>
      </c>
      <c r="AX103" s="40">
        <f ca="1">IF(AX$6&lt;$B103,0,IF(AX$6=$B103,'Growth Engine'!AX$10*'Macro &amp; Indexation'!AX$19*gross_yield,AW103*(1+'Macro &amp; Indexation'!AX$11)))</f>
        <v>62436.099858578084</v>
      </c>
      <c r="AY103" s="40">
        <f ca="1">IF(AY$6&lt;$B103,0,IF(AY$6=$B103,'Growth Engine'!AY$10*'Macro &amp; Indexation'!AY$19*gross_yield,AX103*(1+'Macro &amp; Indexation'!AY$11)))</f>
        <v>63997.002355042532</v>
      </c>
      <c r="AZ103" s="40">
        <f ca="1">IF(AZ$6&lt;$B103,0,IF(AZ$6=$B103,'Growth Engine'!AZ$10*'Macro &amp; Indexation'!AZ$19*gross_yield,AY103*(1+'Macro &amp; Indexation'!AZ$11)))</f>
        <v>65596.927413918587</v>
      </c>
      <c r="BA103" s="40">
        <f ca="1">IF(BA$6&lt;$B103,0,IF(BA$6=$B103,'Growth Engine'!BA$10*'Macro &amp; Indexation'!BA$19*gross_yield,AZ103*(1+'Macro &amp; Indexation'!BA$11)))</f>
        <v>67236.850599266545</v>
      </c>
    </row>
    <row r="104" spans="1:53" outlineLevel="1" x14ac:dyDescent="0.3">
      <c r="A104" t="s">
        <v>175</v>
      </c>
      <c r="B104">
        <v>39</v>
      </c>
      <c r="D104" s="40">
        <f>IF(D$6&lt;$B104,0,IF(D$6=$B104,'Growth Engine'!D$10*'Macro &amp; Indexation'!D$19*gross_yield,C104*(1+'Macro &amp; Indexation'!D$11)))</f>
        <v>0</v>
      </c>
      <c r="E104" s="40">
        <f>IF(E$6&lt;$B104,0,IF(E$6=$B104,'Growth Engine'!E$10*'Macro &amp; Indexation'!E$19*gross_yield,D104*(1+'Macro &amp; Indexation'!E$11)))</f>
        <v>0</v>
      </c>
      <c r="F104" s="40">
        <f>IF(F$6&lt;$B104,0,IF(F$6=$B104,'Growth Engine'!F$10*'Macro &amp; Indexation'!F$19*gross_yield,E104*(1+'Macro &amp; Indexation'!F$11)))</f>
        <v>0</v>
      </c>
      <c r="G104" s="40">
        <f>IF(G$6&lt;$B104,0,IF(G$6=$B104,'Growth Engine'!G$10*'Macro &amp; Indexation'!G$19*gross_yield,F104*(1+'Macro &amp; Indexation'!G$11)))</f>
        <v>0</v>
      </c>
      <c r="H104" s="40">
        <f>IF(H$6&lt;$B104,0,IF(H$6=$B104,'Growth Engine'!H$10*'Macro &amp; Indexation'!H$19*gross_yield,G104*(1+'Macro &amp; Indexation'!H$11)))</f>
        <v>0</v>
      </c>
      <c r="I104" s="40">
        <f>IF(I$6&lt;$B104,0,IF(I$6=$B104,'Growth Engine'!I$10*'Macro &amp; Indexation'!I$19*gross_yield,H104*(1+'Macro &amp; Indexation'!I$11)))</f>
        <v>0</v>
      </c>
      <c r="J104" s="40">
        <f>IF(J$6&lt;$B104,0,IF(J$6=$B104,'Growth Engine'!J$10*'Macro &amp; Indexation'!J$19*gross_yield,I104*(1+'Macro &amp; Indexation'!J$11)))</f>
        <v>0</v>
      </c>
      <c r="K104" s="40">
        <f>IF(K$6&lt;$B104,0,IF(K$6=$B104,'Growth Engine'!K$10*'Macro &amp; Indexation'!K$19*gross_yield,J104*(1+'Macro &amp; Indexation'!K$11)))</f>
        <v>0</v>
      </c>
      <c r="L104" s="40">
        <f>IF(L$6&lt;$B104,0,IF(L$6=$B104,'Growth Engine'!L$10*'Macro &amp; Indexation'!L$19*gross_yield,K104*(1+'Macro &amp; Indexation'!L$11)))</f>
        <v>0</v>
      </c>
      <c r="M104" s="40">
        <f>IF(M$6&lt;$B104,0,IF(M$6=$B104,'Growth Engine'!M$10*'Macro &amp; Indexation'!M$19*gross_yield,L104*(1+'Macro &amp; Indexation'!M$11)))</f>
        <v>0</v>
      </c>
      <c r="N104" s="40">
        <f>IF(N$6&lt;$B104,0,IF(N$6=$B104,'Growth Engine'!N$10*'Macro &amp; Indexation'!N$19*gross_yield,M104*(1+'Macro &amp; Indexation'!N$11)))</f>
        <v>0</v>
      </c>
      <c r="O104" s="40">
        <f>IF(O$6&lt;$B104,0,IF(O$6=$B104,'Growth Engine'!O$10*'Macro &amp; Indexation'!O$19*gross_yield,N104*(1+'Macro &amp; Indexation'!O$11)))</f>
        <v>0</v>
      </c>
      <c r="P104" s="40">
        <f>IF(P$6&lt;$B104,0,IF(P$6=$B104,'Growth Engine'!P$10*'Macro &amp; Indexation'!P$19*gross_yield,O104*(1+'Macro &amp; Indexation'!P$11)))</f>
        <v>0</v>
      </c>
      <c r="Q104" s="40">
        <f>IF(Q$6&lt;$B104,0,IF(Q$6=$B104,'Growth Engine'!Q$10*'Macro &amp; Indexation'!Q$19*gross_yield,P104*(1+'Macro &amp; Indexation'!Q$11)))</f>
        <v>0</v>
      </c>
      <c r="R104" s="40">
        <f>IF(R$6&lt;$B104,0,IF(R$6=$B104,'Growth Engine'!R$10*'Macro &amp; Indexation'!R$19*gross_yield,Q104*(1+'Macro &amp; Indexation'!R$11)))</f>
        <v>0</v>
      </c>
      <c r="S104" s="40">
        <f>IF(S$6&lt;$B104,0,IF(S$6=$B104,'Growth Engine'!S$10*'Macro &amp; Indexation'!S$19*gross_yield,R104*(1+'Macro &amp; Indexation'!S$11)))</f>
        <v>0</v>
      </c>
      <c r="T104" s="40">
        <f>IF(T$6&lt;$B104,0,IF(T$6=$B104,'Growth Engine'!T$10*'Macro &amp; Indexation'!T$19*gross_yield,S104*(1+'Macro &amp; Indexation'!T$11)))</f>
        <v>0</v>
      </c>
      <c r="U104" s="40">
        <f>IF(U$6&lt;$B104,0,IF(U$6=$B104,'Growth Engine'!U$10*'Macro &amp; Indexation'!U$19*gross_yield,T104*(1+'Macro &amp; Indexation'!U$11)))</f>
        <v>0</v>
      </c>
      <c r="V104" s="40">
        <f>IF(V$6&lt;$B104,0,IF(V$6=$B104,'Growth Engine'!V$10*'Macro &amp; Indexation'!V$19*gross_yield,U104*(1+'Macro &amp; Indexation'!V$11)))</f>
        <v>0</v>
      </c>
      <c r="W104" s="40">
        <f>IF(W$6&lt;$B104,0,IF(W$6=$B104,'Growth Engine'!W$10*'Macro &amp; Indexation'!W$19*gross_yield,V104*(1+'Macro &amp; Indexation'!W$11)))</f>
        <v>0</v>
      </c>
      <c r="X104" s="40">
        <f>IF(X$6&lt;$B104,0,IF(X$6=$B104,'Growth Engine'!X$10*'Macro &amp; Indexation'!X$19*gross_yield,W104*(1+'Macro &amp; Indexation'!X$11)))</f>
        <v>0</v>
      </c>
      <c r="Y104" s="40">
        <f>IF(Y$6&lt;$B104,0,IF(Y$6=$B104,'Growth Engine'!Y$10*'Macro &amp; Indexation'!Y$19*gross_yield,X104*(1+'Macro &amp; Indexation'!Y$11)))</f>
        <v>0</v>
      </c>
      <c r="Z104" s="40">
        <f>IF(Z$6&lt;$B104,0,IF(Z$6=$B104,'Growth Engine'!Z$10*'Macro &amp; Indexation'!Z$19*gross_yield,Y104*(1+'Macro &amp; Indexation'!Z$11)))</f>
        <v>0</v>
      </c>
      <c r="AA104" s="40">
        <f>IF(AA$6&lt;$B104,0,IF(AA$6=$B104,'Growth Engine'!AA$10*'Macro &amp; Indexation'!AA$19*gross_yield,Z104*(1+'Macro &amp; Indexation'!AA$11)))</f>
        <v>0</v>
      </c>
      <c r="AB104" s="40">
        <f>IF(AB$6&lt;$B104,0,IF(AB$6=$B104,'Growth Engine'!AB$10*'Macro &amp; Indexation'!AB$19*gross_yield,AA104*(1+'Macro &amp; Indexation'!AB$11)))</f>
        <v>0</v>
      </c>
      <c r="AC104" s="40">
        <f>IF(AC$6&lt;$B104,0,IF(AC$6=$B104,'Growth Engine'!AC$10*'Macro &amp; Indexation'!AC$19*gross_yield,AB104*(1+'Macro &amp; Indexation'!AC$11)))</f>
        <v>0</v>
      </c>
      <c r="AD104" s="40">
        <f>IF(AD$6&lt;$B104,0,IF(AD$6=$B104,'Growth Engine'!AD$10*'Macro &amp; Indexation'!AD$19*gross_yield,AC104*(1+'Macro &amp; Indexation'!AD$11)))</f>
        <v>0</v>
      </c>
      <c r="AE104" s="40">
        <f>IF(AE$6&lt;$B104,0,IF(AE$6=$B104,'Growth Engine'!AE$10*'Macro &amp; Indexation'!AE$19*gross_yield,AD104*(1+'Macro &amp; Indexation'!AE$11)))</f>
        <v>0</v>
      </c>
      <c r="AF104" s="40">
        <f>IF(AF$6&lt;$B104,0,IF(AF$6=$B104,'Growth Engine'!AF$10*'Macro &amp; Indexation'!AF$19*gross_yield,AE104*(1+'Macro &amp; Indexation'!AF$11)))</f>
        <v>0</v>
      </c>
      <c r="AG104" s="40">
        <f>IF(AG$6&lt;$B104,0,IF(AG$6=$B104,'Growth Engine'!AG$10*'Macro &amp; Indexation'!AG$19*gross_yield,AF104*(1+'Macro &amp; Indexation'!AG$11)))</f>
        <v>0</v>
      </c>
      <c r="AH104" s="40">
        <f>IF(AH$6&lt;$B104,0,IF(AH$6=$B104,'Growth Engine'!AH$10*'Macro &amp; Indexation'!AH$19*gross_yield,AG104*(1+'Macro &amp; Indexation'!AH$11)))</f>
        <v>0</v>
      </c>
      <c r="AI104" s="40">
        <f>IF(AI$6&lt;$B104,0,IF(AI$6=$B104,'Growth Engine'!AI$10*'Macro &amp; Indexation'!AI$19*gross_yield,AH104*(1+'Macro &amp; Indexation'!AI$11)))</f>
        <v>0</v>
      </c>
      <c r="AJ104" s="40">
        <f>IF(AJ$6&lt;$B104,0,IF(AJ$6=$B104,'Growth Engine'!AJ$10*'Macro &amp; Indexation'!AJ$19*gross_yield,AI104*(1+'Macro &amp; Indexation'!AJ$11)))</f>
        <v>0</v>
      </c>
      <c r="AK104" s="40">
        <f>IF(AK$6&lt;$B104,0,IF(AK$6=$B104,'Growth Engine'!AK$10*'Macro &amp; Indexation'!AK$19*gross_yield,AJ104*(1+'Macro &amp; Indexation'!AK$11)))</f>
        <v>0</v>
      </c>
      <c r="AL104" s="40">
        <f>IF(AL$6&lt;$B104,0,IF(AL$6=$B104,'Growth Engine'!AL$10*'Macro &amp; Indexation'!AL$19*gross_yield,AK104*(1+'Macro &amp; Indexation'!AL$11)))</f>
        <v>0</v>
      </c>
      <c r="AM104" s="40">
        <f>IF(AM$6&lt;$B104,0,IF(AM$6=$B104,'Growth Engine'!AM$10*'Macro &amp; Indexation'!AM$19*gross_yield,AL104*(1+'Macro &amp; Indexation'!AM$11)))</f>
        <v>0</v>
      </c>
      <c r="AN104" s="40">
        <f>IF(AN$6&lt;$B104,0,IF(AN$6=$B104,'Growth Engine'!AN$10*'Macro &amp; Indexation'!AN$19*gross_yield,AM104*(1+'Macro &amp; Indexation'!AN$11)))</f>
        <v>0</v>
      </c>
      <c r="AO104" s="40">
        <f>IF(AO$6&lt;$B104,0,IF(AO$6=$B104,'Growth Engine'!AO$10*'Macro &amp; Indexation'!AO$19*gross_yield,AN104*(1+'Macro &amp; Indexation'!AO$11)))</f>
        <v>0</v>
      </c>
      <c r="AP104" s="40">
        <f ca="1">IF(AP$6&lt;$B104,0,IF(AP$6=$B104,'Growth Engine'!AP$10*'Macro &amp; Indexation'!AP$19*gross_yield,AO104*(1+'Macro &amp; Indexation'!AP$11)))</f>
        <v>51744.158413421712</v>
      </c>
      <c r="AQ104" s="40">
        <f ca="1">IF(AQ$6&lt;$B104,0,IF(AQ$6=$B104,'Growth Engine'!AQ$10*'Macro &amp; Indexation'!AQ$19*gross_yield,AP104*(1+'Macro &amp; Indexation'!AQ$11)))</f>
        <v>53037.76237375725</v>
      </c>
      <c r="AR104" s="40">
        <f ca="1">IF(AR$6&lt;$B104,0,IF(AR$6=$B104,'Growth Engine'!AR$10*'Macro &amp; Indexation'!AR$19*gross_yield,AQ104*(1+'Macro &amp; Indexation'!AR$11)))</f>
        <v>54363.706433101179</v>
      </c>
      <c r="AS104" s="40">
        <f ca="1">IF(AS$6&lt;$B104,0,IF(AS$6=$B104,'Growth Engine'!AS$10*'Macro &amp; Indexation'!AS$19*gross_yield,AR104*(1+'Macro &amp; Indexation'!AS$11)))</f>
        <v>55722.799093928705</v>
      </c>
      <c r="AT104" s="40">
        <f ca="1">IF(AT$6&lt;$B104,0,IF(AT$6=$B104,'Growth Engine'!AT$10*'Macro &amp; Indexation'!AT$19*gross_yield,AS104*(1+'Macro &amp; Indexation'!AT$11)))</f>
        <v>57115.869071276917</v>
      </c>
      <c r="AU104" s="40">
        <f ca="1">IF(AU$6&lt;$B104,0,IF(AU$6=$B104,'Growth Engine'!AU$10*'Macro &amp; Indexation'!AU$19*gross_yield,AT104*(1+'Macro &amp; Indexation'!AU$11)))</f>
        <v>58543.765798058834</v>
      </c>
      <c r="AV104" s="40">
        <f ca="1">IF(AV$6&lt;$B104,0,IF(AV$6=$B104,'Growth Engine'!AV$10*'Macro &amp; Indexation'!AV$19*gross_yield,AU104*(1+'Macro &amp; Indexation'!AV$11)))</f>
        <v>60007.359943010299</v>
      </c>
      <c r="AW104" s="40">
        <f ca="1">IF(AW$6&lt;$B104,0,IF(AW$6=$B104,'Growth Engine'!AW$10*'Macro &amp; Indexation'!AW$19*gross_yield,AV104*(1+'Macro &amp; Indexation'!AW$11)))</f>
        <v>61507.543941585551</v>
      </c>
      <c r="AX104" s="40">
        <f ca="1">IF(AX$6&lt;$B104,0,IF(AX$6=$B104,'Growth Engine'!AX$10*'Macro &amp; Indexation'!AX$19*gross_yield,AW104*(1+'Macro &amp; Indexation'!AX$11)))</f>
        <v>63045.232540125187</v>
      </c>
      <c r="AY104" s="40">
        <f ca="1">IF(AY$6&lt;$B104,0,IF(AY$6=$B104,'Growth Engine'!AY$10*'Macro &amp; Indexation'!AY$19*gross_yield,AX104*(1+'Macro &amp; Indexation'!AY$11)))</f>
        <v>64621.363353628309</v>
      </c>
      <c r="AZ104" s="40">
        <f ca="1">IF(AZ$6&lt;$B104,0,IF(AZ$6=$B104,'Growth Engine'!AZ$10*'Macro &amp; Indexation'!AZ$19*gross_yield,AY104*(1+'Macro &amp; Indexation'!AZ$11)))</f>
        <v>66236.897437469015</v>
      </c>
      <c r="BA104" s="40">
        <f ca="1">IF(BA$6&lt;$B104,0,IF(BA$6=$B104,'Growth Engine'!BA$10*'Macro &amp; Indexation'!BA$19*gross_yield,AZ104*(1+'Macro &amp; Indexation'!BA$11)))</f>
        <v>67892.819873405737</v>
      </c>
    </row>
    <row r="105" spans="1:53" outlineLevel="1" x14ac:dyDescent="0.3">
      <c r="A105" t="s">
        <v>176</v>
      </c>
      <c r="B105">
        <v>40</v>
      </c>
      <c r="D105" s="40">
        <f>IF(D$6&lt;$B105,0,IF(D$6=$B105,'Growth Engine'!D$10*'Macro &amp; Indexation'!D$19*gross_yield,C105*(1+'Macro &amp; Indexation'!D$11)))</f>
        <v>0</v>
      </c>
      <c r="E105" s="40">
        <f>IF(E$6&lt;$B105,0,IF(E$6=$B105,'Growth Engine'!E$10*'Macro &amp; Indexation'!E$19*gross_yield,D105*(1+'Macro &amp; Indexation'!E$11)))</f>
        <v>0</v>
      </c>
      <c r="F105" s="40">
        <f>IF(F$6&lt;$B105,0,IF(F$6=$B105,'Growth Engine'!F$10*'Macro &amp; Indexation'!F$19*gross_yield,E105*(1+'Macro &amp; Indexation'!F$11)))</f>
        <v>0</v>
      </c>
      <c r="G105" s="40">
        <f>IF(G$6&lt;$B105,0,IF(G$6=$B105,'Growth Engine'!G$10*'Macro &amp; Indexation'!G$19*gross_yield,F105*(1+'Macro &amp; Indexation'!G$11)))</f>
        <v>0</v>
      </c>
      <c r="H105" s="40">
        <f>IF(H$6&lt;$B105,0,IF(H$6=$B105,'Growth Engine'!H$10*'Macro &amp; Indexation'!H$19*gross_yield,G105*(1+'Macro &amp; Indexation'!H$11)))</f>
        <v>0</v>
      </c>
      <c r="I105" s="40">
        <f>IF(I$6&lt;$B105,0,IF(I$6=$B105,'Growth Engine'!I$10*'Macro &amp; Indexation'!I$19*gross_yield,H105*(1+'Macro &amp; Indexation'!I$11)))</f>
        <v>0</v>
      </c>
      <c r="J105" s="40">
        <f>IF(J$6&lt;$B105,0,IF(J$6=$B105,'Growth Engine'!J$10*'Macro &amp; Indexation'!J$19*gross_yield,I105*(1+'Macro &amp; Indexation'!J$11)))</f>
        <v>0</v>
      </c>
      <c r="K105" s="40">
        <f>IF(K$6&lt;$B105,0,IF(K$6=$B105,'Growth Engine'!K$10*'Macro &amp; Indexation'!K$19*gross_yield,J105*(1+'Macro &amp; Indexation'!K$11)))</f>
        <v>0</v>
      </c>
      <c r="L105" s="40">
        <f>IF(L$6&lt;$B105,0,IF(L$6=$B105,'Growth Engine'!L$10*'Macro &amp; Indexation'!L$19*gross_yield,K105*(1+'Macro &amp; Indexation'!L$11)))</f>
        <v>0</v>
      </c>
      <c r="M105" s="40">
        <f>IF(M$6&lt;$B105,0,IF(M$6=$B105,'Growth Engine'!M$10*'Macro &amp; Indexation'!M$19*gross_yield,L105*(1+'Macro &amp; Indexation'!M$11)))</f>
        <v>0</v>
      </c>
      <c r="N105" s="40">
        <f>IF(N$6&lt;$B105,0,IF(N$6=$B105,'Growth Engine'!N$10*'Macro &amp; Indexation'!N$19*gross_yield,M105*(1+'Macro &amp; Indexation'!N$11)))</f>
        <v>0</v>
      </c>
      <c r="O105" s="40">
        <f>IF(O$6&lt;$B105,0,IF(O$6=$B105,'Growth Engine'!O$10*'Macro &amp; Indexation'!O$19*gross_yield,N105*(1+'Macro &amp; Indexation'!O$11)))</f>
        <v>0</v>
      </c>
      <c r="P105" s="40">
        <f>IF(P$6&lt;$B105,0,IF(P$6=$B105,'Growth Engine'!P$10*'Macro &amp; Indexation'!P$19*gross_yield,O105*(1+'Macro &amp; Indexation'!P$11)))</f>
        <v>0</v>
      </c>
      <c r="Q105" s="40">
        <f>IF(Q$6&lt;$B105,0,IF(Q$6=$B105,'Growth Engine'!Q$10*'Macro &amp; Indexation'!Q$19*gross_yield,P105*(1+'Macro &amp; Indexation'!Q$11)))</f>
        <v>0</v>
      </c>
      <c r="R105" s="40">
        <f>IF(R$6&lt;$B105,0,IF(R$6=$B105,'Growth Engine'!R$10*'Macro &amp; Indexation'!R$19*gross_yield,Q105*(1+'Macro &amp; Indexation'!R$11)))</f>
        <v>0</v>
      </c>
      <c r="S105" s="40">
        <f>IF(S$6&lt;$B105,0,IF(S$6=$B105,'Growth Engine'!S$10*'Macro &amp; Indexation'!S$19*gross_yield,R105*(1+'Macro &amp; Indexation'!S$11)))</f>
        <v>0</v>
      </c>
      <c r="T105" s="40">
        <f>IF(T$6&lt;$B105,0,IF(T$6=$B105,'Growth Engine'!T$10*'Macro &amp; Indexation'!T$19*gross_yield,S105*(1+'Macro &amp; Indexation'!T$11)))</f>
        <v>0</v>
      </c>
      <c r="U105" s="40">
        <f>IF(U$6&lt;$B105,0,IF(U$6=$B105,'Growth Engine'!U$10*'Macro &amp; Indexation'!U$19*gross_yield,T105*(1+'Macro &amp; Indexation'!U$11)))</f>
        <v>0</v>
      </c>
      <c r="V105" s="40">
        <f>IF(V$6&lt;$B105,0,IF(V$6=$B105,'Growth Engine'!V$10*'Macro &amp; Indexation'!V$19*gross_yield,U105*(1+'Macro &amp; Indexation'!V$11)))</f>
        <v>0</v>
      </c>
      <c r="W105" s="40">
        <f>IF(W$6&lt;$B105,0,IF(W$6=$B105,'Growth Engine'!W$10*'Macro &amp; Indexation'!W$19*gross_yield,V105*(1+'Macro &amp; Indexation'!W$11)))</f>
        <v>0</v>
      </c>
      <c r="X105" s="40">
        <f>IF(X$6&lt;$B105,0,IF(X$6=$B105,'Growth Engine'!X$10*'Macro &amp; Indexation'!X$19*gross_yield,W105*(1+'Macro &amp; Indexation'!X$11)))</f>
        <v>0</v>
      </c>
      <c r="Y105" s="40">
        <f>IF(Y$6&lt;$B105,0,IF(Y$6=$B105,'Growth Engine'!Y$10*'Macro &amp; Indexation'!Y$19*gross_yield,X105*(1+'Macro &amp; Indexation'!Y$11)))</f>
        <v>0</v>
      </c>
      <c r="Z105" s="40">
        <f>IF(Z$6&lt;$B105,0,IF(Z$6=$B105,'Growth Engine'!Z$10*'Macro &amp; Indexation'!Z$19*gross_yield,Y105*(1+'Macro &amp; Indexation'!Z$11)))</f>
        <v>0</v>
      </c>
      <c r="AA105" s="40">
        <f>IF(AA$6&lt;$B105,0,IF(AA$6=$B105,'Growth Engine'!AA$10*'Macro &amp; Indexation'!AA$19*gross_yield,Z105*(1+'Macro &amp; Indexation'!AA$11)))</f>
        <v>0</v>
      </c>
      <c r="AB105" s="40">
        <f>IF(AB$6&lt;$B105,0,IF(AB$6=$B105,'Growth Engine'!AB$10*'Macro &amp; Indexation'!AB$19*gross_yield,AA105*(1+'Macro &amp; Indexation'!AB$11)))</f>
        <v>0</v>
      </c>
      <c r="AC105" s="40">
        <f>IF(AC$6&lt;$B105,0,IF(AC$6=$B105,'Growth Engine'!AC$10*'Macro &amp; Indexation'!AC$19*gross_yield,AB105*(1+'Macro &amp; Indexation'!AC$11)))</f>
        <v>0</v>
      </c>
      <c r="AD105" s="40">
        <f>IF(AD$6&lt;$B105,0,IF(AD$6=$B105,'Growth Engine'!AD$10*'Macro &amp; Indexation'!AD$19*gross_yield,AC105*(1+'Macro &amp; Indexation'!AD$11)))</f>
        <v>0</v>
      </c>
      <c r="AE105" s="40">
        <f>IF(AE$6&lt;$B105,0,IF(AE$6=$B105,'Growth Engine'!AE$10*'Macro &amp; Indexation'!AE$19*gross_yield,AD105*(1+'Macro &amp; Indexation'!AE$11)))</f>
        <v>0</v>
      </c>
      <c r="AF105" s="40">
        <f>IF(AF$6&lt;$B105,0,IF(AF$6=$B105,'Growth Engine'!AF$10*'Macro &amp; Indexation'!AF$19*gross_yield,AE105*(1+'Macro &amp; Indexation'!AF$11)))</f>
        <v>0</v>
      </c>
      <c r="AG105" s="40">
        <f>IF(AG$6&lt;$B105,0,IF(AG$6=$B105,'Growth Engine'!AG$10*'Macro &amp; Indexation'!AG$19*gross_yield,AF105*(1+'Macro &amp; Indexation'!AG$11)))</f>
        <v>0</v>
      </c>
      <c r="AH105" s="40">
        <f>IF(AH$6&lt;$B105,0,IF(AH$6=$B105,'Growth Engine'!AH$10*'Macro &amp; Indexation'!AH$19*gross_yield,AG105*(1+'Macro &amp; Indexation'!AH$11)))</f>
        <v>0</v>
      </c>
      <c r="AI105" s="40">
        <f>IF(AI$6&lt;$B105,0,IF(AI$6=$B105,'Growth Engine'!AI$10*'Macro &amp; Indexation'!AI$19*gross_yield,AH105*(1+'Macro &amp; Indexation'!AI$11)))</f>
        <v>0</v>
      </c>
      <c r="AJ105" s="40">
        <f>IF(AJ$6&lt;$B105,0,IF(AJ$6=$B105,'Growth Engine'!AJ$10*'Macro &amp; Indexation'!AJ$19*gross_yield,AI105*(1+'Macro &amp; Indexation'!AJ$11)))</f>
        <v>0</v>
      </c>
      <c r="AK105" s="40">
        <f>IF(AK$6&lt;$B105,0,IF(AK$6=$B105,'Growth Engine'!AK$10*'Macro &amp; Indexation'!AK$19*gross_yield,AJ105*(1+'Macro &amp; Indexation'!AK$11)))</f>
        <v>0</v>
      </c>
      <c r="AL105" s="40">
        <f>IF(AL$6&lt;$B105,0,IF(AL$6=$B105,'Growth Engine'!AL$10*'Macro &amp; Indexation'!AL$19*gross_yield,AK105*(1+'Macro &amp; Indexation'!AL$11)))</f>
        <v>0</v>
      </c>
      <c r="AM105" s="40">
        <f>IF(AM$6&lt;$B105,0,IF(AM$6=$B105,'Growth Engine'!AM$10*'Macro &amp; Indexation'!AM$19*gross_yield,AL105*(1+'Macro &amp; Indexation'!AM$11)))</f>
        <v>0</v>
      </c>
      <c r="AN105" s="40">
        <f>IF(AN$6&lt;$B105,0,IF(AN$6=$B105,'Growth Engine'!AN$10*'Macro &amp; Indexation'!AN$19*gross_yield,AM105*(1+'Macro &amp; Indexation'!AN$11)))</f>
        <v>0</v>
      </c>
      <c r="AO105" s="40">
        <f>IF(AO$6&lt;$B105,0,IF(AO$6=$B105,'Growth Engine'!AO$10*'Macro &amp; Indexation'!AO$19*gross_yield,AN105*(1+'Macro &amp; Indexation'!AO$11)))</f>
        <v>0</v>
      </c>
      <c r="AP105" s="40">
        <f>IF(AP$6&lt;$B105,0,IF(AP$6=$B105,'Growth Engine'!AP$10*'Macro &amp; Indexation'!AP$19*gross_yield,AO105*(1+'Macro &amp; Indexation'!AP$11)))</f>
        <v>0</v>
      </c>
      <c r="AQ105" s="40">
        <f ca="1">IF(AQ$6&lt;$B105,0,IF(AQ$6=$B105,'Growth Engine'!AQ$10*'Macro &amp; Indexation'!AQ$19*gross_yield,AP105*(1+'Macro &amp; Indexation'!AQ$11)))</f>
        <v>53555.20395789147</v>
      </c>
      <c r="AR105" s="40">
        <f ca="1">IF(AR$6&lt;$B105,0,IF(AR$6=$B105,'Growth Engine'!AR$10*'Macro &amp; Indexation'!AR$19*gross_yield,AQ105*(1+'Macro &amp; Indexation'!AR$11)))</f>
        <v>54894.08405683875</v>
      </c>
      <c r="AS105" s="40">
        <f ca="1">IF(AS$6&lt;$B105,0,IF(AS$6=$B105,'Growth Engine'!AS$10*'Macro &amp; Indexation'!AS$19*gross_yield,AR105*(1+'Macro &amp; Indexation'!AS$11)))</f>
        <v>56266.436158259712</v>
      </c>
      <c r="AT105" s="40">
        <f ca="1">IF(AT$6&lt;$B105,0,IF(AT$6=$B105,'Growth Engine'!AT$10*'Macro &amp; Indexation'!AT$19*gross_yield,AS105*(1+'Macro &amp; Indexation'!AT$11)))</f>
        <v>57673.097062216199</v>
      </c>
      <c r="AU105" s="40">
        <f ca="1">IF(AU$6&lt;$B105,0,IF(AU$6=$B105,'Growth Engine'!AU$10*'Macro &amp; Indexation'!AU$19*gross_yield,AT105*(1+'Macro &amp; Indexation'!AU$11)))</f>
        <v>59114.924488771598</v>
      </c>
      <c r="AV105" s="40">
        <f ca="1">IF(AV$6&lt;$B105,0,IF(AV$6=$B105,'Growth Engine'!AV$10*'Macro &amp; Indexation'!AV$19*gross_yield,AU105*(1+'Macro &amp; Indexation'!AV$11)))</f>
        <v>60592.797600990882</v>
      </c>
      <c r="AW105" s="40">
        <f ca="1">IF(AW$6&lt;$B105,0,IF(AW$6=$B105,'Growth Engine'!AW$10*'Macro &amp; Indexation'!AW$19*gross_yield,AV105*(1+'Macro &amp; Indexation'!AW$11)))</f>
        <v>62107.61754101565</v>
      </c>
      <c r="AX105" s="40">
        <f ca="1">IF(AX$6&lt;$B105,0,IF(AX$6=$B105,'Growth Engine'!AX$10*'Macro &amp; Indexation'!AX$19*gross_yield,AW105*(1+'Macro &amp; Indexation'!AX$11)))</f>
        <v>63660.307979541038</v>
      </c>
      <c r="AY105" s="40">
        <f ca="1">IF(AY$6&lt;$B105,0,IF(AY$6=$B105,'Growth Engine'!AY$10*'Macro &amp; Indexation'!AY$19*gross_yield,AX105*(1+'Macro &amp; Indexation'!AY$11)))</f>
        <v>65251.815679029554</v>
      </c>
      <c r="AZ105" s="40">
        <f ca="1">IF(AZ$6&lt;$B105,0,IF(AZ$6=$B105,'Growth Engine'!AZ$10*'Macro &amp; Indexation'!AZ$19*gross_yield,AY105*(1+'Macro &amp; Indexation'!AZ$11)))</f>
        <v>66883.111071005289</v>
      </c>
      <c r="BA105" s="40">
        <f ca="1">IF(BA$6&lt;$B105,0,IF(BA$6=$B105,'Growth Engine'!BA$10*'Macro &amp; Indexation'!BA$19*gross_yield,AZ105*(1+'Macro &amp; Indexation'!BA$11)))</f>
        <v>68555.188847780417</v>
      </c>
    </row>
    <row r="106" spans="1:53" outlineLevel="1" x14ac:dyDescent="0.3">
      <c r="A106" t="s">
        <v>177</v>
      </c>
      <c r="B106">
        <v>41</v>
      </c>
      <c r="D106" s="40">
        <f>IF(D$6&lt;$B106,0,IF(D$6=$B106,'Growth Engine'!D$10*'Macro &amp; Indexation'!D$19*gross_yield,C106*(1+'Macro &amp; Indexation'!D$11)))</f>
        <v>0</v>
      </c>
      <c r="E106" s="40">
        <f>IF(E$6&lt;$B106,0,IF(E$6=$B106,'Growth Engine'!E$10*'Macro &amp; Indexation'!E$19*gross_yield,D106*(1+'Macro &amp; Indexation'!E$11)))</f>
        <v>0</v>
      </c>
      <c r="F106" s="40">
        <f>IF(F$6&lt;$B106,0,IF(F$6=$B106,'Growth Engine'!F$10*'Macro &amp; Indexation'!F$19*gross_yield,E106*(1+'Macro &amp; Indexation'!F$11)))</f>
        <v>0</v>
      </c>
      <c r="G106" s="40">
        <f>IF(G$6&lt;$B106,0,IF(G$6=$B106,'Growth Engine'!G$10*'Macro &amp; Indexation'!G$19*gross_yield,F106*(1+'Macro &amp; Indexation'!G$11)))</f>
        <v>0</v>
      </c>
      <c r="H106" s="40">
        <f>IF(H$6&lt;$B106,0,IF(H$6=$B106,'Growth Engine'!H$10*'Macro &amp; Indexation'!H$19*gross_yield,G106*(1+'Macro &amp; Indexation'!H$11)))</f>
        <v>0</v>
      </c>
      <c r="I106" s="40">
        <f>IF(I$6&lt;$B106,0,IF(I$6=$B106,'Growth Engine'!I$10*'Macro &amp; Indexation'!I$19*gross_yield,H106*(1+'Macro &amp; Indexation'!I$11)))</f>
        <v>0</v>
      </c>
      <c r="J106" s="40">
        <f>IF(J$6&lt;$B106,0,IF(J$6=$B106,'Growth Engine'!J$10*'Macro &amp; Indexation'!J$19*gross_yield,I106*(1+'Macro &amp; Indexation'!J$11)))</f>
        <v>0</v>
      </c>
      <c r="K106" s="40">
        <f>IF(K$6&lt;$B106,0,IF(K$6=$B106,'Growth Engine'!K$10*'Macro &amp; Indexation'!K$19*gross_yield,J106*(1+'Macro &amp; Indexation'!K$11)))</f>
        <v>0</v>
      </c>
      <c r="L106" s="40">
        <f>IF(L$6&lt;$B106,0,IF(L$6=$B106,'Growth Engine'!L$10*'Macro &amp; Indexation'!L$19*gross_yield,K106*(1+'Macro &amp; Indexation'!L$11)))</f>
        <v>0</v>
      </c>
      <c r="M106" s="40">
        <f>IF(M$6&lt;$B106,0,IF(M$6=$B106,'Growth Engine'!M$10*'Macro &amp; Indexation'!M$19*gross_yield,L106*(1+'Macro &amp; Indexation'!M$11)))</f>
        <v>0</v>
      </c>
      <c r="N106" s="40">
        <f>IF(N$6&lt;$B106,0,IF(N$6=$B106,'Growth Engine'!N$10*'Macro &amp; Indexation'!N$19*gross_yield,M106*(1+'Macro &amp; Indexation'!N$11)))</f>
        <v>0</v>
      </c>
      <c r="O106" s="40">
        <f>IF(O$6&lt;$B106,0,IF(O$6=$B106,'Growth Engine'!O$10*'Macro &amp; Indexation'!O$19*gross_yield,N106*(1+'Macro &amp; Indexation'!O$11)))</f>
        <v>0</v>
      </c>
      <c r="P106" s="40">
        <f>IF(P$6&lt;$B106,0,IF(P$6=$B106,'Growth Engine'!P$10*'Macro &amp; Indexation'!P$19*gross_yield,O106*(1+'Macro &amp; Indexation'!P$11)))</f>
        <v>0</v>
      </c>
      <c r="Q106" s="40">
        <f>IF(Q$6&lt;$B106,0,IF(Q$6=$B106,'Growth Engine'!Q$10*'Macro &amp; Indexation'!Q$19*gross_yield,P106*(1+'Macro &amp; Indexation'!Q$11)))</f>
        <v>0</v>
      </c>
      <c r="R106" s="40">
        <f>IF(R$6&lt;$B106,0,IF(R$6=$B106,'Growth Engine'!R$10*'Macro &amp; Indexation'!R$19*gross_yield,Q106*(1+'Macro &amp; Indexation'!R$11)))</f>
        <v>0</v>
      </c>
      <c r="S106" s="40">
        <f>IF(S$6&lt;$B106,0,IF(S$6=$B106,'Growth Engine'!S$10*'Macro &amp; Indexation'!S$19*gross_yield,R106*(1+'Macro &amp; Indexation'!S$11)))</f>
        <v>0</v>
      </c>
      <c r="T106" s="40">
        <f>IF(T$6&lt;$B106,0,IF(T$6=$B106,'Growth Engine'!T$10*'Macro &amp; Indexation'!T$19*gross_yield,S106*(1+'Macro &amp; Indexation'!T$11)))</f>
        <v>0</v>
      </c>
      <c r="U106" s="40">
        <f>IF(U$6&lt;$B106,0,IF(U$6=$B106,'Growth Engine'!U$10*'Macro &amp; Indexation'!U$19*gross_yield,T106*(1+'Macro &amp; Indexation'!U$11)))</f>
        <v>0</v>
      </c>
      <c r="V106" s="40">
        <f>IF(V$6&lt;$B106,0,IF(V$6=$B106,'Growth Engine'!V$10*'Macro &amp; Indexation'!V$19*gross_yield,U106*(1+'Macro &amp; Indexation'!V$11)))</f>
        <v>0</v>
      </c>
      <c r="W106" s="40">
        <f>IF(W$6&lt;$B106,0,IF(W$6=$B106,'Growth Engine'!W$10*'Macro &amp; Indexation'!W$19*gross_yield,V106*(1+'Macro &amp; Indexation'!W$11)))</f>
        <v>0</v>
      </c>
      <c r="X106" s="40">
        <f>IF(X$6&lt;$B106,0,IF(X$6=$B106,'Growth Engine'!X$10*'Macro &amp; Indexation'!X$19*gross_yield,W106*(1+'Macro &amp; Indexation'!X$11)))</f>
        <v>0</v>
      </c>
      <c r="Y106" s="40">
        <f>IF(Y$6&lt;$B106,0,IF(Y$6=$B106,'Growth Engine'!Y$10*'Macro &amp; Indexation'!Y$19*gross_yield,X106*(1+'Macro &amp; Indexation'!Y$11)))</f>
        <v>0</v>
      </c>
      <c r="Z106" s="40">
        <f>IF(Z$6&lt;$B106,0,IF(Z$6=$B106,'Growth Engine'!Z$10*'Macro &amp; Indexation'!Z$19*gross_yield,Y106*(1+'Macro &amp; Indexation'!Z$11)))</f>
        <v>0</v>
      </c>
      <c r="AA106" s="40">
        <f>IF(AA$6&lt;$B106,0,IF(AA$6=$B106,'Growth Engine'!AA$10*'Macro &amp; Indexation'!AA$19*gross_yield,Z106*(1+'Macro &amp; Indexation'!AA$11)))</f>
        <v>0</v>
      </c>
      <c r="AB106" s="40">
        <f>IF(AB$6&lt;$B106,0,IF(AB$6=$B106,'Growth Engine'!AB$10*'Macro &amp; Indexation'!AB$19*gross_yield,AA106*(1+'Macro &amp; Indexation'!AB$11)))</f>
        <v>0</v>
      </c>
      <c r="AC106" s="40">
        <f>IF(AC$6&lt;$B106,0,IF(AC$6=$B106,'Growth Engine'!AC$10*'Macro &amp; Indexation'!AC$19*gross_yield,AB106*(1+'Macro &amp; Indexation'!AC$11)))</f>
        <v>0</v>
      </c>
      <c r="AD106" s="40">
        <f>IF(AD$6&lt;$B106,0,IF(AD$6=$B106,'Growth Engine'!AD$10*'Macro &amp; Indexation'!AD$19*gross_yield,AC106*(1+'Macro &amp; Indexation'!AD$11)))</f>
        <v>0</v>
      </c>
      <c r="AE106" s="40">
        <f>IF(AE$6&lt;$B106,0,IF(AE$6=$B106,'Growth Engine'!AE$10*'Macro &amp; Indexation'!AE$19*gross_yield,AD106*(1+'Macro &amp; Indexation'!AE$11)))</f>
        <v>0</v>
      </c>
      <c r="AF106" s="40">
        <f>IF(AF$6&lt;$B106,0,IF(AF$6=$B106,'Growth Engine'!AF$10*'Macro &amp; Indexation'!AF$19*gross_yield,AE106*(1+'Macro &amp; Indexation'!AF$11)))</f>
        <v>0</v>
      </c>
      <c r="AG106" s="40">
        <f>IF(AG$6&lt;$B106,0,IF(AG$6=$B106,'Growth Engine'!AG$10*'Macro &amp; Indexation'!AG$19*gross_yield,AF106*(1+'Macro &amp; Indexation'!AG$11)))</f>
        <v>0</v>
      </c>
      <c r="AH106" s="40">
        <f>IF(AH$6&lt;$B106,0,IF(AH$6=$B106,'Growth Engine'!AH$10*'Macro &amp; Indexation'!AH$19*gross_yield,AG106*(1+'Macro &amp; Indexation'!AH$11)))</f>
        <v>0</v>
      </c>
      <c r="AI106" s="40">
        <f>IF(AI$6&lt;$B106,0,IF(AI$6=$B106,'Growth Engine'!AI$10*'Macro &amp; Indexation'!AI$19*gross_yield,AH106*(1+'Macro &amp; Indexation'!AI$11)))</f>
        <v>0</v>
      </c>
      <c r="AJ106" s="40">
        <f>IF(AJ$6&lt;$B106,0,IF(AJ$6=$B106,'Growth Engine'!AJ$10*'Macro &amp; Indexation'!AJ$19*gross_yield,AI106*(1+'Macro &amp; Indexation'!AJ$11)))</f>
        <v>0</v>
      </c>
      <c r="AK106" s="40">
        <f>IF(AK$6&lt;$B106,0,IF(AK$6=$B106,'Growth Engine'!AK$10*'Macro &amp; Indexation'!AK$19*gross_yield,AJ106*(1+'Macro &amp; Indexation'!AK$11)))</f>
        <v>0</v>
      </c>
      <c r="AL106" s="40">
        <f>IF(AL$6&lt;$B106,0,IF(AL$6=$B106,'Growth Engine'!AL$10*'Macro &amp; Indexation'!AL$19*gross_yield,AK106*(1+'Macro &amp; Indexation'!AL$11)))</f>
        <v>0</v>
      </c>
      <c r="AM106" s="40">
        <f>IF(AM$6&lt;$B106,0,IF(AM$6=$B106,'Growth Engine'!AM$10*'Macro &amp; Indexation'!AM$19*gross_yield,AL106*(1+'Macro &amp; Indexation'!AM$11)))</f>
        <v>0</v>
      </c>
      <c r="AN106" s="40">
        <f>IF(AN$6&lt;$B106,0,IF(AN$6=$B106,'Growth Engine'!AN$10*'Macro &amp; Indexation'!AN$19*gross_yield,AM106*(1+'Macro &amp; Indexation'!AN$11)))</f>
        <v>0</v>
      </c>
      <c r="AO106" s="40">
        <f>IF(AO$6&lt;$B106,0,IF(AO$6=$B106,'Growth Engine'!AO$10*'Macro &amp; Indexation'!AO$19*gross_yield,AN106*(1+'Macro &amp; Indexation'!AO$11)))</f>
        <v>0</v>
      </c>
      <c r="AP106" s="40">
        <f>IF(AP$6&lt;$B106,0,IF(AP$6=$B106,'Growth Engine'!AP$10*'Macro &amp; Indexation'!AP$19*gross_yield,AO106*(1+'Macro &amp; Indexation'!AP$11)))</f>
        <v>0</v>
      </c>
      <c r="AQ106" s="40">
        <f>IF(AQ$6&lt;$B106,0,IF(AQ$6=$B106,'Growth Engine'!AQ$10*'Macro &amp; Indexation'!AQ$19*gross_yield,AP106*(1+'Macro &amp; Indexation'!AQ$11)))</f>
        <v>0</v>
      </c>
      <c r="AR106" s="40">
        <f ca="1">IF(AR$6&lt;$B106,0,IF(AR$6=$B106,'Growth Engine'!AR$10*'Macro &amp; Indexation'!AR$19*gross_yield,AQ106*(1+'Macro &amp; Indexation'!AR$11)))</f>
        <v>55429.636096417664</v>
      </c>
      <c r="AS106" s="40">
        <f ca="1">IF(AS$6&lt;$B106,0,IF(AS$6=$B106,'Growth Engine'!AS$10*'Macro &amp; Indexation'!AS$19*gross_yield,AR106*(1+'Macro &amp; Indexation'!AS$11)))</f>
        <v>56815.376998828098</v>
      </c>
      <c r="AT106" s="40">
        <f ca="1">IF(AT$6&lt;$B106,0,IF(AT$6=$B106,'Growth Engine'!AT$10*'Macro &amp; Indexation'!AT$19*gross_yield,AS106*(1+'Macro &amp; Indexation'!AT$11)))</f>
        <v>58235.761423798795</v>
      </c>
      <c r="AU106" s="40">
        <f ca="1">IF(AU$6&lt;$B106,0,IF(AU$6=$B106,'Growth Engine'!AU$10*'Macro &amp; Indexation'!AU$19*gross_yield,AT106*(1+'Macro &amp; Indexation'!AU$11)))</f>
        <v>59691.655459393762</v>
      </c>
      <c r="AV106" s="40">
        <f ca="1">IF(AV$6&lt;$B106,0,IF(AV$6=$B106,'Growth Engine'!AV$10*'Macro &amp; Indexation'!AV$19*gross_yield,AU106*(1+'Macro &amp; Indexation'!AV$11)))</f>
        <v>61183.9468458786</v>
      </c>
      <c r="AW106" s="40">
        <f ca="1">IF(AW$6&lt;$B106,0,IF(AW$6=$B106,'Growth Engine'!AW$10*'Macro &amp; Indexation'!AW$19*gross_yield,AV106*(1+'Macro &amp; Indexation'!AW$11)))</f>
        <v>62713.545517025559</v>
      </c>
      <c r="AX106" s="40">
        <f ca="1">IF(AX$6&lt;$B106,0,IF(AX$6=$B106,'Growth Engine'!AX$10*'Macro &amp; Indexation'!AX$19*gross_yield,AW106*(1+'Macro &amp; Indexation'!AX$11)))</f>
        <v>64281.384154951193</v>
      </c>
      <c r="AY106" s="40">
        <f ca="1">IF(AY$6&lt;$B106,0,IF(AY$6=$B106,'Growth Engine'!AY$10*'Macro &amp; Indexation'!AY$19*gross_yield,AX106*(1+'Macro &amp; Indexation'!AY$11)))</f>
        <v>65888.418758824962</v>
      </c>
      <c r="AZ106" s="40">
        <f ca="1">IF(AZ$6&lt;$B106,0,IF(AZ$6=$B106,'Growth Engine'!AZ$10*'Macro &amp; Indexation'!AZ$19*gross_yield,AY106*(1+'Macro &amp; Indexation'!AZ$11)))</f>
        <v>67535.62922779558</v>
      </c>
      <c r="BA106" s="40">
        <f ca="1">IF(BA$6&lt;$B106,0,IF(BA$6=$B106,'Growth Engine'!BA$10*'Macro &amp; Indexation'!BA$19*gross_yield,AZ106*(1+'Macro &amp; Indexation'!BA$11)))</f>
        <v>69224.019958490462</v>
      </c>
    </row>
    <row r="107" spans="1:53" outlineLevel="1" x14ac:dyDescent="0.3">
      <c r="A107" t="s">
        <v>178</v>
      </c>
      <c r="B107">
        <v>42</v>
      </c>
      <c r="D107" s="40">
        <f>IF(D$6&lt;$B107,0,IF(D$6=$B107,'Growth Engine'!D$10*'Macro &amp; Indexation'!D$19*gross_yield,C107*(1+'Macro &amp; Indexation'!D$11)))</f>
        <v>0</v>
      </c>
      <c r="E107" s="40">
        <f>IF(E$6&lt;$B107,0,IF(E$6=$B107,'Growth Engine'!E$10*'Macro &amp; Indexation'!E$19*gross_yield,D107*(1+'Macro &amp; Indexation'!E$11)))</f>
        <v>0</v>
      </c>
      <c r="F107" s="40">
        <f>IF(F$6&lt;$B107,0,IF(F$6=$B107,'Growth Engine'!F$10*'Macro &amp; Indexation'!F$19*gross_yield,E107*(1+'Macro &amp; Indexation'!F$11)))</f>
        <v>0</v>
      </c>
      <c r="G107" s="40">
        <f>IF(G$6&lt;$B107,0,IF(G$6=$B107,'Growth Engine'!G$10*'Macro &amp; Indexation'!G$19*gross_yield,F107*(1+'Macro &amp; Indexation'!G$11)))</f>
        <v>0</v>
      </c>
      <c r="H107" s="40">
        <f>IF(H$6&lt;$B107,0,IF(H$6=$B107,'Growth Engine'!H$10*'Macro &amp; Indexation'!H$19*gross_yield,G107*(1+'Macro &amp; Indexation'!H$11)))</f>
        <v>0</v>
      </c>
      <c r="I107" s="40">
        <f>IF(I$6&lt;$B107,0,IF(I$6=$B107,'Growth Engine'!I$10*'Macro &amp; Indexation'!I$19*gross_yield,H107*(1+'Macro &amp; Indexation'!I$11)))</f>
        <v>0</v>
      </c>
      <c r="J107" s="40">
        <f>IF(J$6&lt;$B107,0,IF(J$6=$B107,'Growth Engine'!J$10*'Macro &amp; Indexation'!J$19*gross_yield,I107*(1+'Macro &amp; Indexation'!J$11)))</f>
        <v>0</v>
      </c>
      <c r="K107" s="40">
        <f>IF(K$6&lt;$B107,0,IF(K$6=$B107,'Growth Engine'!K$10*'Macro &amp; Indexation'!K$19*gross_yield,J107*(1+'Macro &amp; Indexation'!K$11)))</f>
        <v>0</v>
      </c>
      <c r="L107" s="40">
        <f>IF(L$6&lt;$B107,0,IF(L$6=$B107,'Growth Engine'!L$10*'Macro &amp; Indexation'!L$19*gross_yield,K107*(1+'Macro &amp; Indexation'!L$11)))</f>
        <v>0</v>
      </c>
      <c r="M107" s="40">
        <f>IF(M$6&lt;$B107,0,IF(M$6=$B107,'Growth Engine'!M$10*'Macro &amp; Indexation'!M$19*gross_yield,L107*(1+'Macro &amp; Indexation'!M$11)))</f>
        <v>0</v>
      </c>
      <c r="N107" s="40">
        <f>IF(N$6&lt;$B107,0,IF(N$6=$B107,'Growth Engine'!N$10*'Macro &amp; Indexation'!N$19*gross_yield,M107*(1+'Macro &amp; Indexation'!N$11)))</f>
        <v>0</v>
      </c>
      <c r="O107" s="40">
        <f>IF(O$6&lt;$B107,0,IF(O$6=$B107,'Growth Engine'!O$10*'Macro &amp; Indexation'!O$19*gross_yield,N107*(1+'Macro &amp; Indexation'!O$11)))</f>
        <v>0</v>
      </c>
      <c r="P107" s="40">
        <f>IF(P$6&lt;$B107,0,IF(P$6=$B107,'Growth Engine'!P$10*'Macro &amp; Indexation'!P$19*gross_yield,O107*(1+'Macro &amp; Indexation'!P$11)))</f>
        <v>0</v>
      </c>
      <c r="Q107" s="40">
        <f>IF(Q$6&lt;$B107,0,IF(Q$6=$B107,'Growth Engine'!Q$10*'Macro &amp; Indexation'!Q$19*gross_yield,P107*(1+'Macro &amp; Indexation'!Q$11)))</f>
        <v>0</v>
      </c>
      <c r="R107" s="40">
        <f>IF(R$6&lt;$B107,0,IF(R$6=$B107,'Growth Engine'!R$10*'Macro &amp; Indexation'!R$19*gross_yield,Q107*(1+'Macro &amp; Indexation'!R$11)))</f>
        <v>0</v>
      </c>
      <c r="S107" s="40">
        <f>IF(S$6&lt;$B107,0,IF(S$6=$B107,'Growth Engine'!S$10*'Macro &amp; Indexation'!S$19*gross_yield,R107*(1+'Macro &amp; Indexation'!S$11)))</f>
        <v>0</v>
      </c>
      <c r="T107" s="40">
        <f>IF(T$6&lt;$B107,0,IF(T$6=$B107,'Growth Engine'!T$10*'Macro &amp; Indexation'!T$19*gross_yield,S107*(1+'Macro &amp; Indexation'!T$11)))</f>
        <v>0</v>
      </c>
      <c r="U107" s="40">
        <f>IF(U$6&lt;$B107,0,IF(U$6=$B107,'Growth Engine'!U$10*'Macro &amp; Indexation'!U$19*gross_yield,T107*(1+'Macro &amp; Indexation'!U$11)))</f>
        <v>0</v>
      </c>
      <c r="V107" s="40">
        <f>IF(V$6&lt;$B107,0,IF(V$6=$B107,'Growth Engine'!V$10*'Macro &amp; Indexation'!V$19*gross_yield,U107*(1+'Macro &amp; Indexation'!V$11)))</f>
        <v>0</v>
      </c>
      <c r="W107" s="40">
        <f>IF(W$6&lt;$B107,0,IF(W$6=$B107,'Growth Engine'!W$10*'Macro &amp; Indexation'!W$19*gross_yield,V107*(1+'Macro &amp; Indexation'!W$11)))</f>
        <v>0</v>
      </c>
      <c r="X107" s="40">
        <f>IF(X$6&lt;$B107,0,IF(X$6=$B107,'Growth Engine'!X$10*'Macro &amp; Indexation'!X$19*gross_yield,W107*(1+'Macro &amp; Indexation'!X$11)))</f>
        <v>0</v>
      </c>
      <c r="Y107" s="40">
        <f>IF(Y$6&lt;$B107,0,IF(Y$6=$B107,'Growth Engine'!Y$10*'Macro &amp; Indexation'!Y$19*gross_yield,X107*(1+'Macro &amp; Indexation'!Y$11)))</f>
        <v>0</v>
      </c>
      <c r="Z107" s="40">
        <f>IF(Z$6&lt;$B107,0,IF(Z$6=$B107,'Growth Engine'!Z$10*'Macro &amp; Indexation'!Z$19*gross_yield,Y107*(1+'Macro &amp; Indexation'!Z$11)))</f>
        <v>0</v>
      </c>
      <c r="AA107" s="40">
        <f>IF(AA$6&lt;$B107,0,IF(AA$6=$B107,'Growth Engine'!AA$10*'Macro &amp; Indexation'!AA$19*gross_yield,Z107*(1+'Macro &amp; Indexation'!AA$11)))</f>
        <v>0</v>
      </c>
      <c r="AB107" s="40">
        <f>IF(AB$6&lt;$B107,0,IF(AB$6=$B107,'Growth Engine'!AB$10*'Macro &amp; Indexation'!AB$19*gross_yield,AA107*(1+'Macro &amp; Indexation'!AB$11)))</f>
        <v>0</v>
      </c>
      <c r="AC107" s="40">
        <f>IF(AC$6&lt;$B107,0,IF(AC$6=$B107,'Growth Engine'!AC$10*'Macro &amp; Indexation'!AC$19*gross_yield,AB107*(1+'Macro &amp; Indexation'!AC$11)))</f>
        <v>0</v>
      </c>
      <c r="AD107" s="40">
        <f>IF(AD$6&lt;$B107,0,IF(AD$6=$B107,'Growth Engine'!AD$10*'Macro &amp; Indexation'!AD$19*gross_yield,AC107*(1+'Macro &amp; Indexation'!AD$11)))</f>
        <v>0</v>
      </c>
      <c r="AE107" s="40">
        <f>IF(AE$6&lt;$B107,0,IF(AE$6=$B107,'Growth Engine'!AE$10*'Macro &amp; Indexation'!AE$19*gross_yield,AD107*(1+'Macro &amp; Indexation'!AE$11)))</f>
        <v>0</v>
      </c>
      <c r="AF107" s="40">
        <f>IF(AF$6&lt;$B107,0,IF(AF$6=$B107,'Growth Engine'!AF$10*'Macro &amp; Indexation'!AF$19*gross_yield,AE107*(1+'Macro &amp; Indexation'!AF$11)))</f>
        <v>0</v>
      </c>
      <c r="AG107" s="40">
        <f>IF(AG$6&lt;$B107,0,IF(AG$6=$B107,'Growth Engine'!AG$10*'Macro &amp; Indexation'!AG$19*gross_yield,AF107*(1+'Macro &amp; Indexation'!AG$11)))</f>
        <v>0</v>
      </c>
      <c r="AH107" s="40">
        <f>IF(AH$6&lt;$B107,0,IF(AH$6=$B107,'Growth Engine'!AH$10*'Macro &amp; Indexation'!AH$19*gross_yield,AG107*(1+'Macro &amp; Indexation'!AH$11)))</f>
        <v>0</v>
      </c>
      <c r="AI107" s="40">
        <f>IF(AI$6&lt;$B107,0,IF(AI$6=$B107,'Growth Engine'!AI$10*'Macro &amp; Indexation'!AI$19*gross_yield,AH107*(1+'Macro &amp; Indexation'!AI$11)))</f>
        <v>0</v>
      </c>
      <c r="AJ107" s="40">
        <f>IF(AJ$6&lt;$B107,0,IF(AJ$6=$B107,'Growth Engine'!AJ$10*'Macro &amp; Indexation'!AJ$19*gross_yield,AI107*(1+'Macro &amp; Indexation'!AJ$11)))</f>
        <v>0</v>
      </c>
      <c r="AK107" s="40">
        <f>IF(AK$6&lt;$B107,0,IF(AK$6=$B107,'Growth Engine'!AK$10*'Macro &amp; Indexation'!AK$19*gross_yield,AJ107*(1+'Macro &amp; Indexation'!AK$11)))</f>
        <v>0</v>
      </c>
      <c r="AL107" s="40">
        <f>IF(AL$6&lt;$B107,0,IF(AL$6=$B107,'Growth Engine'!AL$10*'Macro &amp; Indexation'!AL$19*gross_yield,AK107*(1+'Macro &amp; Indexation'!AL$11)))</f>
        <v>0</v>
      </c>
      <c r="AM107" s="40">
        <f>IF(AM$6&lt;$B107,0,IF(AM$6=$B107,'Growth Engine'!AM$10*'Macro &amp; Indexation'!AM$19*gross_yield,AL107*(1+'Macro &amp; Indexation'!AM$11)))</f>
        <v>0</v>
      </c>
      <c r="AN107" s="40">
        <f>IF(AN$6&lt;$B107,0,IF(AN$6=$B107,'Growth Engine'!AN$10*'Macro &amp; Indexation'!AN$19*gross_yield,AM107*(1+'Macro &amp; Indexation'!AN$11)))</f>
        <v>0</v>
      </c>
      <c r="AO107" s="40">
        <f>IF(AO$6&lt;$B107,0,IF(AO$6=$B107,'Growth Engine'!AO$10*'Macro &amp; Indexation'!AO$19*gross_yield,AN107*(1+'Macro &amp; Indexation'!AO$11)))</f>
        <v>0</v>
      </c>
      <c r="AP107" s="40">
        <f>IF(AP$6&lt;$B107,0,IF(AP$6=$B107,'Growth Engine'!AP$10*'Macro &amp; Indexation'!AP$19*gross_yield,AO107*(1+'Macro &amp; Indexation'!AP$11)))</f>
        <v>0</v>
      </c>
      <c r="AQ107" s="40">
        <f>IF(AQ$6&lt;$B107,0,IF(AQ$6=$B107,'Growth Engine'!AQ$10*'Macro &amp; Indexation'!AQ$19*gross_yield,AP107*(1+'Macro &amp; Indexation'!AQ$11)))</f>
        <v>0</v>
      </c>
      <c r="AR107" s="40">
        <f>IF(AR$6&lt;$B107,0,IF(AR$6=$B107,'Growth Engine'!AR$10*'Macro &amp; Indexation'!AR$19*gross_yield,AQ107*(1+'Macro &amp; Indexation'!AR$11)))</f>
        <v>0</v>
      </c>
      <c r="AS107" s="40">
        <f ca="1">IF(AS$6&lt;$B107,0,IF(AS$6=$B107,'Growth Engine'!AS$10*'Macro &amp; Indexation'!AS$19*gross_yield,AR107*(1+'Macro &amp; Indexation'!AS$11)))</f>
        <v>57369.673359792272</v>
      </c>
      <c r="AT107" s="40">
        <f ca="1">IF(AT$6&lt;$B107,0,IF(AT$6=$B107,'Growth Engine'!AT$10*'Macro &amp; Indexation'!AT$19*gross_yield,AS107*(1+'Macro &amp; Indexation'!AT$11)))</f>
        <v>58803.91519378707</v>
      </c>
      <c r="AU107" s="40">
        <f ca="1">IF(AU$6&lt;$B107,0,IF(AU$6=$B107,'Growth Engine'!AU$10*'Macro &amp; Indexation'!AU$19*gross_yield,AT107*(1+'Macro &amp; Indexation'!AU$11)))</f>
        <v>60274.013073631744</v>
      </c>
      <c r="AV107" s="40">
        <f ca="1">IF(AV$6&lt;$B107,0,IF(AV$6=$B107,'Growth Engine'!AV$10*'Macro &amp; Indexation'!AV$19*gross_yield,AU107*(1+'Macro &amp; Indexation'!AV$11)))</f>
        <v>61780.863400472532</v>
      </c>
      <c r="AW107" s="40">
        <f ca="1">IF(AW$6&lt;$B107,0,IF(AW$6=$B107,'Growth Engine'!AW$10*'Macro &amp; Indexation'!AW$19*gross_yield,AV107*(1+'Macro &amp; Indexation'!AW$11)))</f>
        <v>63325.384985484343</v>
      </c>
      <c r="AX107" s="40">
        <f ca="1">IF(AX$6&lt;$B107,0,IF(AX$6=$B107,'Growth Engine'!AX$10*'Macro &amp; Indexation'!AX$19*gross_yield,AW107*(1+'Macro &amp; Indexation'!AX$11)))</f>
        <v>64908.519610121446</v>
      </c>
      <c r="AY107" s="40">
        <f ca="1">IF(AY$6&lt;$B107,0,IF(AY$6=$B107,'Growth Engine'!AY$10*'Macro &amp; Indexation'!AY$19*gross_yield,AX107*(1+'Macro &amp; Indexation'!AY$11)))</f>
        <v>66531.232600374482</v>
      </c>
      <c r="AZ107" s="40">
        <f ca="1">IF(AZ$6&lt;$B107,0,IF(AZ$6=$B107,'Growth Engine'!AZ$10*'Macro &amp; Indexation'!AZ$19*gross_yield,AY107*(1+'Macro &amp; Indexation'!AZ$11)))</f>
        <v>68194.513415383844</v>
      </c>
      <c r="BA107" s="40">
        <f ca="1">IF(BA$6&lt;$B107,0,IF(BA$6=$B107,'Growth Engine'!BA$10*'Macro &amp; Indexation'!BA$19*gross_yield,AZ107*(1+'Macro &amp; Indexation'!BA$11)))</f>
        <v>69899.37625076843</v>
      </c>
    </row>
    <row r="108" spans="1:53" outlineLevel="1" x14ac:dyDescent="0.3">
      <c r="A108" t="s">
        <v>179</v>
      </c>
      <c r="B108">
        <v>43</v>
      </c>
      <c r="D108" s="40">
        <f>IF(D$6&lt;$B108,0,IF(D$6=$B108,'Growth Engine'!D$10*'Macro &amp; Indexation'!D$19*gross_yield,C108*(1+'Macro &amp; Indexation'!D$11)))</f>
        <v>0</v>
      </c>
      <c r="E108" s="40">
        <f>IF(E$6&lt;$B108,0,IF(E$6=$B108,'Growth Engine'!E$10*'Macro &amp; Indexation'!E$19*gross_yield,D108*(1+'Macro &amp; Indexation'!E$11)))</f>
        <v>0</v>
      </c>
      <c r="F108" s="40">
        <f>IF(F$6&lt;$B108,0,IF(F$6=$B108,'Growth Engine'!F$10*'Macro &amp; Indexation'!F$19*gross_yield,E108*(1+'Macro &amp; Indexation'!F$11)))</f>
        <v>0</v>
      </c>
      <c r="G108" s="40">
        <f>IF(G$6&lt;$B108,0,IF(G$6=$B108,'Growth Engine'!G$10*'Macro &amp; Indexation'!G$19*gross_yield,F108*(1+'Macro &amp; Indexation'!G$11)))</f>
        <v>0</v>
      </c>
      <c r="H108" s="40">
        <f>IF(H$6&lt;$B108,0,IF(H$6=$B108,'Growth Engine'!H$10*'Macro &amp; Indexation'!H$19*gross_yield,G108*(1+'Macro &amp; Indexation'!H$11)))</f>
        <v>0</v>
      </c>
      <c r="I108" s="40">
        <f>IF(I$6&lt;$B108,0,IF(I$6=$B108,'Growth Engine'!I$10*'Macro &amp; Indexation'!I$19*gross_yield,H108*(1+'Macro &amp; Indexation'!I$11)))</f>
        <v>0</v>
      </c>
      <c r="J108" s="40">
        <f>IF(J$6&lt;$B108,0,IF(J$6=$B108,'Growth Engine'!J$10*'Macro &amp; Indexation'!J$19*gross_yield,I108*(1+'Macro &amp; Indexation'!J$11)))</f>
        <v>0</v>
      </c>
      <c r="K108" s="40">
        <f>IF(K$6&lt;$B108,0,IF(K$6=$B108,'Growth Engine'!K$10*'Macro &amp; Indexation'!K$19*gross_yield,J108*(1+'Macro &amp; Indexation'!K$11)))</f>
        <v>0</v>
      </c>
      <c r="L108" s="40">
        <f>IF(L$6&lt;$B108,0,IF(L$6=$B108,'Growth Engine'!L$10*'Macro &amp; Indexation'!L$19*gross_yield,K108*(1+'Macro &amp; Indexation'!L$11)))</f>
        <v>0</v>
      </c>
      <c r="M108" s="40">
        <f>IF(M$6&lt;$B108,0,IF(M$6=$B108,'Growth Engine'!M$10*'Macro &amp; Indexation'!M$19*gross_yield,L108*(1+'Macro &amp; Indexation'!M$11)))</f>
        <v>0</v>
      </c>
      <c r="N108" s="40">
        <f>IF(N$6&lt;$B108,0,IF(N$6=$B108,'Growth Engine'!N$10*'Macro &amp; Indexation'!N$19*gross_yield,M108*(1+'Macro &amp; Indexation'!N$11)))</f>
        <v>0</v>
      </c>
      <c r="O108" s="40">
        <f>IF(O$6&lt;$B108,0,IF(O$6=$B108,'Growth Engine'!O$10*'Macro &amp; Indexation'!O$19*gross_yield,N108*(1+'Macro &amp; Indexation'!O$11)))</f>
        <v>0</v>
      </c>
      <c r="P108" s="40">
        <f>IF(P$6&lt;$B108,0,IF(P$6=$B108,'Growth Engine'!P$10*'Macro &amp; Indexation'!P$19*gross_yield,O108*(1+'Macro &amp; Indexation'!P$11)))</f>
        <v>0</v>
      </c>
      <c r="Q108" s="40">
        <f>IF(Q$6&lt;$B108,0,IF(Q$6=$B108,'Growth Engine'!Q$10*'Macro &amp; Indexation'!Q$19*gross_yield,P108*(1+'Macro &amp; Indexation'!Q$11)))</f>
        <v>0</v>
      </c>
      <c r="R108" s="40">
        <f>IF(R$6&lt;$B108,0,IF(R$6=$B108,'Growth Engine'!R$10*'Macro &amp; Indexation'!R$19*gross_yield,Q108*(1+'Macro &amp; Indexation'!R$11)))</f>
        <v>0</v>
      </c>
      <c r="S108" s="40">
        <f>IF(S$6&lt;$B108,0,IF(S$6=$B108,'Growth Engine'!S$10*'Macro &amp; Indexation'!S$19*gross_yield,R108*(1+'Macro &amp; Indexation'!S$11)))</f>
        <v>0</v>
      </c>
      <c r="T108" s="40">
        <f>IF(T$6&lt;$B108,0,IF(T$6=$B108,'Growth Engine'!T$10*'Macro &amp; Indexation'!T$19*gross_yield,S108*(1+'Macro &amp; Indexation'!T$11)))</f>
        <v>0</v>
      </c>
      <c r="U108" s="40">
        <f>IF(U$6&lt;$B108,0,IF(U$6=$B108,'Growth Engine'!U$10*'Macro &amp; Indexation'!U$19*gross_yield,T108*(1+'Macro &amp; Indexation'!U$11)))</f>
        <v>0</v>
      </c>
      <c r="V108" s="40">
        <f>IF(V$6&lt;$B108,0,IF(V$6=$B108,'Growth Engine'!V$10*'Macro &amp; Indexation'!V$19*gross_yield,U108*(1+'Macro &amp; Indexation'!V$11)))</f>
        <v>0</v>
      </c>
      <c r="W108" s="40">
        <f>IF(W$6&lt;$B108,0,IF(W$6=$B108,'Growth Engine'!W$10*'Macro &amp; Indexation'!W$19*gross_yield,V108*(1+'Macro &amp; Indexation'!W$11)))</f>
        <v>0</v>
      </c>
      <c r="X108" s="40">
        <f>IF(X$6&lt;$B108,0,IF(X$6=$B108,'Growth Engine'!X$10*'Macro &amp; Indexation'!X$19*gross_yield,W108*(1+'Macro &amp; Indexation'!X$11)))</f>
        <v>0</v>
      </c>
      <c r="Y108" s="40">
        <f>IF(Y$6&lt;$B108,0,IF(Y$6=$B108,'Growth Engine'!Y$10*'Macro &amp; Indexation'!Y$19*gross_yield,X108*(1+'Macro &amp; Indexation'!Y$11)))</f>
        <v>0</v>
      </c>
      <c r="Z108" s="40">
        <f>IF(Z$6&lt;$B108,0,IF(Z$6=$B108,'Growth Engine'!Z$10*'Macro &amp; Indexation'!Z$19*gross_yield,Y108*(1+'Macro &amp; Indexation'!Z$11)))</f>
        <v>0</v>
      </c>
      <c r="AA108" s="40">
        <f>IF(AA$6&lt;$B108,0,IF(AA$6=$B108,'Growth Engine'!AA$10*'Macro &amp; Indexation'!AA$19*gross_yield,Z108*(1+'Macro &amp; Indexation'!AA$11)))</f>
        <v>0</v>
      </c>
      <c r="AB108" s="40">
        <f>IF(AB$6&lt;$B108,0,IF(AB$6=$B108,'Growth Engine'!AB$10*'Macro &amp; Indexation'!AB$19*gross_yield,AA108*(1+'Macro &amp; Indexation'!AB$11)))</f>
        <v>0</v>
      </c>
      <c r="AC108" s="40">
        <f>IF(AC$6&lt;$B108,0,IF(AC$6=$B108,'Growth Engine'!AC$10*'Macro &amp; Indexation'!AC$19*gross_yield,AB108*(1+'Macro &amp; Indexation'!AC$11)))</f>
        <v>0</v>
      </c>
      <c r="AD108" s="40">
        <f>IF(AD$6&lt;$B108,0,IF(AD$6=$B108,'Growth Engine'!AD$10*'Macro &amp; Indexation'!AD$19*gross_yield,AC108*(1+'Macro &amp; Indexation'!AD$11)))</f>
        <v>0</v>
      </c>
      <c r="AE108" s="40">
        <f>IF(AE$6&lt;$B108,0,IF(AE$6=$B108,'Growth Engine'!AE$10*'Macro &amp; Indexation'!AE$19*gross_yield,AD108*(1+'Macro &amp; Indexation'!AE$11)))</f>
        <v>0</v>
      </c>
      <c r="AF108" s="40">
        <f>IF(AF$6&lt;$B108,0,IF(AF$6=$B108,'Growth Engine'!AF$10*'Macro &amp; Indexation'!AF$19*gross_yield,AE108*(1+'Macro &amp; Indexation'!AF$11)))</f>
        <v>0</v>
      </c>
      <c r="AG108" s="40">
        <f>IF(AG$6&lt;$B108,0,IF(AG$6=$B108,'Growth Engine'!AG$10*'Macro &amp; Indexation'!AG$19*gross_yield,AF108*(1+'Macro &amp; Indexation'!AG$11)))</f>
        <v>0</v>
      </c>
      <c r="AH108" s="40">
        <f>IF(AH$6&lt;$B108,0,IF(AH$6=$B108,'Growth Engine'!AH$10*'Macro &amp; Indexation'!AH$19*gross_yield,AG108*(1+'Macro &amp; Indexation'!AH$11)))</f>
        <v>0</v>
      </c>
      <c r="AI108" s="40">
        <f>IF(AI$6&lt;$B108,0,IF(AI$6=$B108,'Growth Engine'!AI$10*'Macro &amp; Indexation'!AI$19*gross_yield,AH108*(1+'Macro &amp; Indexation'!AI$11)))</f>
        <v>0</v>
      </c>
      <c r="AJ108" s="40">
        <f>IF(AJ$6&lt;$B108,0,IF(AJ$6=$B108,'Growth Engine'!AJ$10*'Macro &amp; Indexation'!AJ$19*gross_yield,AI108*(1+'Macro &amp; Indexation'!AJ$11)))</f>
        <v>0</v>
      </c>
      <c r="AK108" s="40">
        <f>IF(AK$6&lt;$B108,0,IF(AK$6=$B108,'Growth Engine'!AK$10*'Macro &amp; Indexation'!AK$19*gross_yield,AJ108*(1+'Macro &amp; Indexation'!AK$11)))</f>
        <v>0</v>
      </c>
      <c r="AL108" s="40">
        <f>IF(AL$6&lt;$B108,0,IF(AL$6=$B108,'Growth Engine'!AL$10*'Macro &amp; Indexation'!AL$19*gross_yield,AK108*(1+'Macro &amp; Indexation'!AL$11)))</f>
        <v>0</v>
      </c>
      <c r="AM108" s="40">
        <f>IF(AM$6&lt;$B108,0,IF(AM$6=$B108,'Growth Engine'!AM$10*'Macro &amp; Indexation'!AM$19*gross_yield,AL108*(1+'Macro &amp; Indexation'!AM$11)))</f>
        <v>0</v>
      </c>
      <c r="AN108" s="40">
        <f>IF(AN$6&lt;$B108,0,IF(AN$6=$B108,'Growth Engine'!AN$10*'Macro &amp; Indexation'!AN$19*gross_yield,AM108*(1+'Macro &amp; Indexation'!AN$11)))</f>
        <v>0</v>
      </c>
      <c r="AO108" s="40">
        <f>IF(AO$6&lt;$B108,0,IF(AO$6=$B108,'Growth Engine'!AO$10*'Macro &amp; Indexation'!AO$19*gross_yield,AN108*(1+'Macro &amp; Indexation'!AO$11)))</f>
        <v>0</v>
      </c>
      <c r="AP108" s="40">
        <f>IF(AP$6&lt;$B108,0,IF(AP$6=$B108,'Growth Engine'!AP$10*'Macro &amp; Indexation'!AP$19*gross_yield,AO108*(1+'Macro &amp; Indexation'!AP$11)))</f>
        <v>0</v>
      </c>
      <c r="AQ108" s="40">
        <f>IF(AQ$6&lt;$B108,0,IF(AQ$6=$B108,'Growth Engine'!AQ$10*'Macro &amp; Indexation'!AQ$19*gross_yield,AP108*(1+'Macro &amp; Indexation'!AQ$11)))</f>
        <v>0</v>
      </c>
      <c r="AR108" s="40">
        <f>IF(AR$6&lt;$B108,0,IF(AR$6=$B108,'Growth Engine'!AR$10*'Macro &amp; Indexation'!AR$19*gross_yield,AQ108*(1+'Macro &amp; Indexation'!AR$11)))</f>
        <v>0</v>
      </c>
      <c r="AS108" s="40">
        <f>IF(AS$6&lt;$B108,0,IF(AS$6=$B108,'Growth Engine'!AS$10*'Macro &amp; Indexation'!AS$19*gross_yield,AR108*(1+'Macro &amp; Indexation'!AS$11)))</f>
        <v>0</v>
      </c>
      <c r="AT108" s="40">
        <f ca="1">IF(AT$6&lt;$B108,0,IF(AT$6=$B108,'Growth Engine'!AT$10*'Macro &amp; Indexation'!AT$19*gross_yield,AS108*(1+'Macro &amp; Indexation'!AT$11)))</f>
        <v>59377.611927385005</v>
      </c>
      <c r="AU108" s="40">
        <f ca="1">IF(AU$6&lt;$B108,0,IF(AU$6=$B108,'Growth Engine'!AU$10*'Macro &amp; Indexation'!AU$19*gross_yield,AT108*(1+'Macro &amp; Indexation'!AU$11)))</f>
        <v>60862.052225569627</v>
      </c>
      <c r="AV108" s="40">
        <f ca="1">IF(AV$6&lt;$B108,0,IF(AV$6=$B108,'Growth Engine'!AV$10*'Macro &amp; Indexation'!AV$19*gross_yield,AU108*(1+'Macro &amp; Indexation'!AV$11)))</f>
        <v>62383.603531208864</v>
      </c>
      <c r="AW108" s="40">
        <f ca="1">IF(AW$6&lt;$B108,0,IF(AW$6=$B108,'Growth Engine'!AW$10*'Macro &amp; Indexation'!AW$19*gross_yield,AV108*(1+'Macro &amp; Indexation'!AW$11)))</f>
        <v>63943.19361948908</v>
      </c>
      <c r="AX108" s="40">
        <f ca="1">IF(AX$6&lt;$B108,0,IF(AX$6=$B108,'Growth Engine'!AX$10*'Macro &amp; Indexation'!AX$19*gross_yield,AW108*(1+'Macro &amp; Indexation'!AX$11)))</f>
        <v>65541.773459976306</v>
      </c>
      <c r="AY108" s="40">
        <f ca="1">IF(AY$6&lt;$B108,0,IF(AY$6=$B108,'Growth Engine'!AY$10*'Macro &amp; Indexation'!AY$19*gross_yield,AX108*(1+'Macro &amp; Indexation'!AY$11)))</f>
        <v>67180.317796475705</v>
      </c>
      <c r="AZ108" s="40">
        <f ca="1">IF(AZ$6&lt;$B108,0,IF(AZ$6=$B108,'Growth Engine'!AZ$10*'Macro &amp; Indexation'!AZ$19*gross_yield,AY108*(1+'Macro &amp; Indexation'!AZ$11)))</f>
        <v>68859.825741387598</v>
      </c>
      <c r="BA108" s="40">
        <f ca="1">IF(BA$6&lt;$B108,0,IF(BA$6=$B108,'Growth Engine'!BA$10*'Macro &amp; Indexation'!BA$19*gross_yield,AZ108*(1+'Macro &amp; Indexation'!BA$11)))</f>
        <v>70581.321384922281</v>
      </c>
    </row>
    <row r="109" spans="1:53" outlineLevel="1" x14ac:dyDescent="0.3">
      <c r="A109" t="s">
        <v>180</v>
      </c>
      <c r="B109">
        <v>44</v>
      </c>
      <c r="D109" s="40">
        <f>IF(D$6&lt;$B109,0,IF(D$6=$B109,'Growth Engine'!D$10*'Macro &amp; Indexation'!D$19*gross_yield,C109*(1+'Macro &amp; Indexation'!D$11)))</f>
        <v>0</v>
      </c>
      <c r="E109" s="40">
        <f>IF(E$6&lt;$B109,0,IF(E$6=$B109,'Growth Engine'!E$10*'Macro &amp; Indexation'!E$19*gross_yield,D109*(1+'Macro &amp; Indexation'!E$11)))</f>
        <v>0</v>
      </c>
      <c r="F109" s="40">
        <f>IF(F$6&lt;$B109,0,IF(F$6=$B109,'Growth Engine'!F$10*'Macro &amp; Indexation'!F$19*gross_yield,E109*(1+'Macro &amp; Indexation'!F$11)))</f>
        <v>0</v>
      </c>
      <c r="G109" s="40">
        <f>IF(G$6&lt;$B109,0,IF(G$6=$B109,'Growth Engine'!G$10*'Macro &amp; Indexation'!G$19*gross_yield,F109*(1+'Macro &amp; Indexation'!G$11)))</f>
        <v>0</v>
      </c>
      <c r="H109" s="40">
        <f>IF(H$6&lt;$B109,0,IF(H$6=$B109,'Growth Engine'!H$10*'Macro &amp; Indexation'!H$19*gross_yield,G109*(1+'Macro &amp; Indexation'!H$11)))</f>
        <v>0</v>
      </c>
      <c r="I109" s="40">
        <f>IF(I$6&lt;$B109,0,IF(I$6=$B109,'Growth Engine'!I$10*'Macro &amp; Indexation'!I$19*gross_yield,H109*(1+'Macro &amp; Indexation'!I$11)))</f>
        <v>0</v>
      </c>
      <c r="J109" s="40">
        <f>IF(J$6&lt;$B109,0,IF(J$6=$B109,'Growth Engine'!J$10*'Macro &amp; Indexation'!J$19*gross_yield,I109*(1+'Macro &amp; Indexation'!J$11)))</f>
        <v>0</v>
      </c>
      <c r="K109" s="40">
        <f>IF(K$6&lt;$B109,0,IF(K$6=$B109,'Growth Engine'!K$10*'Macro &amp; Indexation'!K$19*gross_yield,J109*(1+'Macro &amp; Indexation'!K$11)))</f>
        <v>0</v>
      </c>
      <c r="L109" s="40">
        <f>IF(L$6&lt;$B109,0,IF(L$6=$B109,'Growth Engine'!L$10*'Macro &amp; Indexation'!L$19*gross_yield,K109*(1+'Macro &amp; Indexation'!L$11)))</f>
        <v>0</v>
      </c>
      <c r="M109" s="40">
        <f>IF(M$6&lt;$B109,0,IF(M$6=$B109,'Growth Engine'!M$10*'Macro &amp; Indexation'!M$19*gross_yield,L109*(1+'Macro &amp; Indexation'!M$11)))</f>
        <v>0</v>
      </c>
      <c r="N109" s="40">
        <f>IF(N$6&lt;$B109,0,IF(N$6=$B109,'Growth Engine'!N$10*'Macro &amp; Indexation'!N$19*gross_yield,M109*(1+'Macro &amp; Indexation'!N$11)))</f>
        <v>0</v>
      </c>
      <c r="O109" s="40">
        <f>IF(O$6&lt;$B109,0,IF(O$6=$B109,'Growth Engine'!O$10*'Macro &amp; Indexation'!O$19*gross_yield,N109*(1+'Macro &amp; Indexation'!O$11)))</f>
        <v>0</v>
      </c>
      <c r="P109" s="40">
        <f>IF(P$6&lt;$B109,0,IF(P$6=$B109,'Growth Engine'!P$10*'Macro &amp; Indexation'!P$19*gross_yield,O109*(1+'Macro &amp; Indexation'!P$11)))</f>
        <v>0</v>
      </c>
      <c r="Q109" s="40">
        <f>IF(Q$6&lt;$B109,0,IF(Q$6=$B109,'Growth Engine'!Q$10*'Macro &amp; Indexation'!Q$19*gross_yield,P109*(1+'Macro &amp; Indexation'!Q$11)))</f>
        <v>0</v>
      </c>
      <c r="R109" s="40">
        <f>IF(R$6&lt;$B109,0,IF(R$6=$B109,'Growth Engine'!R$10*'Macro &amp; Indexation'!R$19*gross_yield,Q109*(1+'Macro &amp; Indexation'!R$11)))</f>
        <v>0</v>
      </c>
      <c r="S109" s="40">
        <f>IF(S$6&lt;$B109,0,IF(S$6=$B109,'Growth Engine'!S$10*'Macro &amp; Indexation'!S$19*gross_yield,R109*(1+'Macro &amp; Indexation'!S$11)))</f>
        <v>0</v>
      </c>
      <c r="T109" s="40">
        <f>IF(T$6&lt;$B109,0,IF(T$6=$B109,'Growth Engine'!T$10*'Macro &amp; Indexation'!T$19*gross_yield,S109*(1+'Macro &amp; Indexation'!T$11)))</f>
        <v>0</v>
      </c>
      <c r="U109" s="40">
        <f>IF(U$6&lt;$B109,0,IF(U$6=$B109,'Growth Engine'!U$10*'Macro &amp; Indexation'!U$19*gross_yield,T109*(1+'Macro &amp; Indexation'!U$11)))</f>
        <v>0</v>
      </c>
      <c r="V109" s="40">
        <f>IF(V$6&lt;$B109,0,IF(V$6=$B109,'Growth Engine'!V$10*'Macro &amp; Indexation'!V$19*gross_yield,U109*(1+'Macro &amp; Indexation'!V$11)))</f>
        <v>0</v>
      </c>
      <c r="W109" s="40">
        <f>IF(W$6&lt;$B109,0,IF(W$6=$B109,'Growth Engine'!W$10*'Macro &amp; Indexation'!W$19*gross_yield,V109*(1+'Macro &amp; Indexation'!W$11)))</f>
        <v>0</v>
      </c>
      <c r="X109" s="40">
        <f>IF(X$6&lt;$B109,0,IF(X$6=$B109,'Growth Engine'!X$10*'Macro &amp; Indexation'!X$19*gross_yield,W109*(1+'Macro &amp; Indexation'!X$11)))</f>
        <v>0</v>
      </c>
      <c r="Y109" s="40">
        <f>IF(Y$6&lt;$B109,0,IF(Y$6=$B109,'Growth Engine'!Y$10*'Macro &amp; Indexation'!Y$19*gross_yield,X109*(1+'Macro &amp; Indexation'!Y$11)))</f>
        <v>0</v>
      </c>
      <c r="Z109" s="40">
        <f>IF(Z$6&lt;$B109,0,IF(Z$6=$B109,'Growth Engine'!Z$10*'Macro &amp; Indexation'!Z$19*gross_yield,Y109*(1+'Macro &amp; Indexation'!Z$11)))</f>
        <v>0</v>
      </c>
      <c r="AA109" s="40">
        <f>IF(AA$6&lt;$B109,0,IF(AA$6=$B109,'Growth Engine'!AA$10*'Macro &amp; Indexation'!AA$19*gross_yield,Z109*(1+'Macro &amp; Indexation'!AA$11)))</f>
        <v>0</v>
      </c>
      <c r="AB109" s="40">
        <f>IF(AB$6&lt;$B109,0,IF(AB$6=$B109,'Growth Engine'!AB$10*'Macro &amp; Indexation'!AB$19*gross_yield,AA109*(1+'Macro &amp; Indexation'!AB$11)))</f>
        <v>0</v>
      </c>
      <c r="AC109" s="40">
        <f>IF(AC$6&lt;$B109,0,IF(AC$6=$B109,'Growth Engine'!AC$10*'Macro &amp; Indexation'!AC$19*gross_yield,AB109*(1+'Macro &amp; Indexation'!AC$11)))</f>
        <v>0</v>
      </c>
      <c r="AD109" s="40">
        <f>IF(AD$6&lt;$B109,0,IF(AD$6=$B109,'Growth Engine'!AD$10*'Macro &amp; Indexation'!AD$19*gross_yield,AC109*(1+'Macro &amp; Indexation'!AD$11)))</f>
        <v>0</v>
      </c>
      <c r="AE109" s="40">
        <f>IF(AE$6&lt;$B109,0,IF(AE$6=$B109,'Growth Engine'!AE$10*'Macro &amp; Indexation'!AE$19*gross_yield,AD109*(1+'Macro &amp; Indexation'!AE$11)))</f>
        <v>0</v>
      </c>
      <c r="AF109" s="40">
        <f>IF(AF$6&lt;$B109,0,IF(AF$6=$B109,'Growth Engine'!AF$10*'Macro &amp; Indexation'!AF$19*gross_yield,AE109*(1+'Macro &amp; Indexation'!AF$11)))</f>
        <v>0</v>
      </c>
      <c r="AG109" s="40">
        <f>IF(AG$6&lt;$B109,0,IF(AG$6=$B109,'Growth Engine'!AG$10*'Macro &amp; Indexation'!AG$19*gross_yield,AF109*(1+'Macro &amp; Indexation'!AG$11)))</f>
        <v>0</v>
      </c>
      <c r="AH109" s="40">
        <f>IF(AH$6&lt;$B109,0,IF(AH$6=$B109,'Growth Engine'!AH$10*'Macro &amp; Indexation'!AH$19*gross_yield,AG109*(1+'Macro &amp; Indexation'!AH$11)))</f>
        <v>0</v>
      </c>
      <c r="AI109" s="40">
        <f>IF(AI$6&lt;$B109,0,IF(AI$6=$B109,'Growth Engine'!AI$10*'Macro &amp; Indexation'!AI$19*gross_yield,AH109*(1+'Macro &amp; Indexation'!AI$11)))</f>
        <v>0</v>
      </c>
      <c r="AJ109" s="40">
        <f>IF(AJ$6&lt;$B109,0,IF(AJ$6=$B109,'Growth Engine'!AJ$10*'Macro &amp; Indexation'!AJ$19*gross_yield,AI109*(1+'Macro &amp; Indexation'!AJ$11)))</f>
        <v>0</v>
      </c>
      <c r="AK109" s="40">
        <f>IF(AK$6&lt;$B109,0,IF(AK$6=$B109,'Growth Engine'!AK$10*'Macro &amp; Indexation'!AK$19*gross_yield,AJ109*(1+'Macro &amp; Indexation'!AK$11)))</f>
        <v>0</v>
      </c>
      <c r="AL109" s="40">
        <f>IF(AL$6&lt;$B109,0,IF(AL$6=$B109,'Growth Engine'!AL$10*'Macro &amp; Indexation'!AL$19*gross_yield,AK109*(1+'Macro &amp; Indexation'!AL$11)))</f>
        <v>0</v>
      </c>
      <c r="AM109" s="40">
        <f>IF(AM$6&lt;$B109,0,IF(AM$6=$B109,'Growth Engine'!AM$10*'Macro &amp; Indexation'!AM$19*gross_yield,AL109*(1+'Macro &amp; Indexation'!AM$11)))</f>
        <v>0</v>
      </c>
      <c r="AN109" s="40">
        <f>IF(AN$6&lt;$B109,0,IF(AN$6=$B109,'Growth Engine'!AN$10*'Macro &amp; Indexation'!AN$19*gross_yield,AM109*(1+'Macro &amp; Indexation'!AN$11)))</f>
        <v>0</v>
      </c>
      <c r="AO109" s="40">
        <f>IF(AO$6&lt;$B109,0,IF(AO$6=$B109,'Growth Engine'!AO$10*'Macro &amp; Indexation'!AO$19*gross_yield,AN109*(1+'Macro &amp; Indexation'!AO$11)))</f>
        <v>0</v>
      </c>
      <c r="AP109" s="40">
        <f>IF(AP$6&lt;$B109,0,IF(AP$6=$B109,'Growth Engine'!AP$10*'Macro &amp; Indexation'!AP$19*gross_yield,AO109*(1+'Macro &amp; Indexation'!AP$11)))</f>
        <v>0</v>
      </c>
      <c r="AQ109" s="40">
        <f>IF(AQ$6&lt;$B109,0,IF(AQ$6=$B109,'Growth Engine'!AQ$10*'Macro &amp; Indexation'!AQ$19*gross_yield,AP109*(1+'Macro &amp; Indexation'!AQ$11)))</f>
        <v>0</v>
      </c>
      <c r="AR109" s="40">
        <f>IF(AR$6&lt;$B109,0,IF(AR$6=$B109,'Growth Engine'!AR$10*'Macro &amp; Indexation'!AR$19*gross_yield,AQ109*(1+'Macro &amp; Indexation'!AR$11)))</f>
        <v>0</v>
      </c>
      <c r="AS109" s="40">
        <f>IF(AS$6&lt;$B109,0,IF(AS$6=$B109,'Growth Engine'!AS$10*'Macro &amp; Indexation'!AS$19*gross_yield,AR109*(1+'Macro &amp; Indexation'!AS$11)))</f>
        <v>0</v>
      </c>
      <c r="AT109" s="40">
        <f>IF(AT$6&lt;$B109,0,IF(AT$6=$B109,'Growth Engine'!AT$10*'Macro &amp; Indexation'!AT$19*gross_yield,AS109*(1+'Macro &amp; Indexation'!AT$11)))</f>
        <v>0</v>
      </c>
      <c r="AU109" s="40">
        <f ca="1">IF(AU$6&lt;$B109,0,IF(AU$6=$B109,'Growth Engine'!AU$10*'Macro &amp; Indexation'!AU$19*gross_yield,AT109*(1+'Macro &amp; Indexation'!AU$11)))</f>
        <v>61455.828344843467</v>
      </c>
      <c r="AV109" s="40">
        <f ca="1">IF(AV$6&lt;$B109,0,IF(AV$6=$B109,'Growth Engine'!AV$10*'Macro &amp; Indexation'!AV$19*gross_yield,AU109*(1+'Macro &amp; Indexation'!AV$11)))</f>
        <v>62992.224053464546</v>
      </c>
      <c r="AW109" s="40">
        <f ca="1">IF(AW$6&lt;$B109,0,IF(AW$6=$B109,'Growth Engine'!AW$10*'Macro &amp; Indexation'!AW$19*gross_yield,AV109*(1+'Macro &amp; Indexation'!AW$11)))</f>
        <v>64567.029654801154</v>
      </c>
      <c r="AX109" s="40">
        <f ca="1">IF(AX$6&lt;$B109,0,IF(AX$6=$B109,'Growth Engine'!AX$10*'Macro &amp; Indexation'!AX$19*gross_yield,AW109*(1+'Macro &amp; Indexation'!AX$11)))</f>
        <v>66181.205396171179</v>
      </c>
      <c r="AY109" s="40">
        <f ca="1">IF(AY$6&lt;$B109,0,IF(AY$6=$B109,'Growth Engine'!AY$10*'Macro &amp; Indexation'!AY$19*gross_yield,AX109*(1+'Macro &amp; Indexation'!AY$11)))</f>
        <v>67835.73553107545</v>
      </c>
      <c r="AZ109" s="40">
        <f ca="1">IF(AZ$6&lt;$B109,0,IF(AZ$6=$B109,'Growth Engine'!AZ$10*'Macro &amp; Indexation'!AZ$19*gross_yield,AY109*(1+'Macro &amp; Indexation'!AZ$11)))</f>
        <v>69531.628919352326</v>
      </c>
      <c r="BA109" s="40">
        <f ca="1">IF(BA$6&lt;$B109,0,IF(BA$6=$B109,'Growth Engine'!BA$10*'Macro &amp; Indexation'!BA$19*gross_yield,AZ109*(1+'Macro &amp; Indexation'!BA$11)))</f>
        <v>71269.919642336128</v>
      </c>
    </row>
    <row r="110" spans="1:53" outlineLevel="1" x14ac:dyDescent="0.3">
      <c r="A110" t="s">
        <v>181</v>
      </c>
      <c r="B110">
        <v>45</v>
      </c>
      <c r="D110" s="40">
        <f>IF(D$6&lt;$B110,0,IF(D$6=$B110,'Growth Engine'!D$10*'Macro &amp; Indexation'!D$19*gross_yield,C110*(1+'Macro &amp; Indexation'!D$11)))</f>
        <v>0</v>
      </c>
      <c r="E110" s="40">
        <f>IF(E$6&lt;$B110,0,IF(E$6=$B110,'Growth Engine'!E$10*'Macro &amp; Indexation'!E$19*gross_yield,D110*(1+'Macro &amp; Indexation'!E$11)))</f>
        <v>0</v>
      </c>
      <c r="F110" s="40">
        <f>IF(F$6&lt;$B110,0,IF(F$6=$B110,'Growth Engine'!F$10*'Macro &amp; Indexation'!F$19*gross_yield,E110*(1+'Macro &amp; Indexation'!F$11)))</f>
        <v>0</v>
      </c>
      <c r="G110" s="40">
        <f>IF(G$6&lt;$B110,0,IF(G$6=$B110,'Growth Engine'!G$10*'Macro &amp; Indexation'!G$19*gross_yield,F110*(1+'Macro &amp; Indexation'!G$11)))</f>
        <v>0</v>
      </c>
      <c r="H110" s="40">
        <f>IF(H$6&lt;$B110,0,IF(H$6=$B110,'Growth Engine'!H$10*'Macro &amp; Indexation'!H$19*gross_yield,G110*(1+'Macro &amp; Indexation'!H$11)))</f>
        <v>0</v>
      </c>
      <c r="I110" s="40">
        <f>IF(I$6&lt;$B110,0,IF(I$6=$B110,'Growth Engine'!I$10*'Macro &amp; Indexation'!I$19*gross_yield,H110*(1+'Macro &amp; Indexation'!I$11)))</f>
        <v>0</v>
      </c>
      <c r="J110" s="40">
        <f>IF(J$6&lt;$B110,0,IF(J$6=$B110,'Growth Engine'!J$10*'Macro &amp; Indexation'!J$19*gross_yield,I110*(1+'Macro &amp; Indexation'!J$11)))</f>
        <v>0</v>
      </c>
      <c r="K110" s="40">
        <f>IF(K$6&lt;$B110,0,IF(K$6=$B110,'Growth Engine'!K$10*'Macro &amp; Indexation'!K$19*gross_yield,J110*(1+'Macro &amp; Indexation'!K$11)))</f>
        <v>0</v>
      </c>
      <c r="L110" s="40">
        <f>IF(L$6&lt;$B110,0,IF(L$6=$B110,'Growth Engine'!L$10*'Macro &amp; Indexation'!L$19*gross_yield,K110*(1+'Macro &amp; Indexation'!L$11)))</f>
        <v>0</v>
      </c>
      <c r="M110" s="40">
        <f>IF(M$6&lt;$B110,0,IF(M$6=$B110,'Growth Engine'!M$10*'Macro &amp; Indexation'!M$19*gross_yield,L110*(1+'Macro &amp; Indexation'!M$11)))</f>
        <v>0</v>
      </c>
      <c r="N110" s="40">
        <f>IF(N$6&lt;$B110,0,IF(N$6=$B110,'Growth Engine'!N$10*'Macro &amp; Indexation'!N$19*gross_yield,M110*(1+'Macro &amp; Indexation'!N$11)))</f>
        <v>0</v>
      </c>
      <c r="O110" s="40">
        <f>IF(O$6&lt;$B110,0,IF(O$6=$B110,'Growth Engine'!O$10*'Macro &amp; Indexation'!O$19*gross_yield,N110*(1+'Macro &amp; Indexation'!O$11)))</f>
        <v>0</v>
      </c>
      <c r="P110" s="40">
        <f>IF(P$6&lt;$B110,0,IF(P$6=$B110,'Growth Engine'!P$10*'Macro &amp; Indexation'!P$19*gross_yield,O110*(1+'Macro &amp; Indexation'!P$11)))</f>
        <v>0</v>
      </c>
      <c r="Q110" s="40">
        <f>IF(Q$6&lt;$B110,0,IF(Q$6=$B110,'Growth Engine'!Q$10*'Macro &amp; Indexation'!Q$19*gross_yield,P110*(1+'Macro &amp; Indexation'!Q$11)))</f>
        <v>0</v>
      </c>
      <c r="R110" s="40">
        <f>IF(R$6&lt;$B110,0,IF(R$6=$B110,'Growth Engine'!R$10*'Macro &amp; Indexation'!R$19*gross_yield,Q110*(1+'Macro &amp; Indexation'!R$11)))</f>
        <v>0</v>
      </c>
      <c r="S110" s="40">
        <f>IF(S$6&lt;$B110,0,IF(S$6=$B110,'Growth Engine'!S$10*'Macro &amp; Indexation'!S$19*gross_yield,R110*(1+'Macro &amp; Indexation'!S$11)))</f>
        <v>0</v>
      </c>
      <c r="T110" s="40">
        <f>IF(T$6&lt;$B110,0,IF(T$6=$B110,'Growth Engine'!T$10*'Macro &amp; Indexation'!T$19*gross_yield,S110*(1+'Macro &amp; Indexation'!T$11)))</f>
        <v>0</v>
      </c>
      <c r="U110" s="40">
        <f>IF(U$6&lt;$B110,0,IF(U$6=$B110,'Growth Engine'!U$10*'Macro &amp; Indexation'!U$19*gross_yield,T110*(1+'Macro &amp; Indexation'!U$11)))</f>
        <v>0</v>
      </c>
      <c r="V110" s="40">
        <f>IF(V$6&lt;$B110,0,IF(V$6=$B110,'Growth Engine'!V$10*'Macro &amp; Indexation'!V$19*gross_yield,U110*(1+'Macro &amp; Indexation'!V$11)))</f>
        <v>0</v>
      </c>
      <c r="W110" s="40">
        <f>IF(W$6&lt;$B110,0,IF(W$6=$B110,'Growth Engine'!W$10*'Macro &amp; Indexation'!W$19*gross_yield,V110*(1+'Macro &amp; Indexation'!W$11)))</f>
        <v>0</v>
      </c>
      <c r="X110" s="40">
        <f>IF(X$6&lt;$B110,0,IF(X$6=$B110,'Growth Engine'!X$10*'Macro &amp; Indexation'!X$19*gross_yield,W110*(1+'Macro &amp; Indexation'!X$11)))</f>
        <v>0</v>
      </c>
      <c r="Y110" s="40">
        <f>IF(Y$6&lt;$B110,0,IF(Y$6=$B110,'Growth Engine'!Y$10*'Macro &amp; Indexation'!Y$19*gross_yield,X110*(1+'Macro &amp; Indexation'!Y$11)))</f>
        <v>0</v>
      </c>
      <c r="Z110" s="40">
        <f>IF(Z$6&lt;$B110,0,IF(Z$6=$B110,'Growth Engine'!Z$10*'Macro &amp; Indexation'!Z$19*gross_yield,Y110*(1+'Macro &amp; Indexation'!Z$11)))</f>
        <v>0</v>
      </c>
      <c r="AA110" s="40">
        <f>IF(AA$6&lt;$B110,0,IF(AA$6=$B110,'Growth Engine'!AA$10*'Macro &amp; Indexation'!AA$19*gross_yield,Z110*(1+'Macro &amp; Indexation'!AA$11)))</f>
        <v>0</v>
      </c>
      <c r="AB110" s="40">
        <f>IF(AB$6&lt;$B110,0,IF(AB$6=$B110,'Growth Engine'!AB$10*'Macro &amp; Indexation'!AB$19*gross_yield,AA110*(1+'Macro &amp; Indexation'!AB$11)))</f>
        <v>0</v>
      </c>
      <c r="AC110" s="40">
        <f>IF(AC$6&lt;$B110,0,IF(AC$6=$B110,'Growth Engine'!AC$10*'Macro &amp; Indexation'!AC$19*gross_yield,AB110*(1+'Macro &amp; Indexation'!AC$11)))</f>
        <v>0</v>
      </c>
      <c r="AD110" s="40">
        <f>IF(AD$6&lt;$B110,0,IF(AD$6=$B110,'Growth Engine'!AD$10*'Macro &amp; Indexation'!AD$19*gross_yield,AC110*(1+'Macro &amp; Indexation'!AD$11)))</f>
        <v>0</v>
      </c>
      <c r="AE110" s="40">
        <f>IF(AE$6&lt;$B110,0,IF(AE$6=$B110,'Growth Engine'!AE$10*'Macro &amp; Indexation'!AE$19*gross_yield,AD110*(1+'Macro &amp; Indexation'!AE$11)))</f>
        <v>0</v>
      </c>
      <c r="AF110" s="40">
        <f>IF(AF$6&lt;$B110,0,IF(AF$6=$B110,'Growth Engine'!AF$10*'Macro &amp; Indexation'!AF$19*gross_yield,AE110*(1+'Macro &amp; Indexation'!AF$11)))</f>
        <v>0</v>
      </c>
      <c r="AG110" s="40">
        <f>IF(AG$6&lt;$B110,0,IF(AG$6=$B110,'Growth Engine'!AG$10*'Macro &amp; Indexation'!AG$19*gross_yield,AF110*(1+'Macro &amp; Indexation'!AG$11)))</f>
        <v>0</v>
      </c>
      <c r="AH110" s="40">
        <f>IF(AH$6&lt;$B110,0,IF(AH$6=$B110,'Growth Engine'!AH$10*'Macro &amp; Indexation'!AH$19*gross_yield,AG110*(1+'Macro &amp; Indexation'!AH$11)))</f>
        <v>0</v>
      </c>
      <c r="AI110" s="40">
        <f>IF(AI$6&lt;$B110,0,IF(AI$6=$B110,'Growth Engine'!AI$10*'Macro &amp; Indexation'!AI$19*gross_yield,AH110*(1+'Macro &amp; Indexation'!AI$11)))</f>
        <v>0</v>
      </c>
      <c r="AJ110" s="40">
        <f>IF(AJ$6&lt;$B110,0,IF(AJ$6=$B110,'Growth Engine'!AJ$10*'Macro &amp; Indexation'!AJ$19*gross_yield,AI110*(1+'Macro &amp; Indexation'!AJ$11)))</f>
        <v>0</v>
      </c>
      <c r="AK110" s="40">
        <f>IF(AK$6&lt;$B110,0,IF(AK$6=$B110,'Growth Engine'!AK$10*'Macro &amp; Indexation'!AK$19*gross_yield,AJ110*(1+'Macro &amp; Indexation'!AK$11)))</f>
        <v>0</v>
      </c>
      <c r="AL110" s="40">
        <f>IF(AL$6&lt;$B110,0,IF(AL$6=$B110,'Growth Engine'!AL$10*'Macro &amp; Indexation'!AL$19*gross_yield,AK110*(1+'Macro &amp; Indexation'!AL$11)))</f>
        <v>0</v>
      </c>
      <c r="AM110" s="40">
        <f>IF(AM$6&lt;$B110,0,IF(AM$6=$B110,'Growth Engine'!AM$10*'Macro &amp; Indexation'!AM$19*gross_yield,AL110*(1+'Macro &amp; Indexation'!AM$11)))</f>
        <v>0</v>
      </c>
      <c r="AN110" s="40">
        <f>IF(AN$6&lt;$B110,0,IF(AN$6=$B110,'Growth Engine'!AN$10*'Macro &amp; Indexation'!AN$19*gross_yield,AM110*(1+'Macro &amp; Indexation'!AN$11)))</f>
        <v>0</v>
      </c>
      <c r="AO110" s="40">
        <f>IF(AO$6&lt;$B110,0,IF(AO$6=$B110,'Growth Engine'!AO$10*'Macro &amp; Indexation'!AO$19*gross_yield,AN110*(1+'Macro &amp; Indexation'!AO$11)))</f>
        <v>0</v>
      </c>
      <c r="AP110" s="40">
        <f>IF(AP$6&lt;$B110,0,IF(AP$6=$B110,'Growth Engine'!AP$10*'Macro &amp; Indexation'!AP$19*gross_yield,AO110*(1+'Macro &amp; Indexation'!AP$11)))</f>
        <v>0</v>
      </c>
      <c r="AQ110" s="40">
        <f>IF(AQ$6&lt;$B110,0,IF(AQ$6=$B110,'Growth Engine'!AQ$10*'Macro &amp; Indexation'!AQ$19*gross_yield,AP110*(1+'Macro &amp; Indexation'!AQ$11)))</f>
        <v>0</v>
      </c>
      <c r="AR110" s="40">
        <f>IF(AR$6&lt;$B110,0,IF(AR$6=$B110,'Growth Engine'!AR$10*'Macro &amp; Indexation'!AR$19*gross_yield,AQ110*(1+'Macro &amp; Indexation'!AR$11)))</f>
        <v>0</v>
      </c>
      <c r="AS110" s="40">
        <f>IF(AS$6&lt;$B110,0,IF(AS$6=$B110,'Growth Engine'!AS$10*'Macro &amp; Indexation'!AS$19*gross_yield,AR110*(1+'Macro &amp; Indexation'!AS$11)))</f>
        <v>0</v>
      </c>
      <c r="AT110" s="40">
        <f>IF(AT$6&lt;$B110,0,IF(AT$6=$B110,'Growth Engine'!AT$10*'Macro &amp; Indexation'!AT$19*gross_yield,AS110*(1+'Macro &amp; Indexation'!AT$11)))</f>
        <v>0</v>
      </c>
      <c r="AU110" s="40">
        <f>IF(AU$6&lt;$B110,0,IF(AU$6=$B110,'Growth Engine'!AU$10*'Macro &amp; Indexation'!AU$19*gross_yield,AT110*(1+'Macro &amp; Indexation'!AU$11)))</f>
        <v>0</v>
      </c>
      <c r="AV110" s="40">
        <f ca="1">IF(AV$6&lt;$B110,0,IF(AV$6=$B110,'Growth Engine'!AV$10*'Macro &amp; Indexation'!AV$19*gross_yield,AU110*(1+'Macro &amp; Indexation'!AV$11)))</f>
        <v>63606.782336912984</v>
      </c>
      <c r="AW110" s="40">
        <f ca="1">IF(AW$6&lt;$B110,0,IF(AW$6=$B110,'Growth Engine'!AW$10*'Macro &amp; Indexation'!AW$19*gross_yield,AV110*(1+'Macro &amp; Indexation'!AW$11)))</f>
        <v>65196.951895335806</v>
      </c>
      <c r="AX110" s="40">
        <f ca="1">IF(AX$6&lt;$B110,0,IF(AX$6=$B110,'Growth Engine'!AX$10*'Macro &amp; Indexation'!AX$19*gross_yield,AW110*(1+'Macro &amp; Indexation'!AX$11)))</f>
        <v>66826.875692719201</v>
      </c>
      <c r="AY110" s="40">
        <f ca="1">IF(AY$6&lt;$B110,0,IF(AY$6=$B110,'Growth Engine'!AY$10*'Macro &amp; Indexation'!AY$19*gross_yield,AX110*(1+'Macro &amp; Indexation'!AY$11)))</f>
        <v>68497.547585037173</v>
      </c>
      <c r="AZ110" s="40">
        <f ca="1">IF(AZ$6&lt;$B110,0,IF(AZ$6=$B110,'Growth Engine'!AZ$10*'Macro &amp; Indexation'!AZ$19*gross_yield,AY110*(1+'Macro &amp; Indexation'!AZ$11)))</f>
        <v>70209.986274663097</v>
      </c>
      <c r="BA110" s="40">
        <f ca="1">IF(BA$6&lt;$B110,0,IF(BA$6=$B110,'Growth Engine'!BA$10*'Macro &amp; Indexation'!BA$19*gross_yield,AZ110*(1+'Macro &amp; Indexation'!BA$11)))</f>
        <v>71965.235931529664</v>
      </c>
    </row>
    <row r="111" spans="1:53" outlineLevel="1" x14ac:dyDescent="0.3">
      <c r="A111" t="s">
        <v>182</v>
      </c>
      <c r="B111">
        <v>46</v>
      </c>
      <c r="D111" s="40">
        <f>IF(D$6&lt;$B111,0,IF(D$6=$B111,'Growth Engine'!D$10*'Macro &amp; Indexation'!D$19*gross_yield,C111*(1+'Macro &amp; Indexation'!D$11)))</f>
        <v>0</v>
      </c>
      <c r="E111" s="40">
        <f>IF(E$6&lt;$B111,0,IF(E$6=$B111,'Growth Engine'!E$10*'Macro &amp; Indexation'!E$19*gross_yield,D111*(1+'Macro &amp; Indexation'!E$11)))</f>
        <v>0</v>
      </c>
      <c r="F111" s="40">
        <f>IF(F$6&lt;$B111,0,IF(F$6=$B111,'Growth Engine'!F$10*'Macro &amp; Indexation'!F$19*gross_yield,E111*(1+'Macro &amp; Indexation'!F$11)))</f>
        <v>0</v>
      </c>
      <c r="G111" s="40">
        <f>IF(G$6&lt;$B111,0,IF(G$6=$B111,'Growth Engine'!G$10*'Macro &amp; Indexation'!G$19*gross_yield,F111*(1+'Macro &amp; Indexation'!G$11)))</f>
        <v>0</v>
      </c>
      <c r="H111" s="40">
        <f>IF(H$6&lt;$B111,0,IF(H$6=$B111,'Growth Engine'!H$10*'Macro &amp; Indexation'!H$19*gross_yield,G111*(1+'Macro &amp; Indexation'!H$11)))</f>
        <v>0</v>
      </c>
      <c r="I111" s="40">
        <f>IF(I$6&lt;$B111,0,IF(I$6=$B111,'Growth Engine'!I$10*'Macro &amp; Indexation'!I$19*gross_yield,H111*(1+'Macro &amp; Indexation'!I$11)))</f>
        <v>0</v>
      </c>
      <c r="J111" s="40">
        <f>IF(J$6&lt;$B111,0,IF(J$6=$B111,'Growth Engine'!J$10*'Macro &amp; Indexation'!J$19*gross_yield,I111*(1+'Macro &amp; Indexation'!J$11)))</f>
        <v>0</v>
      </c>
      <c r="K111" s="40">
        <f>IF(K$6&lt;$B111,0,IF(K$6=$B111,'Growth Engine'!K$10*'Macro &amp; Indexation'!K$19*gross_yield,J111*(1+'Macro &amp; Indexation'!K$11)))</f>
        <v>0</v>
      </c>
      <c r="L111" s="40">
        <f>IF(L$6&lt;$B111,0,IF(L$6=$B111,'Growth Engine'!L$10*'Macro &amp; Indexation'!L$19*gross_yield,K111*(1+'Macro &amp; Indexation'!L$11)))</f>
        <v>0</v>
      </c>
      <c r="M111" s="40">
        <f>IF(M$6&lt;$B111,0,IF(M$6=$B111,'Growth Engine'!M$10*'Macro &amp; Indexation'!M$19*gross_yield,L111*(1+'Macro &amp; Indexation'!M$11)))</f>
        <v>0</v>
      </c>
      <c r="N111" s="40">
        <f>IF(N$6&lt;$B111,0,IF(N$6=$B111,'Growth Engine'!N$10*'Macro &amp; Indexation'!N$19*gross_yield,M111*(1+'Macro &amp; Indexation'!N$11)))</f>
        <v>0</v>
      </c>
      <c r="O111" s="40">
        <f>IF(O$6&lt;$B111,0,IF(O$6=$B111,'Growth Engine'!O$10*'Macro &amp; Indexation'!O$19*gross_yield,N111*(1+'Macro &amp; Indexation'!O$11)))</f>
        <v>0</v>
      </c>
      <c r="P111" s="40">
        <f>IF(P$6&lt;$B111,0,IF(P$6=$B111,'Growth Engine'!P$10*'Macro &amp; Indexation'!P$19*gross_yield,O111*(1+'Macro &amp; Indexation'!P$11)))</f>
        <v>0</v>
      </c>
      <c r="Q111" s="40">
        <f>IF(Q$6&lt;$B111,0,IF(Q$6=$B111,'Growth Engine'!Q$10*'Macro &amp; Indexation'!Q$19*gross_yield,P111*(1+'Macro &amp; Indexation'!Q$11)))</f>
        <v>0</v>
      </c>
      <c r="R111" s="40">
        <f>IF(R$6&lt;$B111,0,IF(R$6=$B111,'Growth Engine'!R$10*'Macro &amp; Indexation'!R$19*gross_yield,Q111*(1+'Macro &amp; Indexation'!R$11)))</f>
        <v>0</v>
      </c>
      <c r="S111" s="40">
        <f>IF(S$6&lt;$B111,0,IF(S$6=$B111,'Growth Engine'!S$10*'Macro &amp; Indexation'!S$19*gross_yield,R111*(1+'Macro &amp; Indexation'!S$11)))</f>
        <v>0</v>
      </c>
      <c r="T111" s="40">
        <f>IF(T$6&lt;$B111,0,IF(T$6=$B111,'Growth Engine'!T$10*'Macro &amp; Indexation'!T$19*gross_yield,S111*(1+'Macro &amp; Indexation'!T$11)))</f>
        <v>0</v>
      </c>
      <c r="U111" s="40">
        <f>IF(U$6&lt;$B111,0,IF(U$6=$B111,'Growth Engine'!U$10*'Macro &amp; Indexation'!U$19*gross_yield,T111*(1+'Macro &amp; Indexation'!U$11)))</f>
        <v>0</v>
      </c>
      <c r="V111" s="40">
        <f>IF(V$6&lt;$B111,0,IF(V$6=$B111,'Growth Engine'!V$10*'Macro &amp; Indexation'!V$19*gross_yield,U111*(1+'Macro &amp; Indexation'!V$11)))</f>
        <v>0</v>
      </c>
      <c r="W111" s="40">
        <f>IF(W$6&lt;$B111,0,IF(W$6=$B111,'Growth Engine'!W$10*'Macro &amp; Indexation'!W$19*gross_yield,V111*(1+'Macro &amp; Indexation'!W$11)))</f>
        <v>0</v>
      </c>
      <c r="X111" s="40">
        <f>IF(X$6&lt;$B111,0,IF(X$6=$B111,'Growth Engine'!X$10*'Macro &amp; Indexation'!X$19*gross_yield,W111*(1+'Macro &amp; Indexation'!X$11)))</f>
        <v>0</v>
      </c>
      <c r="Y111" s="40">
        <f>IF(Y$6&lt;$B111,0,IF(Y$6=$B111,'Growth Engine'!Y$10*'Macro &amp; Indexation'!Y$19*gross_yield,X111*(1+'Macro &amp; Indexation'!Y$11)))</f>
        <v>0</v>
      </c>
      <c r="Z111" s="40">
        <f>IF(Z$6&lt;$B111,0,IF(Z$6=$B111,'Growth Engine'!Z$10*'Macro &amp; Indexation'!Z$19*gross_yield,Y111*(1+'Macro &amp; Indexation'!Z$11)))</f>
        <v>0</v>
      </c>
      <c r="AA111" s="40">
        <f>IF(AA$6&lt;$B111,0,IF(AA$6=$B111,'Growth Engine'!AA$10*'Macro &amp; Indexation'!AA$19*gross_yield,Z111*(1+'Macro &amp; Indexation'!AA$11)))</f>
        <v>0</v>
      </c>
      <c r="AB111" s="40">
        <f>IF(AB$6&lt;$B111,0,IF(AB$6=$B111,'Growth Engine'!AB$10*'Macro &amp; Indexation'!AB$19*gross_yield,AA111*(1+'Macro &amp; Indexation'!AB$11)))</f>
        <v>0</v>
      </c>
      <c r="AC111" s="40">
        <f>IF(AC$6&lt;$B111,0,IF(AC$6=$B111,'Growth Engine'!AC$10*'Macro &amp; Indexation'!AC$19*gross_yield,AB111*(1+'Macro &amp; Indexation'!AC$11)))</f>
        <v>0</v>
      </c>
      <c r="AD111" s="40">
        <f>IF(AD$6&lt;$B111,0,IF(AD$6=$B111,'Growth Engine'!AD$10*'Macro &amp; Indexation'!AD$19*gross_yield,AC111*(1+'Macro &amp; Indexation'!AD$11)))</f>
        <v>0</v>
      </c>
      <c r="AE111" s="40">
        <f>IF(AE$6&lt;$B111,0,IF(AE$6=$B111,'Growth Engine'!AE$10*'Macro &amp; Indexation'!AE$19*gross_yield,AD111*(1+'Macro &amp; Indexation'!AE$11)))</f>
        <v>0</v>
      </c>
      <c r="AF111" s="40">
        <f>IF(AF$6&lt;$B111,0,IF(AF$6=$B111,'Growth Engine'!AF$10*'Macro &amp; Indexation'!AF$19*gross_yield,AE111*(1+'Macro &amp; Indexation'!AF$11)))</f>
        <v>0</v>
      </c>
      <c r="AG111" s="40">
        <f>IF(AG$6&lt;$B111,0,IF(AG$6=$B111,'Growth Engine'!AG$10*'Macro &amp; Indexation'!AG$19*gross_yield,AF111*(1+'Macro &amp; Indexation'!AG$11)))</f>
        <v>0</v>
      </c>
      <c r="AH111" s="40">
        <f>IF(AH$6&lt;$B111,0,IF(AH$6=$B111,'Growth Engine'!AH$10*'Macro &amp; Indexation'!AH$19*gross_yield,AG111*(1+'Macro &amp; Indexation'!AH$11)))</f>
        <v>0</v>
      </c>
      <c r="AI111" s="40">
        <f>IF(AI$6&lt;$B111,0,IF(AI$6=$B111,'Growth Engine'!AI$10*'Macro &amp; Indexation'!AI$19*gross_yield,AH111*(1+'Macro &amp; Indexation'!AI$11)))</f>
        <v>0</v>
      </c>
      <c r="AJ111" s="40">
        <f>IF(AJ$6&lt;$B111,0,IF(AJ$6=$B111,'Growth Engine'!AJ$10*'Macro &amp; Indexation'!AJ$19*gross_yield,AI111*(1+'Macro &amp; Indexation'!AJ$11)))</f>
        <v>0</v>
      </c>
      <c r="AK111" s="40">
        <f>IF(AK$6&lt;$B111,0,IF(AK$6=$B111,'Growth Engine'!AK$10*'Macro &amp; Indexation'!AK$19*gross_yield,AJ111*(1+'Macro &amp; Indexation'!AK$11)))</f>
        <v>0</v>
      </c>
      <c r="AL111" s="40">
        <f>IF(AL$6&lt;$B111,0,IF(AL$6=$B111,'Growth Engine'!AL$10*'Macro &amp; Indexation'!AL$19*gross_yield,AK111*(1+'Macro &amp; Indexation'!AL$11)))</f>
        <v>0</v>
      </c>
      <c r="AM111" s="40">
        <f>IF(AM$6&lt;$B111,0,IF(AM$6=$B111,'Growth Engine'!AM$10*'Macro &amp; Indexation'!AM$19*gross_yield,AL111*(1+'Macro &amp; Indexation'!AM$11)))</f>
        <v>0</v>
      </c>
      <c r="AN111" s="40">
        <f>IF(AN$6&lt;$B111,0,IF(AN$6=$B111,'Growth Engine'!AN$10*'Macro &amp; Indexation'!AN$19*gross_yield,AM111*(1+'Macro &amp; Indexation'!AN$11)))</f>
        <v>0</v>
      </c>
      <c r="AO111" s="40">
        <f>IF(AO$6&lt;$B111,0,IF(AO$6=$B111,'Growth Engine'!AO$10*'Macro &amp; Indexation'!AO$19*gross_yield,AN111*(1+'Macro &amp; Indexation'!AO$11)))</f>
        <v>0</v>
      </c>
      <c r="AP111" s="40">
        <f>IF(AP$6&lt;$B111,0,IF(AP$6=$B111,'Growth Engine'!AP$10*'Macro &amp; Indexation'!AP$19*gross_yield,AO111*(1+'Macro &amp; Indexation'!AP$11)))</f>
        <v>0</v>
      </c>
      <c r="AQ111" s="40">
        <f>IF(AQ$6&lt;$B111,0,IF(AQ$6=$B111,'Growth Engine'!AQ$10*'Macro &amp; Indexation'!AQ$19*gross_yield,AP111*(1+'Macro &amp; Indexation'!AQ$11)))</f>
        <v>0</v>
      </c>
      <c r="AR111" s="40">
        <f>IF(AR$6&lt;$B111,0,IF(AR$6=$B111,'Growth Engine'!AR$10*'Macro &amp; Indexation'!AR$19*gross_yield,AQ111*(1+'Macro &amp; Indexation'!AR$11)))</f>
        <v>0</v>
      </c>
      <c r="AS111" s="40">
        <f>IF(AS$6&lt;$B111,0,IF(AS$6=$B111,'Growth Engine'!AS$10*'Macro &amp; Indexation'!AS$19*gross_yield,AR111*(1+'Macro &amp; Indexation'!AS$11)))</f>
        <v>0</v>
      </c>
      <c r="AT111" s="40">
        <f>IF(AT$6&lt;$B111,0,IF(AT$6=$B111,'Growth Engine'!AT$10*'Macro &amp; Indexation'!AT$19*gross_yield,AS111*(1+'Macro &amp; Indexation'!AT$11)))</f>
        <v>0</v>
      </c>
      <c r="AU111" s="40">
        <f>IF(AU$6&lt;$B111,0,IF(AU$6=$B111,'Growth Engine'!AU$10*'Macro &amp; Indexation'!AU$19*gross_yield,AT111*(1+'Macro &amp; Indexation'!AU$11)))</f>
        <v>0</v>
      </c>
      <c r="AV111" s="40">
        <f>IF(AV$6&lt;$B111,0,IF(AV$6=$B111,'Growth Engine'!AV$10*'Macro &amp; Indexation'!AV$19*gross_yield,AU111*(1+'Macro &amp; Indexation'!AV$11)))</f>
        <v>0</v>
      </c>
      <c r="AW111" s="40">
        <f ca="1">IF(AW$6&lt;$B111,0,IF(AW$6=$B111,'Growth Engine'!AW$10*'Macro &amp; Indexation'!AW$19*gross_yield,AV111*(1+'Macro &amp; Indexation'!AW$11)))</f>
        <v>65833.01971870492</v>
      </c>
      <c r="AX111" s="40">
        <f ca="1">IF(AX$6&lt;$B111,0,IF(AX$6=$B111,'Growth Engine'!AX$10*'Macro &amp; Indexation'!AX$19*gross_yield,AW111*(1+'Macro &amp; Indexation'!AX$11)))</f>
        <v>67478.845211672538</v>
      </c>
      <c r="AY111" s="40">
        <f ca="1">IF(AY$6&lt;$B111,0,IF(AY$6=$B111,'Growth Engine'!AY$10*'Macro &amp; Indexation'!AY$19*gross_yield,AX111*(1+'Macro &amp; Indexation'!AY$11)))</f>
        <v>69165.816341964339</v>
      </c>
      <c r="AZ111" s="40">
        <f ca="1">IF(AZ$6&lt;$B111,0,IF(AZ$6=$B111,'Growth Engine'!AZ$10*'Macro &amp; Indexation'!AZ$19*gross_yield,AY111*(1+'Macro &amp; Indexation'!AZ$11)))</f>
        <v>70894.961750513437</v>
      </c>
      <c r="BA111" s="40">
        <f ca="1">IF(BA$6&lt;$B111,0,IF(BA$6=$B111,'Growth Engine'!BA$10*'Macro &amp; Indexation'!BA$19*gross_yield,AZ111*(1+'Macro &amp; Indexation'!BA$11)))</f>
        <v>72667.335794276267</v>
      </c>
    </row>
    <row r="112" spans="1:53" outlineLevel="1" x14ac:dyDescent="0.3">
      <c r="A112" t="s">
        <v>183</v>
      </c>
      <c r="B112">
        <v>47</v>
      </c>
      <c r="D112" s="40">
        <f>IF(D$6&lt;$B112,0,IF(D$6=$B112,'Growth Engine'!D$10*'Macro &amp; Indexation'!D$19*gross_yield,C112*(1+'Macro &amp; Indexation'!D$11)))</f>
        <v>0</v>
      </c>
      <c r="E112" s="40">
        <f>IF(E$6&lt;$B112,0,IF(E$6=$B112,'Growth Engine'!E$10*'Macro &amp; Indexation'!E$19*gross_yield,D112*(1+'Macro &amp; Indexation'!E$11)))</f>
        <v>0</v>
      </c>
      <c r="F112" s="40">
        <f>IF(F$6&lt;$B112,0,IF(F$6=$B112,'Growth Engine'!F$10*'Macro &amp; Indexation'!F$19*gross_yield,E112*(1+'Macro &amp; Indexation'!F$11)))</f>
        <v>0</v>
      </c>
      <c r="G112" s="40">
        <f>IF(G$6&lt;$B112,0,IF(G$6=$B112,'Growth Engine'!G$10*'Macro &amp; Indexation'!G$19*gross_yield,F112*(1+'Macro &amp; Indexation'!G$11)))</f>
        <v>0</v>
      </c>
      <c r="H112" s="40">
        <f>IF(H$6&lt;$B112,0,IF(H$6=$B112,'Growth Engine'!H$10*'Macro &amp; Indexation'!H$19*gross_yield,G112*(1+'Macro &amp; Indexation'!H$11)))</f>
        <v>0</v>
      </c>
      <c r="I112" s="40">
        <f>IF(I$6&lt;$B112,0,IF(I$6=$B112,'Growth Engine'!I$10*'Macro &amp; Indexation'!I$19*gross_yield,H112*(1+'Macro &amp; Indexation'!I$11)))</f>
        <v>0</v>
      </c>
      <c r="J112" s="40">
        <f>IF(J$6&lt;$B112,0,IF(J$6=$B112,'Growth Engine'!J$10*'Macro &amp; Indexation'!J$19*gross_yield,I112*(1+'Macro &amp; Indexation'!J$11)))</f>
        <v>0</v>
      </c>
      <c r="K112" s="40">
        <f>IF(K$6&lt;$B112,0,IF(K$6=$B112,'Growth Engine'!K$10*'Macro &amp; Indexation'!K$19*gross_yield,J112*(1+'Macro &amp; Indexation'!K$11)))</f>
        <v>0</v>
      </c>
      <c r="L112" s="40">
        <f>IF(L$6&lt;$B112,0,IF(L$6=$B112,'Growth Engine'!L$10*'Macro &amp; Indexation'!L$19*gross_yield,K112*(1+'Macro &amp; Indexation'!L$11)))</f>
        <v>0</v>
      </c>
      <c r="M112" s="40">
        <f>IF(M$6&lt;$B112,0,IF(M$6=$B112,'Growth Engine'!M$10*'Macro &amp; Indexation'!M$19*gross_yield,L112*(1+'Macro &amp; Indexation'!M$11)))</f>
        <v>0</v>
      </c>
      <c r="N112" s="40">
        <f>IF(N$6&lt;$B112,0,IF(N$6=$B112,'Growth Engine'!N$10*'Macro &amp; Indexation'!N$19*gross_yield,M112*(1+'Macro &amp; Indexation'!N$11)))</f>
        <v>0</v>
      </c>
      <c r="O112" s="40">
        <f>IF(O$6&lt;$B112,0,IF(O$6=$B112,'Growth Engine'!O$10*'Macro &amp; Indexation'!O$19*gross_yield,N112*(1+'Macro &amp; Indexation'!O$11)))</f>
        <v>0</v>
      </c>
      <c r="P112" s="40">
        <f>IF(P$6&lt;$B112,0,IF(P$6=$B112,'Growth Engine'!P$10*'Macro &amp; Indexation'!P$19*gross_yield,O112*(1+'Macro &amp; Indexation'!P$11)))</f>
        <v>0</v>
      </c>
      <c r="Q112" s="40">
        <f>IF(Q$6&lt;$B112,0,IF(Q$6=$B112,'Growth Engine'!Q$10*'Macro &amp; Indexation'!Q$19*gross_yield,P112*(1+'Macro &amp; Indexation'!Q$11)))</f>
        <v>0</v>
      </c>
      <c r="R112" s="40">
        <f>IF(R$6&lt;$B112,0,IF(R$6=$B112,'Growth Engine'!R$10*'Macro &amp; Indexation'!R$19*gross_yield,Q112*(1+'Macro &amp; Indexation'!R$11)))</f>
        <v>0</v>
      </c>
      <c r="S112" s="40">
        <f>IF(S$6&lt;$B112,0,IF(S$6=$B112,'Growth Engine'!S$10*'Macro &amp; Indexation'!S$19*gross_yield,R112*(1+'Macro &amp; Indexation'!S$11)))</f>
        <v>0</v>
      </c>
      <c r="T112" s="40">
        <f>IF(T$6&lt;$B112,0,IF(T$6=$B112,'Growth Engine'!T$10*'Macro &amp; Indexation'!T$19*gross_yield,S112*(1+'Macro &amp; Indexation'!T$11)))</f>
        <v>0</v>
      </c>
      <c r="U112" s="40">
        <f>IF(U$6&lt;$B112,0,IF(U$6=$B112,'Growth Engine'!U$10*'Macro &amp; Indexation'!U$19*gross_yield,T112*(1+'Macro &amp; Indexation'!U$11)))</f>
        <v>0</v>
      </c>
      <c r="V112" s="40">
        <f>IF(V$6&lt;$B112,0,IF(V$6=$B112,'Growth Engine'!V$10*'Macro &amp; Indexation'!V$19*gross_yield,U112*(1+'Macro &amp; Indexation'!V$11)))</f>
        <v>0</v>
      </c>
      <c r="W112" s="40">
        <f>IF(W$6&lt;$B112,0,IF(W$6=$B112,'Growth Engine'!W$10*'Macro &amp; Indexation'!W$19*gross_yield,V112*(1+'Macro &amp; Indexation'!W$11)))</f>
        <v>0</v>
      </c>
      <c r="X112" s="40">
        <f>IF(X$6&lt;$B112,0,IF(X$6=$B112,'Growth Engine'!X$10*'Macro &amp; Indexation'!X$19*gross_yield,W112*(1+'Macro &amp; Indexation'!X$11)))</f>
        <v>0</v>
      </c>
      <c r="Y112" s="40">
        <f>IF(Y$6&lt;$B112,0,IF(Y$6=$B112,'Growth Engine'!Y$10*'Macro &amp; Indexation'!Y$19*gross_yield,X112*(1+'Macro &amp; Indexation'!Y$11)))</f>
        <v>0</v>
      </c>
      <c r="Z112" s="40">
        <f>IF(Z$6&lt;$B112,0,IF(Z$6=$B112,'Growth Engine'!Z$10*'Macro &amp; Indexation'!Z$19*gross_yield,Y112*(1+'Macro &amp; Indexation'!Z$11)))</f>
        <v>0</v>
      </c>
      <c r="AA112" s="40">
        <f>IF(AA$6&lt;$B112,0,IF(AA$6=$B112,'Growth Engine'!AA$10*'Macro &amp; Indexation'!AA$19*gross_yield,Z112*(1+'Macro &amp; Indexation'!AA$11)))</f>
        <v>0</v>
      </c>
      <c r="AB112" s="40">
        <f>IF(AB$6&lt;$B112,0,IF(AB$6=$B112,'Growth Engine'!AB$10*'Macro &amp; Indexation'!AB$19*gross_yield,AA112*(1+'Macro &amp; Indexation'!AB$11)))</f>
        <v>0</v>
      </c>
      <c r="AC112" s="40">
        <f>IF(AC$6&lt;$B112,0,IF(AC$6=$B112,'Growth Engine'!AC$10*'Macro &amp; Indexation'!AC$19*gross_yield,AB112*(1+'Macro &amp; Indexation'!AC$11)))</f>
        <v>0</v>
      </c>
      <c r="AD112" s="40">
        <f>IF(AD$6&lt;$B112,0,IF(AD$6=$B112,'Growth Engine'!AD$10*'Macro &amp; Indexation'!AD$19*gross_yield,AC112*(1+'Macro &amp; Indexation'!AD$11)))</f>
        <v>0</v>
      </c>
      <c r="AE112" s="40">
        <f>IF(AE$6&lt;$B112,0,IF(AE$6=$B112,'Growth Engine'!AE$10*'Macro &amp; Indexation'!AE$19*gross_yield,AD112*(1+'Macro &amp; Indexation'!AE$11)))</f>
        <v>0</v>
      </c>
      <c r="AF112" s="40">
        <f>IF(AF$6&lt;$B112,0,IF(AF$6=$B112,'Growth Engine'!AF$10*'Macro &amp; Indexation'!AF$19*gross_yield,AE112*(1+'Macro &amp; Indexation'!AF$11)))</f>
        <v>0</v>
      </c>
      <c r="AG112" s="40">
        <f>IF(AG$6&lt;$B112,0,IF(AG$6=$B112,'Growth Engine'!AG$10*'Macro &amp; Indexation'!AG$19*gross_yield,AF112*(1+'Macro &amp; Indexation'!AG$11)))</f>
        <v>0</v>
      </c>
      <c r="AH112" s="40">
        <f>IF(AH$6&lt;$B112,0,IF(AH$6=$B112,'Growth Engine'!AH$10*'Macro &amp; Indexation'!AH$19*gross_yield,AG112*(1+'Macro &amp; Indexation'!AH$11)))</f>
        <v>0</v>
      </c>
      <c r="AI112" s="40">
        <f>IF(AI$6&lt;$B112,0,IF(AI$6=$B112,'Growth Engine'!AI$10*'Macro &amp; Indexation'!AI$19*gross_yield,AH112*(1+'Macro &amp; Indexation'!AI$11)))</f>
        <v>0</v>
      </c>
      <c r="AJ112" s="40">
        <f>IF(AJ$6&lt;$B112,0,IF(AJ$6=$B112,'Growth Engine'!AJ$10*'Macro &amp; Indexation'!AJ$19*gross_yield,AI112*(1+'Macro &amp; Indexation'!AJ$11)))</f>
        <v>0</v>
      </c>
      <c r="AK112" s="40">
        <f>IF(AK$6&lt;$B112,0,IF(AK$6=$B112,'Growth Engine'!AK$10*'Macro &amp; Indexation'!AK$19*gross_yield,AJ112*(1+'Macro &amp; Indexation'!AK$11)))</f>
        <v>0</v>
      </c>
      <c r="AL112" s="40">
        <f>IF(AL$6&lt;$B112,0,IF(AL$6=$B112,'Growth Engine'!AL$10*'Macro &amp; Indexation'!AL$19*gross_yield,AK112*(1+'Macro &amp; Indexation'!AL$11)))</f>
        <v>0</v>
      </c>
      <c r="AM112" s="40">
        <f>IF(AM$6&lt;$B112,0,IF(AM$6=$B112,'Growth Engine'!AM$10*'Macro &amp; Indexation'!AM$19*gross_yield,AL112*(1+'Macro &amp; Indexation'!AM$11)))</f>
        <v>0</v>
      </c>
      <c r="AN112" s="40">
        <f>IF(AN$6&lt;$B112,0,IF(AN$6=$B112,'Growth Engine'!AN$10*'Macro &amp; Indexation'!AN$19*gross_yield,AM112*(1+'Macro &amp; Indexation'!AN$11)))</f>
        <v>0</v>
      </c>
      <c r="AO112" s="40">
        <f>IF(AO$6&lt;$B112,0,IF(AO$6=$B112,'Growth Engine'!AO$10*'Macro &amp; Indexation'!AO$19*gross_yield,AN112*(1+'Macro &amp; Indexation'!AO$11)))</f>
        <v>0</v>
      </c>
      <c r="AP112" s="40">
        <f>IF(AP$6&lt;$B112,0,IF(AP$6=$B112,'Growth Engine'!AP$10*'Macro &amp; Indexation'!AP$19*gross_yield,AO112*(1+'Macro &amp; Indexation'!AP$11)))</f>
        <v>0</v>
      </c>
      <c r="AQ112" s="40">
        <f>IF(AQ$6&lt;$B112,0,IF(AQ$6=$B112,'Growth Engine'!AQ$10*'Macro &amp; Indexation'!AQ$19*gross_yield,AP112*(1+'Macro &amp; Indexation'!AQ$11)))</f>
        <v>0</v>
      </c>
      <c r="AR112" s="40">
        <f>IF(AR$6&lt;$B112,0,IF(AR$6=$B112,'Growth Engine'!AR$10*'Macro &amp; Indexation'!AR$19*gross_yield,AQ112*(1+'Macro &amp; Indexation'!AR$11)))</f>
        <v>0</v>
      </c>
      <c r="AS112" s="40">
        <f>IF(AS$6&lt;$B112,0,IF(AS$6=$B112,'Growth Engine'!AS$10*'Macro &amp; Indexation'!AS$19*gross_yield,AR112*(1+'Macro &amp; Indexation'!AS$11)))</f>
        <v>0</v>
      </c>
      <c r="AT112" s="40">
        <f>IF(AT$6&lt;$B112,0,IF(AT$6=$B112,'Growth Engine'!AT$10*'Macro &amp; Indexation'!AT$19*gross_yield,AS112*(1+'Macro &amp; Indexation'!AT$11)))</f>
        <v>0</v>
      </c>
      <c r="AU112" s="40">
        <f>IF(AU$6&lt;$B112,0,IF(AU$6=$B112,'Growth Engine'!AU$10*'Macro &amp; Indexation'!AU$19*gross_yield,AT112*(1+'Macro &amp; Indexation'!AU$11)))</f>
        <v>0</v>
      </c>
      <c r="AV112" s="40">
        <f>IF(AV$6&lt;$B112,0,IF(AV$6=$B112,'Growth Engine'!AV$10*'Macro &amp; Indexation'!AV$19*gross_yield,AU112*(1+'Macro &amp; Indexation'!AV$11)))</f>
        <v>0</v>
      </c>
      <c r="AW112" s="40">
        <f>IF(AW$6&lt;$B112,0,IF(AW$6=$B112,'Growth Engine'!AW$10*'Macro &amp; Indexation'!AW$19*gross_yield,AV112*(1+'Macro &amp; Indexation'!AW$11)))</f>
        <v>0</v>
      </c>
      <c r="AX112" s="40">
        <f ca="1">IF(AX$6&lt;$B112,0,IF(AX$6=$B112,'Growth Engine'!AX$10*'Macro &amp; Indexation'!AX$19*gross_yield,AW112*(1+'Macro &amp; Indexation'!AX$11)))</f>
        <v>136274.35081771921</v>
      </c>
      <c r="AY112" s="40">
        <f ca="1">IF(AY$6&lt;$B112,0,IF(AY$6=$B112,'Growth Engine'!AY$10*'Macro &amp; Indexation'!AY$19*gross_yield,AX112*(1+'Macro &amp; Indexation'!AY$11)))</f>
        <v>139681.20958816219</v>
      </c>
      <c r="AZ112" s="40">
        <f ca="1">IF(AZ$6&lt;$B112,0,IF(AZ$6=$B112,'Growth Engine'!AZ$10*'Macro &amp; Indexation'!AZ$19*gross_yield,AY112*(1+'Macro &amp; Indexation'!AZ$11)))</f>
        <v>143173.23982786623</v>
      </c>
      <c r="BA112" s="40">
        <f ca="1">IF(BA$6&lt;$B112,0,IF(BA$6=$B112,'Growth Engine'!BA$10*'Macro &amp; Indexation'!BA$19*gross_yield,AZ112*(1+'Macro &amp; Indexation'!BA$11)))</f>
        <v>146752.57082356288</v>
      </c>
    </row>
    <row r="113" spans="1:53" outlineLevel="1" x14ac:dyDescent="0.3">
      <c r="A113" t="s">
        <v>184</v>
      </c>
      <c r="B113">
        <v>48</v>
      </c>
      <c r="D113" s="40">
        <f>IF(D$6&lt;$B113,0,IF(D$6=$B113,'Growth Engine'!D$10*'Macro &amp; Indexation'!D$19*gross_yield,C113*(1+'Macro &amp; Indexation'!D$11)))</f>
        <v>0</v>
      </c>
      <c r="E113" s="40">
        <f>IF(E$6&lt;$B113,0,IF(E$6=$B113,'Growth Engine'!E$10*'Macro &amp; Indexation'!E$19*gross_yield,D113*(1+'Macro &amp; Indexation'!E$11)))</f>
        <v>0</v>
      </c>
      <c r="F113" s="40">
        <f>IF(F$6&lt;$B113,0,IF(F$6=$B113,'Growth Engine'!F$10*'Macro &amp; Indexation'!F$19*gross_yield,E113*(1+'Macro &amp; Indexation'!F$11)))</f>
        <v>0</v>
      </c>
      <c r="G113" s="40">
        <f>IF(G$6&lt;$B113,0,IF(G$6=$B113,'Growth Engine'!G$10*'Macro &amp; Indexation'!G$19*gross_yield,F113*(1+'Macro &amp; Indexation'!G$11)))</f>
        <v>0</v>
      </c>
      <c r="H113" s="40">
        <f>IF(H$6&lt;$B113,0,IF(H$6=$B113,'Growth Engine'!H$10*'Macro &amp; Indexation'!H$19*gross_yield,G113*(1+'Macro &amp; Indexation'!H$11)))</f>
        <v>0</v>
      </c>
      <c r="I113" s="40">
        <f>IF(I$6&lt;$B113,0,IF(I$6=$B113,'Growth Engine'!I$10*'Macro &amp; Indexation'!I$19*gross_yield,H113*(1+'Macro &amp; Indexation'!I$11)))</f>
        <v>0</v>
      </c>
      <c r="J113" s="40">
        <f>IF(J$6&lt;$B113,0,IF(J$6=$B113,'Growth Engine'!J$10*'Macro &amp; Indexation'!J$19*gross_yield,I113*(1+'Macro &amp; Indexation'!J$11)))</f>
        <v>0</v>
      </c>
      <c r="K113" s="40">
        <f>IF(K$6&lt;$B113,0,IF(K$6=$B113,'Growth Engine'!K$10*'Macro &amp; Indexation'!K$19*gross_yield,J113*(1+'Macro &amp; Indexation'!K$11)))</f>
        <v>0</v>
      </c>
      <c r="L113" s="40">
        <f>IF(L$6&lt;$B113,0,IF(L$6=$B113,'Growth Engine'!L$10*'Macro &amp; Indexation'!L$19*gross_yield,K113*(1+'Macro &amp; Indexation'!L$11)))</f>
        <v>0</v>
      </c>
      <c r="M113" s="40">
        <f>IF(M$6&lt;$B113,0,IF(M$6=$B113,'Growth Engine'!M$10*'Macro &amp; Indexation'!M$19*gross_yield,L113*(1+'Macro &amp; Indexation'!M$11)))</f>
        <v>0</v>
      </c>
      <c r="N113" s="40">
        <f>IF(N$6&lt;$B113,0,IF(N$6=$B113,'Growth Engine'!N$10*'Macro &amp; Indexation'!N$19*gross_yield,M113*(1+'Macro &amp; Indexation'!N$11)))</f>
        <v>0</v>
      </c>
      <c r="O113" s="40">
        <f>IF(O$6&lt;$B113,0,IF(O$6=$B113,'Growth Engine'!O$10*'Macro &amp; Indexation'!O$19*gross_yield,N113*(1+'Macro &amp; Indexation'!O$11)))</f>
        <v>0</v>
      </c>
      <c r="P113" s="40">
        <f>IF(P$6&lt;$B113,0,IF(P$6=$B113,'Growth Engine'!P$10*'Macro &amp; Indexation'!P$19*gross_yield,O113*(1+'Macro &amp; Indexation'!P$11)))</f>
        <v>0</v>
      </c>
      <c r="Q113" s="40">
        <f>IF(Q$6&lt;$B113,0,IF(Q$6=$B113,'Growth Engine'!Q$10*'Macro &amp; Indexation'!Q$19*gross_yield,P113*(1+'Macro &amp; Indexation'!Q$11)))</f>
        <v>0</v>
      </c>
      <c r="R113" s="40">
        <f>IF(R$6&lt;$B113,0,IF(R$6=$B113,'Growth Engine'!R$10*'Macro &amp; Indexation'!R$19*gross_yield,Q113*(1+'Macro &amp; Indexation'!R$11)))</f>
        <v>0</v>
      </c>
      <c r="S113" s="40">
        <f>IF(S$6&lt;$B113,0,IF(S$6=$B113,'Growth Engine'!S$10*'Macro &amp; Indexation'!S$19*gross_yield,R113*(1+'Macro &amp; Indexation'!S$11)))</f>
        <v>0</v>
      </c>
      <c r="T113" s="40">
        <f>IF(T$6&lt;$B113,0,IF(T$6=$B113,'Growth Engine'!T$10*'Macro &amp; Indexation'!T$19*gross_yield,S113*(1+'Macro &amp; Indexation'!T$11)))</f>
        <v>0</v>
      </c>
      <c r="U113" s="40">
        <f>IF(U$6&lt;$B113,0,IF(U$6=$B113,'Growth Engine'!U$10*'Macro &amp; Indexation'!U$19*gross_yield,T113*(1+'Macro &amp; Indexation'!U$11)))</f>
        <v>0</v>
      </c>
      <c r="V113" s="40">
        <f>IF(V$6&lt;$B113,0,IF(V$6=$B113,'Growth Engine'!V$10*'Macro &amp; Indexation'!V$19*gross_yield,U113*(1+'Macro &amp; Indexation'!V$11)))</f>
        <v>0</v>
      </c>
      <c r="W113" s="40">
        <f>IF(W$6&lt;$B113,0,IF(W$6=$B113,'Growth Engine'!W$10*'Macro &amp; Indexation'!W$19*gross_yield,V113*(1+'Macro &amp; Indexation'!W$11)))</f>
        <v>0</v>
      </c>
      <c r="X113" s="40">
        <f>IF(X$6&lt;$B113,0,IF(X$6=$B113,'Growth Engine'!X$10*'Macro &amp; Indexation'!X$19*gross_yield,W113*(1+'Macro &amp; Indexation'!X$11)))</f>
        <v>0</v>
      </c>
      <c r="Y113" s="40">
        <f>IF(Y$6&lt;$B113,0,IF(Y$6=$B113,'Growth Engine'!Y$10*'Macro &amp; Indexation'!Y$19*gross_yield,X113*(1+'Macro &amp; Indexation'!Y$11)))</f>
        <v>0</v>
      </c>
      <c r="Z113" s="40">
        <f>IF(Z$6&lt;$B113,0,IF(Z$6=$B113,'Growth Engine'!Z$10*'Macro &amp; Indexation'!Z$19*gross_yield,Y113*(1+'Macro &amp; Indexation'!Z$11)))</f>
        <v>0</v>
      </c>
      <c r="AA113" s="40">
        <f>IF(AA$6&lt;$B113,0,IF(AA$6=$B113,'Growth Engine'!AA$10*'Macro &amp; Indexation'!AA$19*gross_yield,Z113*(1+'Macro &amp; Indexation'!AA$11)))</f>
        <v>0</v>
      </c>
      <c r="AB113" s="40">
        <f>IF(AB$6&lt;$B113,0,IF(AB$6=$B113,'Growth Engine'!AB$10*'Macro &amp; Indexation'!AB$19*gross_yield,AA113*(1+'Macro &amp; Indexation'!AB$11)))</f>
        <v>0</v>
      </c>
      <c r="AC113" s="40">
        <f>IF(AC$6&lt;$B113,0,IF(AC$6=$B113,'Growth Engine'!AC$10*'Macro &amp; Indexation'!AC$19*gross_yield,AB113*(1+'Macro &amp; Indexation'!AC$11)))</f>
        <v>0</v>
      </c>
      <c r="AD113" s="40">
        <f>IF(AD$6&lt;$B113,0,IF(AD$6=$B113,'Growth Engine'!AD$10*'Macro &amp; Indexation'!AD$19*gross_yield,AC113*(1+'Macro &amp; Indexation'!AD$11)))</f>
        <v>0</v>
      </c>
      <c r="AE113" s="40">
        <f>IF(AE$6&lt;$B113,0,IF(AE$6=$B113,'Growth Engine'!AE$10*'Macro &amp; Indexation'!AE$19*gross_yield,AD113*(1+'Macro &amp; Indexation'!AE$11)))</f>
        <v>0</v>
      </c>
      <c r="AF113" s="40">
        <f>IF(AF$6&lt;$B113,0,IF(AF$6=$B113,'Growth Engine'!AF$10*'Macro &amp; Indexation'!AF$19*gross_yield,AE113*(1+'Macro &amp; Indexation'!AF$11)))</f>
        <v>0</v>
      </c>
      <c r="AG113" s="40">
        <f>IF(AG$6&lt;$B113,0,IF(AG$6=$B113,'Growth Engine'!AG$10*'Macro &amp; Indexation'!AG$19*gross_yield,AF113*(1+'Macro &amp; Indexation'!AG$11)))</f>
        <v>0</v>
      </c>
      <c r="AH113" s="40">
        <f>IF(AH$6&lt;$B113,0,IF(AH$6=$B113,'Growth Engine'!AH$10*'Macro &amp; Indexation'!AH$19*gross_yield,AG113*(1+'Macro &amp; Indexation'!AH$11)))</f>
        <v>0</v>
      </c>
      <c r="AI113" s="40">
        <f>IF(AI$6&lt;$B113,0,IF(AI$6=$B113,'Growth Engine'!AI$10*'Macro &amp; Indexation'!AI$19*gross_yield,AH113*(1+'Macro &amp; Indexation'!AI$11)))</f>
        <v>0</v>
      </c>
      <c r="AJ113" s="40">
        <f>IF(AJ$6&lt;$B113,0,IF(AJ$6=$B113,'Growth Engine'!AJ$10*'Macro &amp; Indexation'!AJ$19*gross_yield,AI113*(1+'Macro &amp; Indexation'!AJ$11)))</f>
        <v>0</v>
      </c>
      <c r="AK113" s="40">
        <f>IF(AK$6&lt;$B113,0,IF(AK$6=$B113,'Growth Engine'!AK$10*'Macro &amp; Indexation'!AK$19*gross_yield,AJ113*(1+'Macro &amp; Indexation'!AK$11)))</f>
        <v>0</v>
      </c>
      <c r="AL113" s="40">
        <f>IF(AL$6&lt;$B113,0,IF(AL$6=$B113,'Growth Engine'!AL$10*'Macro &amp; Indexation'!AL$19*gross_yield,AK113*(1+'Macro &amp; Indexation'!AL$11)))</f>
        <v>0</v>
      </c>
      <c r="AM113" s="40">
        <f>IF(AM$6&lt;$B113,0,IF(AM$6=$B113,'Growth Engine'!AM$10*'Macro &amp; Indexation'!AM$19*gross_yield,AL113*(1+'Macro &amp; Indexation'!AM$11)))</f>
        <v>0</v>
      </c>
      <c r="AN113" s="40">
        <f>IF(AN$6&lt;$B113,0,IF(AN$6=$B113,'Growth Engine'!AN$10*'Macro &amp; Indexation'!AN$19*gross_yield,AM113*(1+'Macro &amp; Indexation'!AN$11)))</f>
        <v>0</v>
      </c>
      <c r="AO113" s="40">
        <f>IF(AO$6&lt;$B113,0,IF(AO$6=$B113,'Growth Engine'!AO$10*'Macro &amp; Indexation'!AO$19*gross_yield,AN113*(1+'Macro &amp; Indexation'!AO$11)))</f>
        <v>0</v>
      </c>
      <c r="AP113" s="40">
        <f>IF(AP$6&lt;$B113,0,IF(AP$6=$B113,'Growth Engine'!AP$10*'Macro &amp; Indexation'!AP$19*gross_yield,AO113*(1+'Macro &amp; Indexation'!AP$11)))</f>
        <v>0</v>
      </c>
      <c r="AQ113" s="40">
        <f>IF(AQ$6&lt;$B113,0,IF(AQ$6=$B113,'Growth Engine'!AQ$10*'Macro &amp; Indexation'!AQ$19*gross_yield,AP113*(1+'Macro &amp; Indexation'!AQ$11)))</f>
        <v>0</v>
      </c>
      <c r="AR113" s="40">
        <f>IF(AR$6&lt;$B113,0,IF(AR$6=$B113,'Growth Engine'!AR$10*'Macro &amp; Indexation'!AR$19*gross_yield,AQ113*(1+'Macro &amp; Indexation'!AR$11)))</f>
        <v>0</v>
      </c>
      <c r="AS113" s="40">
        <f>IF(AS$6&lt;$B113,0,IF(AS$6=$B113,'Growth Engine'!AS$10*'Macro &amp; Indexation'!AS$19*gross_yield,AR113*(1+'Macro &amp; Indexation'!AS$11)))</f>
        <v>0</v>
      </c>
      <c r="AT113" s="40">
        <f>IF(AT$6&lt;$B113,0,IF(AT$6=$B113,'Growth Engine'!AT$10*'Macro &amp; Indexation'!AT$19*gross_yield,AS113*(1+'Macro &amp; Indexation'!AT$11)))</f>
        <v>0</v>
      </c>
      <c r="AU113" s="40">
        <f>IF(AU$6&lt;$B113,0,IF(AU$6=$B113,'Growth Engine'!AU$10*'Macro &amp; Indexation'!AU$19*gross_yield,AT113*(1+'Macro &amp; Indexation'!AU$11)))</f>
        <v>0</v>
      </c>
      <c r="AV113" s="40">
        <f>IF(AV$6&lt;$B113,0,IF(AV$6=$B113,'Growth Engine'!AV$10*'Macro &amp; Indexation'!AV$19*gross_yield,AU113*(1+'Macro &amp; Indexation'!AV$11)))</f>
        <v>0</v>
      </c>
      <c r="AW113" s="40">
        <f>IF(AW$6&lt;$B113,0,IF(AW$6=$B113,'Growth Engine'!AW$10*'Macro &amp; Indexation'!AW$19*gross_yield,AV113*(1+'Macro &amp; Indexation'!AW$11)))</f>
        <v>0</v>
      </c>
      <c r="AX113" s="40">
        <f>IF(AX$6&lt;$B113,0,IF(AX$6=$B113,'Growth Engine'!AX$10*'Macro &amp; Indexation'!AX$19*gross_yield,AW113*(1+'Macro &amp; Indexation'!AX$11)))</f>
        <v>0</v>
      </c>
      <c r="AY113" s="40">
        <f ca="1">IF(AY$6&lt;$B113,0,IF(AY$6=$B113,'Growth Engine'!AY$10*'Macro &amp; Indexation'!AY$19*gross_yield,AX113*(1+'Macro &amp; Indexation'!AY$11)))</f>
        <v>70521.976548169667</v>
      </c>
      <c r="AZ113" s="40">
        <f ca="1">IF(AZ$6&lt;$B113,0,IF(AZ$6=$B113,'Growth Engine'!AZ$10*'Macro &amp; Indexation'!AZ$19*gross_yield,AY113*(1+'Macro &amp; Indexation'!AZ$11)))</f>
        <v>72285.025961873907</v>
      </c>
      <c r="BA113" s="40">
        <f ca="1">IF(BA$6&lt;$B113,0,IF(BA$6=$B113,'Growth Engine'!BA$10*'Macro &amp; Indexation'!BA$19*gross_yield,AZ113*(1+'Macro &amp; Indexation'!BA$11)))</f>
        <v>74092.151610920744</v>
      </c>
    </row>
    <row r="114" spans="1:53" outlineLevel="1" x14ac:dyDescent="0.3">
      <c r="A114" t="s">
        <v>185</v>
      </c>
      <c r="B114">
        <v>49</v>
      </c>
      <c r="D114" s="40">
        <f>IF(D$6&lt;$B114,0,IF(D$6=$B114,'Growth Engine'!D$10*'Macro &amp; Indexation'!D$19*gross_yield,C114*(1+'Macro &amp; Indexation'!D$11)))</f>
        <v>0</v>
      </c>
      <c r="E114" s="40">
        <f>IF(E$6&lt;$B114,0,IF(E$6=$B114,'Growth Engine'!E$10*'Macro &amp; Indexation'!E$19*gross_yield,D114*(1+'Macro &amp; Indexation'!E$11)))</f>
        <v>0</v>
      </c>
      <c r="F114" s="40">
        <f>IF(F$6&lt;$B114,0,IF(F$6=$B114,'Growth Engine'!F$10*'Macro &amp; Indexation'!F$19*gross_yield,E114*(1+'Macro &amp; Indexation'!F$11)))</f>
        <v>0</v>
      </c>
      <c r="G114" s="40">
        <f>IF(G$6&lt;$B114,0,IF(G$6=$B114,'Growth Engine'!G$10*'Macro &amp; Indexation'!G$19*gross_yield,F114*(1+'Macro &amp; Indexation'!G$11)))</f>
        <v>0</v>
      </c>
      <c r="H114" s="40">
        <f>IF(H$6&lt;$B114,0,IF(H$6=$B114,'Growth Engine'!H$10*'Macro &amp; Indexation'!H$19*gross_yield,G114*(1+'Macro &amp; Indexation'!H$11)))</f>
        <v>0</v>
      </c>
      <c r="I114" s="40">
        <f>IF(I$6&lt;$B114,0,IF(I$6=$B114,'Growth Engine'!I$10*'Macro &amp; Indexation'!I$19*gross_yield,H114*(1+'Macro &amp; Indexation'!I$11)))</f>
        <v>0</v>
      </c>
      <c r="J114" s="40">
        <f>IF(J$6&lt;$B114,0,IF(J$6=$B114,'Growth Engine'!J$10*'Macro &amp; Indexation'!J$19*gross_yield,I114*(1+'Macro &amp; Indexation'!J$11)))</f>
        <v>0</v>
      </c>
      <c r="K114" s="40">
        <f>IF(K$6&lt;$B114,0,IF(K$6=$B114,'Growth Engine'!K$10*'Macro &amp; Indexation'!K$19*gross_yield,J114*(1+'Macro &amp; Indexation'!K$11)))</f>
        <v>0</v>
      </c>
      <c r="L114" s="40">
        <f>IF(L$6&lt;$B114,0,IF(L$6=$B114,'Growth Engine'!L$10*'Macro &amp; Indexation'!L$19*gross_yield,K114*(1+'Macro &amp; Indexation'!L$11)))</f>
        <v>0</v>
      </c>
      <c r="M114" s="40">
        <f>IF(M$6&lt;$B114,0,IF(M$6=$B114,'Growth Engine'!M$10*'Macro &amp; Indexation'!M$19*gross_yield,L114*(1+'Macro &amp; Indexation'!M$11)))</f>
        <v>0</v>
      </c>
      <c r="N114" s="40">
        <f>IF(N$6&lt;$B114,0,IF(N$6=$B114,'Growth Engine'!N$10*'Macro &amp; Indexation'!N$19*gross_yield,M114*(1+'Macro &amp; Indexation'!N$11)))</f>
        <v>0</v>
      </c>
      <c r="O114" s="40">
        <f>IF(O$6&lt;$B114,0,IF(O$6=$B114,'Growth Engine'!O$10*'Macro &amp; Indexation'!O$19*gross_yield,N114*(1+'Macro &amp; Indexation'!O$11)))</f>
        <v>0</v>
      </c>
      <c r="P114" s="40">
        <f>IF(P$6&lt;$B114,0,IF(P$6=$B114,'Growth Engine'!P$10*'Macro &amp; Indexation'!P$19*gross_yield,O114*(1+'Macro &amp; Indexation'!P$11)))</f>
        <v>0</v>
      </c>
      <c r="Q114" s="40">
        <f>IF(Q$6&lt;$B114,0,IF(Q$6=$B114,'Growth Engine'!Q$10*'Macro &amp; Indexation'!Q$19*gross_yield,P114*(1+'Macro &amp; Indexation'!Q$11)))</f>
        <v>0</v>
      </c>
      <c r="R114" s="40">
        <f>IF(R$6&lt;$B114,0,IF(R$6=$B114,'Growth Engine'!R$10*'Macro &amp; Indexation'!R$19*gross_yield,Q114*(1+'Macro &amp; Indexation'!R$11)))</f>
        <v>0</v>
      </c>
      <c r="S114" s="40">
        <f>IF(S$6&lt;$B114,0,IF(S$6=$B114,'Growth Engine'!S$10*'Macro &amp; Indexation'!S$19*gross_yield,R114*(1+'Macro &amp; Indexation'!S$11)))</f>
        <v>0</v>
      </c>
      <c r="T114" s="40">
        <f>IF(T$6&lt;$B114,0,IF(T$6=$B114,'Growth Engine'!T$10*'Macro &amp; Indexation'!T$19*gross_yield,S114*(1+'Macro &amp; Indexation'!T$11)))</f>
        <v>0</v>
      </c>
      <c r="U114" s="40">
        <f>IF(U$6&lt;$B114,0,IF(U$6=$B114,'Growth Engine'!U$10*'Macro &amp; Indexation'!U$19*gross_yield,T114*(1+'Macro &amp; Indexation'!U$11)))</f>
        <v>0</v>
      </c>
      <c r="V114" s="40">
        <f>IF(V$6&lt;$B114,0,IF(V$6=$B114,'Growth Engine'!V$10*'Macro &amp; Indexation'!V$19*gross_yield,U114*(1+'Macro &amp; Indexation'!V$11)))</f>
        <v>0</v>
      </c>
      <c r="W114" s="40">
        <f>IF(W$6&lt;$B114,0,IF(W$6=$B114,'Growth Engine'!W$10*'Macro &amp; Indexation'!W$19*gross_yield,V114*(1+'Macro &amp; Indexation'!W$11)))</f>
        <v>0</v>
      </c>
      <c r="X114" s="40">
        <f>IF(X$6&lt;$B114,0,IF(X$6=$B114,'Growth Engine'!X$10*'Macro &amp; Indexation'!X$19*gross_yield,W114*(1+'Macro &amp; Indexation'!X$11)))</f>
        <v>0</v>
      </c>
      <c r="Y114" s="40">
        <f>IF(Y$6&lt;$B114,0,IF(Y$6=$B114,'Growth Engine'!Y$10*'Macro &amp; Indexation'!Y$19*gross_yield,X114*(1+'Macro &amp; Indexation'!Y$11)))</f>
        <v>0</v>
      </c>
      <c r="Z114" s="40">
        <f>IF(Z$6&lt;$B114,0,IF(Z$6=$B114,'Growth Engine'!Z$10*'Macro &amp; Indexation'!Z$19*gross_yield,Y114*(1+'Macro &amp; Indexation'!Z$11)))</f>
        <v>0</v>
      </c>
      <c r="AA114" s="40">
        <f>IF(AA$6&lt;$B114,0,IF(AA$6=$B114,'Growth Engine'!AA$10*'Macro &amp; Indexation'!AA$19*gross_yield,Z114*(1+'Macro &amp; Indexation'!AA$11)))</f>
        <v>0</v>
      </c>
      <c r="AB114" s="40">
        <f>IF(AB$6&lt;$B114,0,IF(AB$6=$B114,'Growth Engine'!AB$10*'Macro &amp; Indexation'!AB$19*gross_yield,AA114*(1+'Macro &amp; Indexation'!AB$11)))</f>
        <v>0</v>
      </c>
      <c r="AC114" s="40">
        <f>IF(AC$6&lt;$B114,0,IF(AC$6=$B114,'Growth Engine'!AC$10*'Macro &amp; Indexation'!AC$19*gross_yield,AB114*(1+'Macro &amp; Indexation'!AC$11)))</f>
        <v>0</v>
      </c>
      <c r="AD114" s="40">
        <f>IF(AD$6&lt;$B114,0,IF(AD$6=$B114,'Growth Engine'!AD$10*'Macro &amp; Indexation'!AD$19*gross_yield,AC114*(1+'Macro &amp; Indexation'!AD$11)))</f>
        <v>0</v>
      </c>
      <c r="AE114" s="40">
        <f>IF(AE$6&lt;$B114,0,IF(AE$6=$B114,'Growth Engine'!AE$10*'Macro &amp; Indexation'!AE$19*gross_yield,AD114*(1+'Macro &amp; Indexation'!AE$11)))</f>
        <v>0</v>
      </c>
      <c r="AF114" s="40">
        <f>IF(AF$6&lt;$B114,0,IF(AF$6=$B114,'Growth Engine'!AF$10*'Macro &amp; Indexation'!AF$19*gross_yield,AE114*(1+'Macro &amp; Indexation'!AF$11)))</f>
        <v>0</v>
      </c>
      <c r="AG114" s="40">
        <f>IF(AG$6&lt;$B114,0,IF(AG$6=$B114,'Growth Engine'!AG$10*'Macro &amp; Indexation'!AG$19*gross_yield,AF114*(1+'Macro &amp; Indexation'!AG$11)))</f>
        <v>0</v>
      </c>
      <c r="AH114" s="40">
        <f>IF(AH$6&lt;$B114,0,IF(AH$6=$B114,'Growth Engine'!AH$10*'Macro &amp; Indexation'!AH$19*gross_yield,AG114*(1+'Macro &amp; Indexation'!AH$11)))</f>
        <v>0</v>
      </c>
      <c r="AI114" s="40">
        <f>IF(AI$6&lt;$B114,0,IF(AI$6=$B114,'Growth Engine'!AI$10*'Macro &amp; Indexation'!AI$19*gross_yield,AH114*(1+'Macro &amp; Indexation'!AI$11)))</f>
        <v>0</v>
      </c>
      <c r="AJ114" s="40">
        <f>IF(AJ$6&lt;$B114,0,IF(AJ$6=$B114,'Growth Engine'!AJ$10*'Macro &amp; Indexation'!AJ$19*gross_yield,AI114*(1+'Macro &amp; Indexation'!AJ$11)))</f>
        <v>0</v>
      </c>
      <c r="AK114" s="40">
        <f>IF(AK$6&lt;$B114,0,IF(AK$6=$B114,'Growth Engine'!AK$10*'Macro &amp; Indexation'!AK$19*gross_yield,AJ114*(1+'Macro &amp; Indexation'!AK$11)))</f>
        <v>0</v>
      </c>
      <c r="AL114" s="40">
        <f>IF(AL$6&lt;$B114,0,IF(AL$6=$B114,'Growth Engine'!AL$10*'Macro &amp; Indexation'!AL$19*gross_yield,AK114*(1+'Macro &amp; Indexation'!AL$11)))</f>
        <v>0</v>
      </c>
      <c r="AM114" s="40">
        <f>IF(AM$6&lt;$B114,0,IF(AM$6=$B114,'Growth Engine'!AM$10*'Macro &amp; Indexation'!AM$19*gross_yield,AL114*(1+'Macro &amp; Indexation'!AM$11)))</f>
        <v>0</v>
      </c>
      <c r="AN114" s="40">
        <f>IF(AN$6&lt;$B114,0,IF(AN$6=$B114,'Growth Engine'!AN$10*'Macro &amp; Indexation'!AN$19*gross_yield,AM114*(1+'Macro &amp; Indexation'!AN$11)))</f>
        <v>0</v>
      </c>
      <c r="AO114" s="40">
        <f>IF(AO$6&lt;$B114,0,IF(AO$6=$B114,'Growth Engine'!AO$10*'Macro &amp; Indexation'!AO$19*gross_yield,AN114*(1+'Macro &amp; Indexation'!AO$11)))</f>
        <v>0</v>
      </c>
      <c r="AP114" s="40">
        <f>IF(AP$6&lt;$B114,0,IF(AP$6=$B114,'Growth Engine'!AP$10*'Macro &amp; Indexation'!AP$19*gross_yield,AO114*(1+'Macro &amp; Indexation'!AP$11)))</f>
        <v>0</v>
      </c>
      <c r="AQ114" s="40">
        <f>IF(AQ$6&lt;$B114,0,IF(AQ$6=$B114,'Growth Engine'!AQ$10*'Macro &amp; Indexation'!AQ$19*gross_yield,AP114*(1+'Macro &amp; Indexation'!AQ$11)))</f>
        <v>0</v>
      </c>
      <c r="AR114" s="40">
        <f>IF(AR$6&lt;$B114,0,IF(AR$6=$B114,'Growth Engine'!AR$10*'Macro &amp; Indexation'!AR$19*gross_yield,AQ114*(1+'Macro &amp; Indexation'!AR$11)))</f>
        <v>0</v>
      </c>
      <c r="AS114" s="40">
        <f>IF(AS$6&lt;$B114,0,IF(AS$6=$B114,'Growth Engine'!AS$10*'Macro &amp; Indexation'!AS$19*gross_yield,AR114*(1+'Macro &amp; Indexation'!AS$11)))</f>
        <v>0</v>
      </c>
      <c r="AT114" s="40">
        <f>IF(AT$6&lt;$B114,0,IF(AT$6=$B114,'Growth Engine'!AT$10*'Macro &amp; Indexation'!AT$19*gross_yield,AS114*(1+'Macro &amp; Indexation'!AT$11)))</f>
        <v>0</v>
      </c>
      <c r="AU114" s="40">
        <f>IF(AU$6&lt;$B114,0,IF(AU$6=$B114,'Growth Engine'!AU$10*'Macro &amp; Indexation'!AU$19*gross_yield,AT114*(1+'Macro &amp; Indexation'!AU$11)))</f>
        <v>0</v>
      </c>
      <c r="AV114" s="40">
        <f>IF(AV$6&lt;$B114,0,IF(AV$6=$B114,'Growth Engine'!AV$10*'Macro &amp; Indexation'!AV$19*gross_yield,AU114*(1+'Macro &amp; Indexation'!AV$11)))</f>
        <v>0</v>
      </c>
      <c r="AW114" s="40">
        <f>IF(AW$6&lt;$B114,0,IF(AW$6=$B114,'Growth Engine'!AW$10*'Macro &amp; Indexation'!AW$19*gross_yield,AV114*(1+'Macro &amp; Indexation'!AW$11)))</f>
        <v>0</v>
      </c>
      <c r="AX114" s="40">
        <f>IF(AX$6&lt;$B114,0,IF(AX$6=$B114,'Growth Engine'!AX$10*'Macro &amp; Indexation'!AX$19*gross_yield,AW114*(1+'Macro &amp; Indexation'!AX$11)))</f>
        <v>0</v>
      </c>
      <c r="AY114" s="40">
        <f>IF(AY$6&lt;$B114,0,IF(AY$6=$B114,'Growth Engine'!AY$10*'Macro &amp; Indexation'!AY$19*gross_yield,AX114*(1+'Macro &amp; Indexation'!AY$11)))</f>
        <v>0</v>
      </c>
      <c r="AZ114" s="40">
        <f ca="1">IF(AZ$6&lt;$B114,0,IF(AZ$6=$B114,'Growth Engine'!AZ$10*'Macro &amp; Indexation'!AZ$19*gross_yield,AY114*(1+'Macro &amp; Indexation'!AZ$11)))</f>
        <v>72990.245727355607</v>
      </c>
      <c r="BA114" s="40">
        <f ca="1">IF(BA$6&lt;$B114,0,IF(BA$6=$B114,'Growth Engine'!BA$10*'Macro &amp; Indexation'!BA$19*gross_yield,AZ114*(1+'Macro &amp; Indexation'!BA$11)))</f>
        <v>74815.00187053949</v>
      </c>
    </row>
    <row r="115" spans="1:53" outlineLevel="1" x14ac:dyDescent="0.3">
      <c r="A115" t="s">
        <v>186</v>
      </c>
      <c r="B115">
        <v>50</v>
      </c>
      <c r="D115" s="40">
        <f>IF(D$6&lt;$B115,0,IF(D$6=$B115,'Growth Engine'!D$10*'Macro &amp; Indexation'!D$19*gross_yield,C115*(1+'Macro &amp; Indexation'!D$11)))</f>
        <v>0</v>
      </c>
      <c r="E115" s="40">
        <f>IF(E$6&lt;$B115,0,IF(E$6=$B115,'Growth Engine'!E$10*'Macro &amp; Indexation'!E$19*gross_yield,D115*(1+'Macro &amp; Indexation'!E$11)))</f>
        <v>0</v>
      </c>
      <c r="F115" s="40">
        <f>IF(F$6&lt;$B115,0,IF(F$6=$B115,'Growth Engine'!F$10*'Macro &amp; Indexation'!F$19*gross_yield,E115*(1+'Macro &amp; Indexation'!F$11)))</f>
        <v>0</v>
      </c>
      <c r="G115" s="40">
        <f>IF(G$6&lt;$B115,0,IF(G$6=$B115,'Growth Engine'!G$10*'Macro &amp; Indexation'!G$19*gross_yield,F115*(1+'Macro &amp; Indexation'!G$11)))</f>
        <v>0</v>
      </c>
      <c r="H115" s="40">
        <f>IF(H$6&lt;$B115,0,IF(H$6=$B115,'Growth Engine'!H$10*'Macro &amp; Indexation'!H$19*gross_yield,G115*(1+'Macro &amp; Indexation'!H$11)))</f>
        <v>0</v>
      </c>
      <c r="I115" s="40">
        <f>IF(I$6&lt;$B115,0,IF(I$6=$B115,'Growth Engine'!I$10*'Macro &amp; Indexation'!I$19*gross_yield,H115*(1+'Macro &amp; Indexation'!I$11)))</f>
        <v>0</v>
      </c>
      <c r="J115" s="40">
        <f>IF(J$6&lt;$B115,0,IF(J$6=$B115,'Growth Engine'!J$10*'Macro &amp; Indexation'!J$19*gross_yield,I115*(1+'Macro &amp; Indexation'!J$11)))</f>
        <v>0</v>
      </c>
      <c r="K115" s="40">
        <f>IF(K$6&lt;$B115,0,IF(K$6=$B115,'Growth Engine'!K$10*'Macro &amp; Indexation'!K$19*gross_yield,J115*(1+'Macro &amp; Indexation'!K$11)))</f>
        <v>0</v>
      </c>
      <c r="L115" s="40">
        <f>IF(L$6&lt;$B115,0,IF(L$6=$B115,'Growth Engine'!L$10*'Macro &amp; Indexation'!L$19*gross_yield,K115*(1+'Macro &amp; Indexation'!L$11)))</f>
        <v>0</v>
      </c>
      <c r="M115" s="40">
        <f>IF(M$6&lt;$B115,0,IF(M$6=$B115,'Growth Engine'!M$10*'Macro &amp; Indexation'!M$19*gross_yield,L115*(1+'Macro &amp; Indexation'!M$11)))</f>
        <v>0</v>
      </c>
      <c r="N115" s="40">
        <f>IF(N$6&lt;$B115,0,IF(N$6=$B115,'Growth Engine'!N$10*'Macro &amp; Indexation'!N$19*gross_yield,M115*(1+'Macro &amp; Indexation'!N$11)))</f>
        <v>0</v>
      </c>
      <c r="O115" s="40">
        <f>IF(O$6&lt;$B115,0,IF(O$6=$B115,'Growth Engine'!O$10*'Macro &amp; Indexation'!O$19*gross_yield,N115*(1+'Macro &amp; Indexation'!O$11)))</f>
        <v>0</v>
      </c>
      <c r="P115" s="40">
        <f>IF(P$6&lt;$B115,0,IF(P$6=$B115,'Growth Engine'!P$10*'Macro &amp; Indexation'!P$19*gross_yield,O115*(1+'Macro &amp; Indexation'!P$11)))</f>
        <v>0</v>
      </c>
      <c r="Q115" s="40">
        <f>IF(Q$6&lt;$B115,0,IF(Q$6=$B115,'Growth Engine'!Q$10*'Macro &amp; Indexation'!Q$19*gross_yield,P115*(1+'Macro &amp; Indexation'!Q$11)))</f>
        <v>0</v>
      </c>
      <c r="R115" s="40">
        <f>IF(R$6&lt;$B115,0,IF(R$6=$B115,'Growth Engine'!R$10*'Macro &amp; Indexation'!R$19*gross_yield,Q115*(1+'Macro &amp; Indexation'!R$11)))</f>
        <v>0</v>
      </c>
      <c r="S115" s="40">
        <f>IF(S$6&lt;$B115,0,IF(S$6=$B115,'Growth Engine'!S$10*'Macro &amp; Indexation'!S$19*gross_yield,R115*(1+'Macro &amp; Indexation'!S$11)))</f>
        <v>0</v>
      </c>
      <c r="T115" s="40">
        <f>IF(T$6&lt;$B115,0,IF(T$6=$B115,'Growth Engine'!T$10*'Macro &amp; Indexation'!T$19*gross_yield,S115*(1+'Macro &amp; Indexation'!T$11)))</f>
        <v>0</v>
      </c>
      <c r="U115" s="40">
        <f>IF(U$6&lt;$B115,0,IF(U$6=$B115,'Growth Engine'!U$10*'Macro &amp; Indexation'!U$19*gross_yield,T115*(1+'Macro &amp; Indexation'!U$11)))</f>
        <v>0</v>
      </c>
      <c r="V115" s="40">
        <f>IF(V$6&lt;$B115,0,IF(V$6=$B115,'Growth Engine'!V$10*'Macro &amp; Indexation'!V$19*gross_yield,U115*(1+'Macro &amp; Indexation'!V$11)))</f>
        <v>0</v>
      </c>
      <c r="W115" s="40">
        <f>IF(W$6&lt;$B115,0,IF(W$6=$B115,'Growth Engine'!W$10*'Macro &amp; Indexation'!W$19*gross_yield,V115*(1+'Macro &amp; Indexation'!W$11)))</f>
        <v>0</v>
      </c>
      <c r="X115" s="40">
        <f>IF(X$6&lt;$B115,0,IF(X$6=$B115,'Growth Engine'!X$10*'Macro &amp; Indexation'!X$19*gross_yield,W115*(1+'Macro &amp; Indexation'!X$11)))</f>
        <v>0</v>
      </c>
      <c r="Y115" s="40">
        <f>IF(Y$6&lt;$B115,0,IF(Y$6=$B115,'Growth Engine'!Y$10*'Macro &amp; Indexation'!Y$19*gross_yield,X115*(1+'Macro &amp; Indexation'!Y$11)))</f>
        <v>0</v>
      </c>
      <c r="Z115" s="40">
        <f>IF(Z$6&lt;$B115,0,IF(Z$6=$B115,'Growth Engine'!Z$10*'Macro &amp; Indexation'!Z$19*gross_yield,Y115*(1+'Macro &amp; Indexation'!Z$11)))</f>
        <v>0</v>
      </c>
      <c r="AA115" s="40">
        <f>IF(AA$6&lt;$B115,0,IF(AA$6=$B115,'Growth Engine'!AA$10*'Macro &amp; Indexation'!AA$19*gross_yield,Z115*(1+'Macro &amp; Indexation'!AA$11)))</f>
        <v>0</v>
      </c>
      <c r="AB115" s="40">
        <f>IF(AB$6&lt;$B115,0,IF(AB$6=$B115,'Growth Engine'!AB$10*'Macro &amp; Indexation'!AB$19*gross_yield,AA115*(1+'Macro &amp; Indexation'!AB$11)))</f>
        <v>0</v>
      </c>
      <c r="AC115" s="40">
        <f>IF(AC$6&lt;$B115,0,IF(AC$6=$B115,'Growth Engine'!AC$10*'Macro &amp; Indexation'!AC$19*gross_yield,AB115*(1+'Macro &amp; Indexation'!AC$11)))</f>
        <v>0</v>
      </c>
      <c r="AD115" s="40">
        <f>IF(AD$6&lt;$B115,0,IF(AD$6=$B115,'Growth Engine'!AD$10*'Macro &amp; Indexation'!AD$19*gross_yield,AC115*(1+'Macro &amp; Indexation'!AD$11)))</f>
        <v>0</v>
      </c>
      <c r="AE115" s="40">
        <f>IF(AE$6&lt;$B115,0,IF(AE$6=$B115,'Growth Engine'!AE$10*'Macro &amp; Indexation'!AE$19*gross_yield,AD115*(1+'Macro &amp; Indexation'!AE$11)))</f>
        <v>0</v>
      </c>
      <c r="AF115" s="40">
        <f>IF(AF$6&lt;$B115,0,IF(AF$6=$B115,'Growth Engine'!AF$10*'Macro &amp; Indexation'!AF$19*gross_yield,AE115*(1+'Macro &amp; Indexation'!AF$11)))</f>
        <v>0</v>
      </c>
      <c r="AG115" s="40">
        <f>IF(AG$6&lt;$B115,0,IF(AG$6=$B115,'Growth Engine'!AG$10*'Macro &amp; Indexation'!AG$19*gross_yield,AF115*(1+'Macro &amp; Indexation'!AG$11)))</f>
        <v>0</v>
      </c>
      <c r="AH115" s="40">
        <f>IF(AH$6&lt;$B115,0,IF(AH$6=$B115,'Growth Engine'!AH$10*'Macro &amp; Indexation'!AH$19*gross_yield,AG115*(1+'Macro &amp; Indexation'!AH$11)))</f>
        <v>0</v>
      </c>
      <c r="AI115" s="40">
        <f>IF(AI$6&lt;$B115,0,IF(AI$6=$B115,'Growth Engine'!AI$10*'Macro &amp; Indexation'!AI$19*gross_yield,AH115*(1+'Macro &amp; Indexation'!AI$11)))</f>
        <v>0</v>
      </c>
      <c r="AJ115" s="40">
        <f>IF(AJ$6&lt;$B115,0,IF(AJ$6=$B115,'Growth Engine'!AJ$10*'Macro &amp; Indexation'!AJ$19*gross_yield,AI115*(1+'Macro &amp; Indexation'!AJ$11)))</f>
        <v>0</v>
      </c>
      <c r="AK115" s="40">
        <f>IF(AK$6&lt;$B115,0,IF(AK$6=$B115,'Growth Engine'!AK$10*'Macro &amp; Indexation'!AK$19*gross_yield,AJ115*(1+'Macro &amp; Indexation'!AK$11)))</f>
        <v>0</v>
      </c>
      <c r="AL115" s="40">
        <f>IF(AL$6&lt;$B115,0,IF(AL$6=$B115,'Growth Engine'!AL$10*'Macro &amp; Indexation'!AL$19*gross_yield,AK115*(1+'Macro &amp; Indexation'!AL$11)))</f>
        <v>0</v>
      </c>
      <c r="AM115" s="40">
        <f>IF(AM$6&lt;$B115,0,IF(AM$6=$B115,'Growth Engine'!AM$10*'Macro &amp; Indexation'!AM$19*gross_yield,AL115*(1+'Macro &amp; Indexation'!AM$11)))</f>
        <v>0</v>
      </c>
      <c r="AN115" s="40">
        <f>IF(AN$6&lt;$B115,0,IF(AN$6=$B115,'Growth Engine'!AN$10*'Macro &amp; Indexation'!AN$19*gross_yield,AM115*(1+'Macro &amp; Indexation'!AN$11)))</f>
        <v>0</v>
      </c>
      <c r="AO115" s="40">
        <f>IF(AO$6&lt;$B115,0,IF(AO$6=$B115,'Growth Engine'!AO$10*'Macro &amp; Indexation'!AO$19*gross_yield,AN115*(1+'Macro &amp; Indexation'!AO$11)))</f>
        <v>0</v>
      </c>
      <c r="AP115" s="40">
        <f>IF(AP$6&lt;$B115,0,IF(AP$6=$B115,'Growth Engine'!AP$10*'Macro &amp; Indexation'!AP$19*gross_yield,AO115*(1+'Macro &amp; Indexation'!AP$11)))</f>
        <v>0</v>
      </c>
      <c r="AQ115" s="40">
        <f>IF(AQ$6&lt;$B115,0,IF(AQ$6=$B115,'Growth Engine'!AQ$10*'Macro &amp; Indexation'!AQ$19*gross_yield,AP115*(1+'Macro &amp; Indexation'!AQ$11)))</f>
        <v>0</v>
      </c>
      <c r="AR115" s="40">
        <f>IF(AR$6&lt;$B115,0,IF(AR$6=$B115,'Growth Engine'!AR$10*'Macro &amp; Indexation'!AR$19*gross_yield,AQ115*(1+'Macro &amp; Indexation'!AR$11)))</f>
        <v>0</v>
      </c>
      <c r="AS115" s="40">
        <f>IF(AS$6&lt;$B115,0,IF(AS$6=$B115,'Growth Engine'!AS$10*'Macro &amp; Indexation'!AS$19*gross_yield,AR115*(1+'Macro &amp; Indexation'!AS$11)))</f>
        <v>0</v>
      </c>
      <c r="AT115" s="40">
        <f>IF(AT$6&lt;$B115,0,IF(AT$6=$B115,'Growth Engine'!AT$10*'Macro &amp; Indexation'!AT$19*gross_yield,AS115*(1+'Macro &amp; Indexation'!AT$11)))</f>
        <v>0</v>
      </c>
      <c r="AU115" s="40">
        <f>IF(AU$6&lt;$B115,0,IF(AU$6=$B115,'Growth Engine'!AU$10*'Macro &amp; Indexation'!AU$19*gross_yield,AT115*(1+'Macro &amp; Indexation'!AU$11)))</f>
        <v>0</v>
      </c>
      <c r="AV115" s="40">
        <f>IF(AV$6&lt;$B115,0,IF(AV$6=$B115,'Growth Engine'!AV$10*'Macro &amp; Indexation'!AV$19*gross_yield,AU115*(1+'Macro &amp; Indexation'!AV$11)))</f>
        <v>0</v>
      </c>
      <c r="AW115" s="40">
        <f>IF(AW$6&lt;$B115,0,IF(AW$6=$B115,'Growth Engine'!AW$10*'Macro &amp; Indexation'!AW$19*gross_yield,AV115*(1+'Macro &amp; Indexation'!AW$11)))</f>
        <v>0</v>
      </c>
      <c r="AX115" s="40">
        <f>IF(AX$6&lt;$B115,0,IF(AX$6=$B115,'Growth Engine'!AX$10*'Macro &amp; Indexation'!AX$19*gross_yield,AW115*(1+'Macro &amp; Indexation'!AX$11)))</f>
        <v>0</v>
      </c>
      <c r="AY115" s="40">
        <f>IF(AY$6&lt;$B115,0,IF(AY$6=$B115,'Growth Engine'!AY$10*'Macro &amp; Indexation'!AY$19*gross_yield,AX115*(1+'Macro &amp; Indexation'!AY$11)))</f>
        <v>0</v>
      </c>
      <c r="AZ115" s="40">
        <f>IF(AZ$6&lt;$B115,0,IF(AZ$6=$B115,'Growth Engine'!AZ$10*'Macro &amp; Indexation'!AZ$19*gross_yield,AY115*(1+'Macro &amp; Indexation'!AZ$11)))</f>
        <v>0</v>
      </c>
      <c r="BA115" s="40">
        <f ca="1">IF(BA$6&lt;$B115,0,IF(BA$6=$B115,'Growth Engine'!BA$10*'Macro &amp; Indexation'!BA$19*gross_yield,AZ115*(1+'Macro &amp; Indexation'!BA$11)))</f>
        <v>75544.904327813041</v>
      </c>
    </row>
    <row r="117" spans="1:53" x14ac:dyDescent="0.3">
      <c r="A117" s="3" t="s">
        <v>122</v>
      </c>
      <c r="B117" s="3" t="s">
        <v>48</v>
      </c>
      <c r="C117" s="3"/>
      <c r="D117" s="41">
        <f t="shared" ref="D117:AI117" ca="1" si="4">SUM(D66:D115)</f>
        <v>14000</v>
      </c>
      <c r="E117" s="41">
        <f t="shared" ca="1" si="4"/>
        <v>43330</v>
      </c>
      <c r="F117" s="41">
        <f t="shared" ca="1" si="4"/>
        <v>89404.699999999983</v>
      </c>
      <c r="G117" s="41">
        <f t="shared" ca="1" si="4"/>
        <v>138205.96824999998</v>
      </c>
      <c r="H117" s="41">
        <f t="shared" ca="1" si="4"/>
        <v>189857.08348249993</v>
      </c>
      <c r="I117" s="41">
        <f t="shared" ca="1" si="4"/>
        <v>244486.33540673117</v>
      </c>
      <c r="J117" s="41">
        <f t="shared" ca="1" si="4"/>
        <v>302227.21749836905</v>
      </c>
      <c r="K117" s="41">
        <f t="shared" ca="1" si="4"/>
        <v>363218.62697202439</v>
      </c>
      <c r="L117" s="41">
        <f t="shared" ca="1" si="4"/>
        <v>427605.07219878788</v>
      </c>
      <c r="M117" s="41">
        <f t="shared" ca="1" si="4"/>
        <v>495536.88784055662</v>
      </c>
      <c r="N117" s="41">
        <f t="shared" ca="1" si="4"/>
        <v>527673.69268526614</v>
      </c>
      <c r="O117" s="41">
        <f t="shared" ca="1" si="4"/>
        <v>540865.53500239772</v>
      </c>
      <c r="P117" s="41">
        <f t="shared" ca="1" si="4"/>
        <v>554387.17337745766</v>
      </c>
      <c r="Q117" s="41">
        <f t="shared" ca="1" si="4"/>
        <v>568246.85271189408</v>
      </c>
      <c r="R117" s="41">
        <f t="shared" ca="1" si="4"/>
        <v>582453.02402969135</v>
      </c>
      <c r="S117" s="41">
        <f t="shared" ca="1" si="4"/>
        <v>597014.34963043372</v>
      </c>
      <c r="T117" s="41">
        <f t="shared" ca="1" si="4"/>
        <v>611939.70837119431</v>
      </c>
      <c r="U117" s="41">
        <f t="shared" ca="1" si="4"/>
        <v>627238.20108047419</v>
      </c>
      <c r="V117" s="41">
        <f t="shared" ca="1" si="4"/>
        <v>642919.15610748588</v>
      </c>
      <c r="W117" s="41">
        <f t="shared" ca="1" si="4"/>
        <v>658992.13501017308</v>
      </c>
      <c r="X117" s="41">
        <f t="shared" ca="1" si="4"/>
        <v>675466.93838542735</v>
      </c>
      <c r="Y117" s="41">
        <f t="shared" ca="1" si="4"/>
        <v>692353.61184506293</v>
      </c>
      <c r="Z117" s="41">
        <f t="shared" ca="1" si="4"/>
        <v>739503.61419491644</v>
      </c>
      <c r="AA117" s="41">
        <f t="shared" ca="1" si="4"/>
        <v>757991.20454978908</v>
      </c>
      <c r="AB117" s="41">
        <f t="shared" ca="1" si="4"/>
        <v>776940.98466353386</v>
      </c>
      <c r="AC117" s="41">
        <f t="shared" ca="1" si="4"/>
        <v>796364.509280122</v>
      </c>
      <c r="AD117" s="41">
        <f t="shared" ca="1" si="4"/>
        <v>850517.0418341544</v>
      </c>
      <c r="AE117" s="41">
        <f t="shared" ca="1" si="4"/>
        <v>871779.96788000828</v>
      </c>
      <c r="AF117" s="41">
        <f t="shared" ca="1" si="4"/>
        <v>893574.46707700833</v>
      </c>
      <c r="AG117" s="41">
        <f t="shared" ca="1" si="4"/>
        <v>953880.12041174679</v>
      </c>
      <c r="AH117" s="41">
        <f t="shared" ca="1" si="4"/>
        <v>977727.12342204037</v>
      </c>
      <c r="AI117" s="41">
        <f t="shared" ca="1" si="4"/>
        <v>1042840.7422887322</v>
      </c>
      <c r="AJ117" s="41">
        <f t="shared" ref="AJ117:BA117" ca="1" si="5">SUM(AJ66:AJ115)</f>
        <v>1111005.6670544315</v>
      </c>
      <c r="AK117" s="41">
        <f t="shared" ca="1" si="5"/>
        <v>1138780.808730792</v>
      </c>
      <c r="AL117" s="41">
        <f t="shared" ca="1" si="5"/>
        <v>1212342.3736272419</v>
      </c>
      <c r="AM117" s="41">
        <f t="shared" ca="1" si="5"/>
        <v>1289321.1992098391</v>
      </c>
      <c r="AN117" s="41">
        <f t="shared" ca="1" si="5"/>
        <v>1321554.2291900851</v>
      </c>
      <c r="AO117" s="41">
        <f t="shared" ca="1" si="5"/>
        <v>1404587.4408748343</v>
      </c>
      <c r="AP117" s="41">
        <f t="shared" ca="1" si="5"/>
        <v>1491446.2853101264</v>
      </c>
      <c r="AQ117" s="41">
        <f t="shared" ca="1" si="5"/>
        <v>1582287.6464007711</v>
      </c>
      <c r="AR117" s="41">
        <f t="shared" ca="1" si="5"/>
        <v>1677274.4736572073</v>
      </c>
      <c r="AS117" s="41">
        <f t="shared" ca="1" si="5"/>
        <v>1776576.00885843</v>
      </c>
      <c r="AT117" s="41">
        <f t="shared" ca="1" si="5"/>
        <v>1880368.0210072752</v>
      </c>
      <c r="AU117" s="41">
        <f t="shared" ca="1" si="5"/>
        <v>1988833.0498773013</v>
      </c>
      <c r="AV117" s="41">
        <f t="shared" ca="1" si="5"/>
        <v>2102160.6584611461</v>
      </c>
      <c r="AW117" s="41">
        <f t="shared" ca="1" si="5"/>
        <v>2220547.6946413792</v>
      </c>
      <c r="AX117" s="41">
        <f t="shared" ca="1" si="5"/>
        <v>2412335.7378251329</v>
      </c>
      <c r="AY117" s="41">
        <f t="shared" ca="1" si="5"/>
        <v>2543166.1078189309</v>
      </c>
      <c r="AZ117" s="41">
        <f t="shared" ca="1" si="5"/>
        <v>2679735.5062417588</v>
      </c>
      <c r="BA117" s="41">
        <f t="shared" ca="1" si="5"/>
        <v>2822273.7982256161</v>
      </c>
    </row>
    <row r="119" spans="1:53" x14ac:dyDescent="0.3">
      <c r="A119" s="3" t="s">
        <v>123</v>
      </c>
      <c r="B119" s="3" t="s">
        <v>124</v>
      </c>
      <c r="C119" s="3"/>
      <c r="D119" s="41">
        <f ca="1">D117*lc_share*(1-void_rate)</f>
        <v>10640</v>
      </c>
      <c r="E119" s="41">
        <f ca="1">E117*lc_share*(1-void_rate)</f>
        <v>32930.799999999996</v>
      </c>
      <c r="F119" s="41">
        <f ca="1">F117*lc_share*(1-void_rate)</f>
        <v>67947.571999999986</v>
      </c>
      <c r="G119" s="41">
        <f ca="1">G117*lc_share*(1-void_rate)</f>
        <v>105036.53586999999</v>
      </c>
      <c r="H119" s="41">
        <f ca="1">H117*lc_share*(1-void_rate)</f>
        <v>144291.38344669994</v>
      </c>
      <c r="I119" s="41">
        <f ca="1">I117*lc_share*(1-void_rate)</f>
        <v>185809.61490911571</v>
      </c>
      <c r="J119" s="41">
        <f ca="1">J117*lc_share*(1-void_rate)</f>
        <v>229692.68529876048</v>
      </c>
      <c r="K119" s="41">
        <f ca="1">K117*lc_share*(1-void_rate)</f>
        <v>276046.15649873856</v>
      </c>
      <c r="L119" s="41">
        <f ca="1">L117*lc_share*(1-void_rate)</f>
        <v>324979.8548710788</v>
      </c>
      <c r="M119" s="41">
        <f ca="1">M117*lc_share*(1-void_rate)</f>
        <v>376608.03475882305</v>
      </c>
      <c r="N119" s="41">
        <f ca="1">N117*lc_share*(1-void_rate)</f>
        <v>401032.00644080224</v>
      </c>
      <c r="O119" s="41">
        <f ca="1">O117*lc_share*(1-void_rate)</f>
        <v>411057.80660182226</v>
      </c>
      <c r="P119" s="41">
        <f ca="1">P117*lc_share*(1-void_rate)</f>
        <v>421334.25176686782</v>
      </c>
      <c r="Q119" s="41">
        <f ca="1">Q117*lc_share*(1-void_rate)</f>
        <v>431867.60806103947</v>
      </c>
      <c r="R119" s="41">
        <f ca="1">R117*lc_share*(1-void_rate)</f>
        <v>442664.2982625654</v>
      </c>
      <c r="S119" s="41">
        <f ca="1">S117*lc_share*(1-void_rate)</f>
        <v>453730.9057191296</v>
      </c>
      <c r="T119" s="41">
        <f ca="1">T117*lc_share*(1-void_rate)</f>
        <v>465074.17836210766</v>
      </c>
      <c r="U119" s="41">
        <f ca="1">U117*lc_share*(1-void_rate)</f>
        <v>476701.03282116039</v>
      </c>
      <c r="V119" s="41">
        <f ca="1">V117*lc_share*(1-void_rate)</f>
        <v>488618.55864168925</v>
      </c>
      <c r="W119" s="41">
        <f ca="1">W117*lc_share*(1-void_rate)</f>
        <v>500834.02260773152</v>
      </c>
      <c r="X119" s="41">
        <f ca="1">X117*lc_share*(1-void_rate)</f>
        <v>513354.87317292474</v>
      </c>
      <c r="Y119" s="41">
        <f ca="1">Y117*lc_share*(1-void_rate)</f>
        <v>526188.74500224786</v>
      </c>
      <c r="Z119" s="41">
        <f ca="1">Z117*lc_share*(1-void_rate)</f>
        <v>562022.74678813643</v>
      </c>
      <c r="AA119" s="41">
        <f ca="1">AA117*lc_share*(1-void_rate)</f>
        <v>576073.31545783975</v>
      </c>
      <c r="AB119" s="41">
        <f ca="1">AB117*lc_share*(1-void_rate)</f>
        <v>590475.14834428579</v>
      </c>
      <c r="AC119" s="41">
        <f ca="1">AC117*lc_share*(1-void_rate)</f>
        <v>605237.02705289272</v>
      </c>
      <c r="AD119" s="41">
        <f ca="1">AD117*lc_share*(1-void_rate)</f>
        <v>646392.95179395739</v>
      </c>
      <c r="AE119" s="41">
        <f ca="1">AE117*lc_share*(1-void_rate)</f>
        <v>662552.77558880625</v>
      </c>
      <c r="AF119" s="41">
        <f ca="1">AF117*lc_share*(1-void_rate)</f>
        <v>679116.59497852635</v>
      </c>
      <c r="AG119" s="41">
        <f ca="1">AG117*lc_share*(1-void_rate)</f>
        <v>724948.8915129276</v>
      </c>
      <c r="AH119" s="41">
        <f ca="1">AH117*lc_share*(1-void_rate)</f>
        <v>743072.6138007507</v>
      </c>
      <c r="AI119" s="41">
        <f ca="1">AI117*lc_share*(1-void_rate)</f>
        <v>792558.96413943649</v>
      </c>
      <c r="AJ119" s="41">
        <f ca="1">AJ117*lc_share*(1-void_rate)</f>
        <v>844364.30696136795</v>
      </c>
      <c r="AK119" s="41">
        <f ca="1">AK117*lc_share*(1-void_rate)</f>
        <v>865473.41463540192</v>
      </c>
      <c r="AL119" s="41">
        <f ca="1">AL117*lc_share*(1-void_rate)</f>
        <v>921380.20395670389</v>
      </c>
      <c r="AM119" s="41">
        <f ca="1">AM117*lc_share*(1-void_rate)</f>
        <v>979884.1113994777</v>
      </c>
      <c r="AN119" s="41">
        <f ca="1">AN117*lc_share*(1-void_rate)</f>
        <v>1004381.2141844645</v>
      </c>
      <c r="AO119" s="41">
        <f ca="1">AO117*lc_share*(1-void_rate)</f>
        <v>1067486.4550648741</v>
      </c>
      <c r="AP119" s="41">
        <f ca="1">AP117*lc_share*(1-void_rate)</f>
        <v>1133499.1768356962</v>
      </c>
      <c r="AQ119" s="41">
        <f ca="1">AQ117*lc_share*(1-void_rate)</f>
        <v>1202538.6112645862</v>
      </c>
      <c r="AR119" s="41">
        <f ca="1">AR117*lc_share*(1-void_rate)</f>
        <v>1274728.5999794777</v>
      </c>
      <c r="AS119" s="41">
        <f ca="1">AS117*lc_share*(1-void_rate)</f>
        <v>1350197.7667324068</v>
      </c>
      <c r="AT119" s="41">
        <f ca="1">AT117*lc_share*(1-void_rate)</f>
        <v>1429079.6959655292</v>
      </c>
      <c r="AU119" s="41">
        <f ca="1">AU117*lc_share*(1-void_rate)</f>
        <v>1511513.117906749</v>
      </c>
      <c r="AV119" s="41">
        <f ca="1">AV117*lc_share*(1-void_rate)</f>
        <v>1597642.1004304711</v>
      </c>
      <c r="AW119" s="41">
        <f ca="1">AW117*lc_share*(1-void_rate)</f>
        <v>1687616.2479274482</v>
      </c>
      <c r="AX119" s="41">
        <f ca="1">AX117*lc_share*(1-void_rate)</f>
        <v>1833375.1607471011</v>
      </c>
      <c r="AY119" s="41">
        <f ca="1">AY117*lc_share*(1-void_rate)</f>
        <v>1932806.2419423875</v>
      </c>
      <c r="AZ119" s="41">
        <f ca="1">AZ117*lc_share*(1-void_rate)</f>
        <v>2036598.9847437365</v>
      </c>
      <c r="BA119" s="41">
        <f ca="1">BA117*lc_share*(1-void_rate)</f>
        <v>2144928.0866514682</v>
      </c>
    </row>
    <row r="121" spans="1:53" x14ac:dyDescent="0.3">
      <c r="A121" s="37" t="s">
        <v>125</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row>
    <row r="122" spans="1:53" x14ac:dyDescent="0.3">
      <c r="A122" t="s">
        <v>126</v>
      </c>
      <c r="B122" t="s">
        <v>48</v>
      </c>
      <c r="D122" s="40">
        <f t="shared" ref="D122:AI122" ca="1" si="6">D62</f>
        <v>280000</v>
      </c>
      <c r="E122" s="40">
        <f t="shared" ca="1" si="6"/>
        <v>579600</v>
      </c>
      <c r="F122" s="40">
        <f t="shared" ca="1" si="6"/>
        <v>899828.99999999977</v>
      </c>
      <c r="G122" s="40">
        <f t="shared" ca="1" si="6"/>
        <v>931323.0149999999</v>
      </c>
      <c r="H122" s="40">
        <f t="shared" ca="1" si="6"/>
        <v>963919.32052499987</v>
      </c>
      <c r="I122" s="40">
        <f t="shared" ca="1" si="6"/>
        <v>997656.4967433745</v>
      </c>
      <c r="J122" s="40">
        <f t="shared" ca="1" si="6"/>
        <v>1032574.4741293925</v>
      </c>
      <c r="K122" s="40">
        <f t="shared" ca="1" si="6"/>
        <v>1068714.5807239213</v>
      </c>
      <c r="L122" s="40">
        <f t="shared" ca="1" si="6"/>
        <v>1106119.5910492584</v>
      </c>
      <c r="M122" s="40">
        <f t="shared" ca="1" si="6"/>
        <v>1144833.7767359824</v>
      </c>
      <c r="N122" s="40">
        <f t="shared" ca="1" si="6"/>
        <v>394967.65297391388</v>
      </c>
      <c r="O122" s="40">
        <f t="shared" ca="1" si="6"/>
        <v>0</v>
      </c>
      <c r="P122" s="40">
        <f t="shared" ca="1" si="6"/>
        <v>0</v>
      </c>
      <c r="Q122" s="40">
        <f t="shared" ca="1" si="6"/>
        <v>0</v>
      </c>
      <c r="R122" s="40">
        <f t="shared" ca="1" si="6"/>
        <v>0</v>
      </c>
      <c r="S122" s="40">
        <f t="shared" ca="1" si="6"/>
        <v>0</v>
      </c>
      <c r="T122" s="40">
        <f t="shared" ca="1" si="6"/>
        <v>0</v>
      </c>
      <c r="U122" s="40">
        <f t="shared" ca="1" si="6"/>
        <v>0</v>
      </c>
      <c r="V122" s="40">
        <f t="shared" ca="1" si="6"/>
        <v>0</v>
      </c>
      <c r="W122" s="40">
        <f t="shared" ca="1" si="6"/>
        <v>0</v>
      </c>
      <c r="X122" s="40">
        <f t="shared" ca="1" si="6"/>
        <v>0</v>
      </c>
      <c r="Y122" s="40">
        <f t="shared" ca="1" si="6"/>
        <v>0</v>
      </c>
      <c r="Z122" s="40">
        <f t="shared" ca="1" si="6"/>
        <v>596823.24107453506</v>
      </c>
      <c r="AA122" s="40">
        <f t="shared" ca="1" si="6"/>
        <v>0</v>
      </c>
      <c r="AB122" s="40">
        <f t="shared" ca="1" si="6"/>
        <v>0</v>
      </c>
      <c r="AC122" s="40">
        <f t="shared" ca="1" si="6"/>
        <v>0</v>
      </c>
      <c r="AD122" s="40">
        <f t="shared" ca="1" si="6"/>
        <v>684868.39644058817</v>
      </c>
      <c r="AE122" s="40">
        <f t="shared" ca="1" si="6"/>
        <v>0</v>
      </c>
      <c r="AF122" s="40">
        <f t="shared" ca="1" si="6"/>
        <v>0</v>
      </c>
      <c r="AG122" s="40">
        <f t="shared" ca="1" si="6"/>
        <v>759325.83315626625</v>
      </c>
      <c r="AH122" s="40">
        <f t="shared" ca="1" si="6"/>
        <v>0</v>
      </c>
      <c r="AI122" s="40">
        <f t="shared" ca="1" si="6"/>
        <v>813408.81562282122</v>
      </c>
      <c r="AJ122" s="40">
        <f t="shared" ref="AJ122:BA122" ca="1" si="7">AJ62</f>
        <v>841878.12416961975</v>
      </c>
      <c r="AK122" s="40">
        <f t="shared" ca="1" si="7"/>
        <v>0</v>
      </c>
      <c r="AL122" s="40">
        <f t="shared" ca="1" si="7"/>
        <v>901840.89356360084</v>
      </c>
      <c r="AM122" s="40">
        <f t="shared" ca="1" si="7"/>
        <v>933405.32483832678</v>
      </c>
      <c r="AN122" s="40">
        <f t="shared" ca="1" si="7"/>
        <v>0</v>
      </c>
      <c r="AO122" s="40">
        <f t="shared" ca="1" si="7"/>
        <v>999887.11909993645</v>
      </c>
      <c r="AP122" s="40">
        <f t="shared" ca="1" si="7"/>
        <v>1034883.1682684342</v>
      </c>
      <c r="AQ122" s="40">
        <f t="shared" ca="1" si="7"/>
        <v>1071104.0791578293</v>
      </c>
      <c r="AR122" s="40">
        <f t="shared" ca="1" si="7"/>
        <v>1108592.7219283532</v>
      </c>
      <c r="AS122" s="40">
        <f t="shared" ca="1" si="7"/>
        <v>1147393.4671958454</v>
      </c>
      <c r="AT122" s="40">
        <f t="shared" ca="1" si="7"/>
        <v>1187552.2385477</v>
      </c>
      <c r="AU122" s="40">
        <f t="shared" ca="1" si="7"/>
        <v>1229116.5668968693</v>
      </c>
      <c r="AV122" s="40">
        <f t="shared" ca="1" si="7"/>
        <v>1272135.6467382596</v>
      </c>
      <c r="AW122" s="40">
        <f t="shared" ca="1" si="7"/>
        <v>1316660.3943740984</v>
      </c>
      <c r="AX122" s="40">
        <f t="shared" ca="1" si="7"/>
        <v>2725487.0163543839</v>
      </c>
      <c r="AY122" s="40">
        <f t="shared" ca="1" si="7"/>
        <v>1410439.5309633934</v>
      </c>
      <c r="AZ122" s="40">
        <f t="shared" ca="1" si="7"/>
        <v>1459804.9145471121</v>
      </c>
      <c r="BA122" s="40">
        <f t="shared" ca="1" si="7"/>
        <v>1510898.0865562607</v>
      </c>
    </row>
    <row r="123" spans="1:53" x14ac:dyDescent="0.3">
      <c r="A123" t="s">
        <v>127</v>
      </c>
      <c r="B123" t="s">
        <v>48</v>
      </c>
      <c r="D123" s="40">
        <f ca="1">D122*sdlt_rate</f>
        <v>0</v>
      </c>
      <c r="E123" s="40">
        <f ca="1">E122*sdlt_rate</f>
        <v>0</v>
      </c>
      <c r="F123" s="40">
        <f ca="1">F122*sdlt_rate</f>
        <v>0</v>
      </c>
      <c r="G123" s="40">
        <f ca="1">G122*sdlt_rate</f>
        <v>0</v>
      </c>
      <c r="H123" s="40">
        <f ca="1">H122*sdlt_rate</f>
        <v>0</v>
      </c>
      <c r="I123" s="40">
        <f ca="1">I122*sdlt_rate</f>
        <v>0</v>
      </c>
      <c r="J123" s="40">
        <f ca="1">J122*sdlt_rate</f>
        <v>0</v>
      </c>
      <c r="K123" s="40">
        <f ca="1">K122*sdlt_rate</f>
        <v>0</v>
      </c>
      <c r="L123" s="40">
        <f ca="1">L122*sdlt_rate</f>
        <v>0</v>
      </c>
      <c r="M123" s="40">
        <f ca="1">M122*sdlt_rate</f>
        <v>0</v>
      </c>
      <c r="N123" s="40">
        <f ca="1">N122*sdlt_rate</f>
        <v>0</v>
      </c>
      <c r="O123" s="40">
        <f ca="1">O122*sdlt_rate</f>
        <v>0</v>
      </c>
      <c r="P123" s="40">
        <f ca="1">P122*sdlt_rate</f>
        <v>0</v>
      </c>
      <c r="Q123" s="40">
        <f ca="1">Q122*sdlt_rate</f>
        <v>0</v>
      </c>
      <c r="R123" s="40">
        <f ca="1">R122*sdlt_rate</f>
        <v>0</v>
      </c>
      <c r="S123" s="40">
        <f ca="1">S122*sdlt_rate</f>
        <v>0</v>
      </c>
      <c r="T123" s="40">
        <f ca="1">T122*sdlt_rate</f>
        <v>0</v>
      </c>
      <c r="U123" s="40">
        <f ca="1">U122*sdlt_rate</f>
        <v>0</v>
      </c>
      <c r="V123" s="40">
        <f ca="1">V122*sdlt_rate</f>
        <v>0</v>
      </c>
      <c r="W123" s="40">
        <f ca="1">W122*sdlt_rate</f>
        <v>0</v>
      </c>
      <c r="X123" s="40">
        <f ca="1">X122*sdlt_rate</f>
        <v>0</v>
      </c>
      <c r="Y123" s="40">
        <f ca="1">Y122*sdlt_rate</f>
        <v>0</v>
      </c>
      <c r="Z123" s="40">
        <f ca="1">Z122*sdlt_rate</f>
        <v>0</v>
      </c>
      <c r="AA123" s="40">
        <f ca="1">AA122*sdlt_rate</f>
        <v>0</v>
      </c>
      <c r="AB123" s="40">
        <f ca="1">AB122*sdlt_rate</f>
        <v>0</v>
      </c>
      <c r="AC123" s="40">
        <f ca="1">AC122*sdlt_rate</f>
        <v>0</v>
      </c>
      <c r="AD123" s="40">
        <f ca="1">AD122*sdlt_rate</f>
        <v>0</v>
      </c>
      <c r="AE123" s="40">
        <f ca="1">AE122*sdlt_rate</f>
        <v>0</v>
      </c>
      <c r="AF123" s="40">
        <f ca="1">AF122*sdlt_rate</f>
        <v>0</v>
      </c>
      <c r="AG123" s="40">
        <f ca="1">AG122*sdlt_rate</f>
        <v>0</v>
      </c>
      <c r="AH123" s="40">
        <f ca="1">AH122*sdlt_rate</f>
        <v>0</v>
      </c>
      <c r="AI123" s="40">
        <f ca="1">AI122*sdlt_rate</f>
        <v>0</v>
      </c>
      <c r="AJ123" s="40">
        <f ca="1">AJ122*sdlt_rate</f>
        <v>0</v>
      </c>
      <c r="AK123" s="40">
        <f ca="1">AK122*sdlt_rate</f>
        <v>0</v>
      </c>
      <c r="AL123" s="40">
        <f ca="1">AL122*sdlt_rate</f>
        <v>0</v>
      </c>
      <c r="AM123" s="40">
        <f ca="1">AM122*sdlt_rate</f>
        <v>0</v>
      </c>
      <c r="AN123" s="40">
        <f ca="1">AN122*sdlt_rate</f>
        <v>0</v>
      </c>
      <c r="AO123" s="40">
        <f ca="1">AO122*sdlt_rate</f>
        <v>0</v>
      </c>
      <c r="AP123" s="40">
        <f ca="1">AP122*sdlt_rate</f>
        <v>0</v>
      </c>
      <c r="AQ123" s="40">
        <f ca="1">AQ122*sdlt_rate</f>
        <v>0</v>
      </c>
      <c r="AR123" s="40">
        <f ca="1">AR122*sdlt_rate</f>
        <v>0</v>
      </c>
      <c r="AS123" s="40">
        <f ca="1">AS122*sdlt_rate</f>
        <v>0</v>
      </c>
      <c r="AT123" s="40">
        <f ca="1">AT122*sdlt_rate</f>
        <v>0</v>
      </c>
      <c r="AU123" s="40">
        <f ca="1">AU122*sdlt_rate</f>
        <v>0</v>
      </c>
      <c r="AV123" s="40">
        <f ca="1">AV122*sdlt_rate</f>
        <v>0</v>
      </c>
      <c r="AW123" s="40">
        <f ca="1">AW122*sdlt_rate</f>
        <v>0</v>
      </c>
      <c r="AX123" s="40">
        <f ca="1">AX122*sdlt_rate</f>
        <v>0</v>
      </c>
      <c r="AY123" s="40">
        <f ca="1">AY122*sdlt_rate</f>
        <v>0</v>
      </c>
      <c r="AZ123" s="40">
        <f ca="1">AZ122*sdlt_rate</f>
        <v>0</v>
      </c>
      <c r="BA123" s="40">
        <f ca="1">BA122*sdlt_rate</f>
        <v>0</v>
      </c>
    </row>
    <row r="124" spans="1:53" x14ac:dyDescent="0.3">
      <c r="A124" t="s">
        <v>128</v>
      </c>
      <c r="B124" t="s">
        <v>48</v>
      </c>
      <c r="D124" s="40">
        <f ca="1">'Growth Engine'!D10*conveyancing*'Macro &amp; Indexation'!D$20</f>
        <v>2500</v>
      </c>
      <c r="E124" s="40">
        <f ca="1">'Growth Engine'!E10*conveyancing*'Macro &amp; Indexation'!E$20</f>
        <v>5125</v>
      </c>
      <c r="F124" s="40">
        <f ca="1">'Growth Engine'!F10*conveyancing*'Macro &amp; Indexation'!F$20</f>
        <v>7879.6874999999991</v>
      </c>
      <c r="G124" s="40">
        <f ca="1">'Growth Engine'!G10*conveyancing*'Macro &amp; Indexation'!G$20</f>
        <v>8076.6796874999991</v>
      </c>
      <c r="H124" s="40">
        <f ca="1">'Growth Engine'!H10*conveyancing*'Macro &amp; Indexation'!H$20</f>
        <v>8278.5966796874982</v>
      </c>
      <c r="I124" s="40">
        <f ca="1">'Growth Engine'!I10*conveyancing*'Macro &amp; Indexation'!I$20</f>
        <v>8485.561596679685</v>
      </c>
      <c r="J124" s="40">
        <f ca="1">'Growth Engine'!J10*conveyancing*'Macro &amp; Indexation'!J$20</f>
        <v>8697.7006365966772</v>
      </c>
      <c r="K124" s="40">
        <f ca="1">'Growth Engine'!K10*conveyancing*'Macro &amp; Indexation'!K$20</f>
        <v>8915.1431525115913</v>
      </c>
      <c r="L124" s="40">
        <f ca="1">'Growth Engine'!L10*conveyancing*'Macro &amp; Indexation'!L$20</f>
        <v>9138.0217313243811</v>
      </c>
      <c r="M124" s="40">
        <f ca="1">'Growth Engine'!M10*conveyancing*'Macro &amp; Indexation'!M$20</f>
        <v>9366.4722746074895</v>
      </c>
      <c r="N124" s="40">
        <f ca="1">'Growth Engine'!N10*conveyancing*'Macro &amp; Indexation'!N$20</f>
        <v>3200.2113604908918</v>
      </c>
      <c r="O124" s="40">
        <f ca="1">'Growth Engine'!O10*conveyancing*'Macro &amp; Indexation'!O$20</f>
        <v>0</v>
      </c>
      <c r="P124" s="40">
        <f ca="1">'Growth Engine'!P10*conveyancing*'Macro &amp; Indexation'!P$20</f>
        <v>0</v>
      </c>
      <c r="Q124" s="40">
        <f ca="1">'Growth Engine'!Q10*conveyancing*'Macro &amp; Indexation'!Q$20</f>
        <v>0</v>
      </c>
      <c r="R124" s="40">
        <f ca="1">'Growth Engine'!R10*conveyancing*'Macro &amp; Indexation'!R$20</f>
        <v>0</v>
      </c>
      <c r="S124" s="40">
        <f ca="1">'Growth Engine'!S10*conveyancing*'Macro &amp; Indexation'!S$20</f>
        <v>0</v>
      </c>
      <c r="T124" s="40">
        <f ca="1">'Growth Engine'!T10*conveyancing*'Macro &amp; Indexation'!T$20</f>
        <v>0</v>
      </c>
      <c r="U124" s="40">
        <f ca="1">'Growth Engine'!U10*conveyancing*'Macro &amp; Indexation'!U$20</f>
        <v>0</v>
      </c>
      <c r="V124" s="40">
        <f ca="1">'Growth Engine'!V10*conveyancing*'Macro &amp; Indexation'!V$20</f>
        <v>0</v>
      </c>
      <c r="W124" s="40">
        <f ca="1">'Growth Engine'!W10*conveyancing*'Macro &amp; Indexation'!W$20</f>
        <v>0</v>
      </c>
      <c r="X124" s="40">
        <f ca="1">'Growth Engine'!X10*conveyancing*'Macro &amp; Indexation'!X$20</f>
        <v>0</v>
      </c>
      <c r="Y124" s="40">
        <f ca="1">'Growth Engine'!Y10*conveyancing*'Macro &amp; Indexation'!Y$20</f>
        <v>0</v>
      </c>
      <c r="Z124" s="40">
        <f ca="1">'Growth Engine'!Z10*conveyancing*'Macro &amp; Indexation'!Z$20</f>
        <v>4303.9284939502377</v>
      </c>
      <c r="AA124" s="40">
        <f ca="1">'Growth Engine'!AA10*conveyancing*'Macro &amp; Indexation'!AA$20</f>
        <v>0</v>
      </c>
      <c r="AB124" s="40">
        <f ca="1">'Growth Engine'!AB10*conveyancing*'Macro &amp; Indexation'!AB$20</f>
        <v>0</v>
      </c>
      <c r="AC124" s="40">
        <f ca="1">'Growth Engine'!AC10*conveyancing*'Macro &amp; Indexation'!AC$20</f>
        <v>0</v>
      </c>
      <c r="AD124" s="40">
        <f ca="1">'Growth Engine'!AD10*conveyancing*'Macro &amp; Indexation'!AD$20</f>
        <v>4750.7317519505132</v>
      </c>
      <c r="AE124" s="40">
        <f ca="1">'Growth Engine'!AE10*conveyancing*'Macro &amp; Indexation'!AE$20</f>
        <v>0</v>
      </c>
      <c r="AF124" s="40">
        <f ca="1">'Growth Engine'!AF10*conveyancing*'Macro &amp; Indexation'!AF$20</f>
        <v>0</v>
      </c>
      <c r="AG124" s="40">
        <f ca="1">'Growth Engine'!AG10*conveyancing*'Macro &amp; Indexation'!AG$20</f>
        <v>5116.0184855653315</v>
      </c>
      <c r="AH124" s="40">
        <f ca="1">'Growth Engine'!AH10*conveyancing*'Macro &amp; Indexation'!AH$20</f>
        <v>0</v>
      </c>
      <c r="AI124" s="40">
        <f ca="1">'Growth Engine'!AI10*conveyancing*'Macro &amp; Indexation'!AI$20</f>
        <v>5375.0169213970757</v>
      </c>
      <c r="AJ124" s="40">
        <f ca="1">'Growth Engine'!AJ10*conveyancing*'Macro &amp; Indexation'!AJ$20</f>
        <v>5509.3923444320017</v>
      </c>
      <c r="AK124" s="40">
        <f ca="1">'Growth Engine'!AK10*conveyancing*'Macro &amp; Indexation'!AK$20</f>
        <v>0</v>
      </c>
      <c r="AL124" s="40">
        <f ca="1">'Growth Engine'!AL10*conveyancing*'Macro &amp; Indexation'!AL$20</f>
        <v>5788.3053318688708</v>
      </c>
      <c r="AM124" s="40">
        <f ca="1">'Growth Engine'!AM10*conveyancing*'Macro &amp; Indexation'!AM$20</f>
        <v>5933.0129651655916</v>
      </c>
      <c r="AN124" s="40">
        <f ca="1">'Growth Engine'!AN10*conveyancing*'Macro &amp; Indexation'!AN$20</f>
        <v>0</v>
      </c>
      <c r="AO124" s="40">
        <f ca="1">'Growth Engine'!AO10*conveyancing*'Macro &amp; Indexation'!AO$20</f>
        <v>6233.3717465270984</v>
      </c>
      <c r="AP124" s="40">
        <f ca="1">'Growth Engine'!AP10*conveyancing*'Macro &amp; Indexation'!AP$20</f>
        <v>6389.2060401902763</v>
      </c>
      <c r="AQ124" s="40">
        <f ca="1">'Growth Engine'!AQ10*conveyancing*'Macro &amp; Indexation'!AQ$20</f>
        <v>6548.9361911950327</v>
      </c>
      <c r="AR124" s="40">
        <f ca="1">'Growth Engine'!AR10*conveyancing*'Macro &amp; Indexation'!AR$20</f>
        <v>6712.6595959749084</v>
      </c>
      <c r="AS124" s="40">
        <f ca="1">'Growth Engine'!AS10*conveyancing*'Macro &amp; Indexation'!AS$20</f>
        <v>6880.4760858742793</v>
      </c>
      <c r="AT124" s="40">
        <f ca="1">'Growth Engine'!AT10*conveyancing*'Macro &amp; Indexation'!AT$20</f>
        <v>7052.4879880211365</v>
      </c>
      <c r="AU124" s="40">
        <f ca="1">'Growth Engine'!AU10*conveyancing*'Macro &amp; Indexation'!AU$20</f>
        <v>7228.8001877216648</v>
      </c>
      <c r="AV124" s="40">
        <f ca="1">'Growth Engine'!AV10*conveyancing*'Macro &amp; Indexation'!AV$20</f>
        <v>7409.5201924147059</v>
      </c>
      <c r="AW124" s="40">
        <f ca="1">'Growth Engine'!AW10*conveyancing*'Macro &amp; Indexation'!AW$20</f>
        <v>7594.7581972250737</v>
      </c>
      <c r="AX124" s="40">
        <f ca="1">'Growth Engine'!AX10*conveyancing*'Macro &amp; Indexation'!AX$20</f>
        <v>15569.2543043114</v>
      </c>
      <c r="AY124" s="40">
        <f ca="1">'Growth Engine'!AY10*conveyancing*'Macro &amp; Indexation'!AY$20</f>
        <v>7979.2428309595916</v>
      </c>
      <c r="AZ124" s="40">
        <f ca="1">'Growth Engine'!AZ10*conveyancing*'Macro &amp; Indexation'!AZ$20</f>
        <v>8178.7239017335814</v>
      </c>
      <c r="BA124" s="40">
        <f ca="1">'Growth Engine'!BA10*conveyancing*'Macro &amp; Indexation'!BA$20</f>
        <v>8383.1919992769199</v>
      </c>
    </row>
    <row r="125" spans="1:53" x14ac:dyDescent="0.3">
      <c r="A125" t="s">
        <v>129</v>
      </c>
      <c r="B125" t="s">
        <v>48</v>
      </c>
      <c r="D125" s="40">
        <f ca="1">'Growth Engine'!D10*survey_cost*'Macro &amp; Indexation'!D$20</f>
        <v>800</v>
      </c>
      <c r="E125" s="40">
        <f ca="1">'Growth Engine'!E10*survey_cost*'Macro &amp; Indexation'!E$20</f>
        <v>1639.9999999999998</v>
      </c>
      <c r="F125" s="40">
        <f ca="1">'Growth Engine'!F10*survey_cost*'Macro &amp; Indexation'!F$20</f>
        <v>2521.5</v>
      </c>
      <c r="G125" s="40">
        <f ca="1">'Growth Engine'!G10*survey_cost*'Macro &amp; Indexation'!G$20</f>
        <v>2584.5374999999999</v>
      </c>
      <c r="H125" s="40">
        <f ca="1">'Growth Engine'!H10*survey_cost*'Macro &amp; Indexation'!H$20</f>
        <v>2649.1509374999996</v>
      </c>
      <c r="I125" s="40">
        <f ca="1">'Growth Engine'!I10*survey_cost*'Macro &amp; Indexation'!I$20</f>
        <v>2715.3797109374991</v>
      </c>
      <c r="J125" s="40">
        <f ca="1">'Growth Engine'!J10*survey_cost*'Macro &amp; Indexation'!J$20</f>
        <v>2783.2642037109363</v>
      </c>
      <c r="K125" s="40">
        <f ca="1">'Growth Engine'!K10*survey_cost*'Macro &amp; Indexation'!K$20</f>
        <v>2852.8458088037096</v>
      </c>
      <c r="L125" s="40">
        <f ca="1">'Growth Engine'!L10*survey_cost*'Macro &amp; Indexation'!L$20</f>
        <v>2924.1669540238017</v>
      </c>
      <c r="M125" s="40">
        <f ca="1">'Growth Engine'!M10*survey_cost*'Macro &amp; Indexation'!M$20</f>
        <v>2997.2711278743964</v>
      </c>
      <c r="N125" s="40">
        <f ca="1">'Growth Engine'!N10*survey_cost*'Macro &amp; Indexation'!N$20</f>
        <v>1024.0676353570852</v>
      </c>
      <c r="O125" s="40">
        <f ca="1">'Growth Engine'!O10*survey_cost*'Macro &amp; Indexation'!O$20</f>
        <v>0</v>
      </c>
      <c r="P125" s="40">
        <f ca="1">'Growth Engine'!P10*survey_cost*'Macro &amp; Indexation'!P$20</f>
        <v>0</v>
      </c>
      <c r="Q125" s="40">
        <f ca="1">'Growth Engine'!Q10*survey_cost*'Macro &amp; Indexation'!Q$20</f>
        <v>0</v>
      </c>
      <c r="R125" s="40">
        <f ca="1">'Growth Engine'!R10*survey_cost*'Macro &amp; Indexation'!R$20</f>
        <v>0</v>
      </c>
      <c r="S125" s="40">
        <f ca="1">'Growth Engine'!S10*survey_cost*'Macro &amp; Indexation'!S$20</f>
        <v>0</v>
      </c>
      <c r="T125" s="40">
        <f ca="1">'Growth Engine'!T10*survey_cost*'Macro &amp; Indexation'!T$20</f>
        <v>0</v>
      </c>
      <c r="U125" s="40">
        <f ca="1">'Growth Engine'!U10*survey_cost*'Macro &amp; Indexation'!U$20</f>
        <v>0</v>
      </c>
      <c r="V125" s="40">
        <f ca="1">'Growth Engine'!V10*survey_cost*'Macro &amp; Indexation'!V$20</f>
        <v>0</v>
      </c>
      <c r="W125" s="40">
        <f ca="1">'Growth Engine'!W10*survey_cost*'Macro &amp; Indexation'!W$20</f>
        <v>0</v>
      </c>
      <c r="X125" s="40">
        <f ca="1">'Growth Engine'!X10*survey_cost*'Macro &amp; Indexation'!X$20</f>
        <v>0</v>
      </c>
      <c r="Y125" s="40">
        <f ca="1">'Growth Engine'!Y10*survey_cost*'Macro &amp; Indexation'!Y$20</f>
        <v>0</v>
      </c>
      <c r="Z125" s="40">
        <f ca="1">'Growth Engine'!Z10*survey_cost*'Macro &amp; Indexation'!Z$20</f>
        <v>1377.2571180640759</v>
      </c>
      <c r="AA125" s="40">
        <f ca="1">'Growth Engine'!AA10*survey_cost*'Macro &amp; Indexation'!AA$20</f>
        <v>0</v>
      </c>
      <c r="AB125" s="40">
        <f ca="1">'Growth Engine'!AB10*survey_cost*'Macro &amp; Indexation'!AB$20</f>
        <v>0</v>
      </c>
      <c r="AC125" s="40">
        <f ca="1">'Growth Engine'!AC10*survey_cost*'Macro &amp; Indexation'!AC$20</f>
        <v>0</v>
      </c>
      <c r="AD125" s="40">
        <f ca="1">'Growth Engine'!AD10*survey_cost*'Macro &amp; Indexation'!AD$20</f>
        <v>1520.2341606241641</v>
      </c>
      <c r="AE125" s="40">
        <f ca="1">'Growth Engine'!AE10*survey_cost*'Macro &amp; Indexation'!AE$20</f>
        <v>0</v>
      </c>
      <c r="AF125" s="40">
        <f ca="1">'Growth Engine'!AF10*survey_cost*'Macro &amp; Indexation'!AF$20</f>
        <v>0</v>
      </c>
      <c r="AG125" s="40">
        <f ca="1">'Growth Engine'!AG10*survey_cost*'Macro &amp; Indexation'!AG$20</f>
        <v>1637.125915380906</v>
      </c>
      <c r="AH125" s="40">
        <f ca="1">'Growth Engine'!AH10*survey_cost*'Macro &amp; Indexation'!AH$20</f>
        <v>0</v>
      </c>
      <c r="AI125" s="40">
        <f ca="1">'Growth Engine'!AI10*survey_cost*'Macro &amp; Indexation'!AI$20</f>
        <v>1720.0054148470642</v>
      </c>
      <c r="AJ125" s="40">
        <f ca="1">'Growth Engine'!AJ10*survey_cost*'Macro &amp; Indexation'!AJ$20</f>
        <v>1763.0055502182404</v>
      </c>
      <c r="AK125" s="40">
        <f ca="1">'Growth Engine'!AK10*survey_cost*'Macro &amp; Indexation'!AK$20</f>
        <v>0</v>
      </c>
      <c r="AL125" s="40">
        <f ca="1">'Growth Engine'!AL10*survey_cost*'Macro &amp; Indexation'!AL$20</f>
        <v>1852.2577061980385</v>
      </c>
      <c r="AM125" s="40">
        <f ca="1">'Growth Engine'!AM10*survey_cost*'Macro &amp; Indexation'!AM$20</f>
        <v>1898.5641488529893</v>
      </c>
      <c r="AN125" s="40">
        <f ca="1">'Growth Engine'!AN10*survey_cost*'Macro &amp; Indexation'!AN$20</f>
        <v>0</v>
      </c>
      <c r="AO125" s="40">
        <f ca="1">'Growth Engine'!AO10*survey_cost*'Macro &amp; Indexation'!AO$20</f>
        <v>1994.6789588886716</v>
      </c>
      <c r="AP125" s="40">
        <f ca="1">'Growth Engine'!AP10*survey_cost*'Macro &amp; Indexation'!AP$20</f>
        <v>2044.5459328608883</v>
      </c>
      <c r="AQ125" s="40">
        <f ca="1">'Growth Engine'!AQ10*survey_cost*'Macro &amp; Indexation'!AQ$20</f>
        <v>2095.6595811824104</v>
      </c>
      <c r="AR125" s="40">
        <f ca="1">'Growth Engine'!AR10*survey_cost*'Macro &amp; Indexation'!AR$20</f>
        <v>2148.0510707119706</v>
      </c>
      <c r="AS125" s="40">
        <f ca="1">'Growth Engine'!AS10*survey_cost*'Macro &amp; Indexation'!AS$20</f>
        <v>2201.7523474797695</v>
      </c>
      <c r="AT125" s="40">
        <f ca="1">'Growth Engine'!AT10*survey_cost*'Macro &amp; Indexation'!AT$20</f>
        <v>2256.7961561667639</v>
      </c>
      <c r="AU125" s="40">
        <f ca="1">'Growth Engine'!AU10*survey_cost*'Macro &amp; Indexation'!AU$20</f>
        <v>2313.2160600709326</v>
      </c>
      <c r="AV125" s="40">
        <f ca="1">'Growth Engine'!AV10*survey_cost*'Macro &amp; Indexation'!AV$20</f>
        <v>2371.046461572706</v>
      </c>
      <c r="AW125" s="40">
        <f ca="1">'Growth Engine'!AW10*survey_cost*'Macro &amp; Indexation'!AW$20</f>
        <v>2430.3226231120234</v>
      </c>
      <c r="AX125" s="40">
        <f ca="1">'Growth Engine'!AX10*survey_cost*'Macro &amp; Indexation'!AX$20</f>
        <v>4982.161377379648</v>
      </c>
      <c r="AY125" s="40">
        <f ca="1">'Growth Engine'!AY10*survey_cost*'Macro &amp; Indexation'!AY$20</f>
        <v>2553.3577059070694</v>
      </c>
      <c r="AZ125" s="40">
        <f ca="1">'Growth Engine'!AZ10*survey_cost*'Macro &amp; Indexation'!AZ$20</f>
        <v>2617.1916485547458</v>
      </c>
      <c r="BA125" s="40">
        <f ca="1">'Growth Engine'!BA10*survey_cost*'Macro &amp; Indexation'!BA$20</f>
        <v>2682.6214397686144</v>
      </c>
    </row>
    <row r="126" spans="1:53" x14ac:dyDescent="0.3">
      <c r="A126" t="s">
        <v>130</v>
      </c>
      <c r="B126" t="s">
        <v>48</v>
      </c>
      <c r="D126" s="40">
        <f ca="1">'Growth Engine'!D10*retrofit_cost*'Macro &amp; Indexation'!D$20</f>
        <v>5000</v>
      </c>
      <c r="E126" s="40">
        <f ca="1">'Growth Engine'!E10*retrofit_cost*'Macro &amp; Indexation'!E$20</f>
        <v>10250</v>
      </c>
      <c r="F126" s="40">
        <f ca="1">'Growth Engine'!F10*retrofit_cost*'Macro &amp; Indexation'!F$20</f>
        <v>15759.374999999998</v>
      </c>
      <c r="G126" s="40">
        <f ca="1">'Growth Engine'!G10*retrofit_cost*'Macro &amp; Indexation'!G$20</f>
        <v>16153.359374999998</v>
      </c>
      <c r="H126" s="40">
        <f ca="1">'Growth Engine'!H10*retrofit_cost*'Macro &amp; Indexation'!H$20</f>
        <v>16557.193359374996</v>
      </c>
      <c r="I126" s="40">
        <f ca="1">'Growth Engine'!I10*retrofit_cost*'Macro &amp; Indexation'!I$20</f>
        <v>16971.12319335937</v>
      </c>
      <c r="J126" s="40">
        <f ca="1">'Growth Engine'!J10*retrofit_cost*'Macro &amp; Indexation'!J$20</f>
        <v>17395.401273193354</v>
      </c>
      <c r="K126" s="40">
        <f ca="1">'Growth Engine'!K10*retrofit_cost*'Macro &amp; Indexation'!K$20</f>
        <v>17830.286305023183</v>
      </c>
      <c r="L126" s="40">
        <f ca="1">'Growth Engine'!L10*retrofit_cost*'Macro &amp; Indexation'!L$20</f>
        <v>18276.043462648762</v>
      </c>
      <c r="M126" s="40">
        <f ca="1">'Growth Engine'!M10*retrofit_cost*'Macro &amp; Indexation'!M$20</f>
        <v>18732.944549214979</v>
      </c>
      <c r="N126" s="40">
        <f ca="1">'Growth Engine'!N10*retrofit_cost*'Macro &amp; Indexation'!N$20</f>
        <v>6400.4227209817836</v>
      </c>
      <c r="O126" s="40">
        <f ca="1">'Growth Engine'!O10*retrofit_cost*'Macro &amp; Indexation'!O$20</f>
        <v>0</v>
      </c>
      <c r="P126" s="40">
        <f ca="1">'Growth Engine'!P10*retrofit_cost*'Macro &amp; Indexation'!P$20</f>
        <v>0</v>
      </c>
      <c r="Q126" s="40">
        <f ca="1">'Growth Engine'!Q10*retrofit_cost*'Macro &amp; Indexation'!Q$20</f>
        <v>0</v>
      </c>
      <c r="R126" s="40">
        <f ca="1">'Growth Engine'!R10*retrofit_cost*'Macro &amp; Indexation'!R$20</f>
        <v>0</v>
      </c>
      <c r="S126" s="40">
        <f ca="1">'Growth Engine'!S10*retrofit_cost*'Macro &amp; Indexation'!S$20</f>
        <v>0</v>
      </c>
      <c r="T126" s="40">
        <f ca="1">'Growth Engine'!T10*retrofit_cost*'Macro &amp; Indexation'!T$20</f>
        <v>0</v>
      </c>
      <c r="U126" s="40">
        <f ca="1">'Growth Engine'!U10*retrofit_cost*'Macro &amp; Indexation'!U$20</f>
        <v>0</v>
      </c>
      <c r="V126" s="40">
        <f ca="1">'Growth Engine'!V10*retrofit_cost*'Macro &amp; Indexation'!V$20</f>
        <v>0</v>
      </c>
      <c r="W126" s="40">
        <f ca="1">'Growth Engine'!W10*retrofit_cost*'Macro &amp; Indexation'!W$20</f>
        <v>0</v>
      </c>
      <c r="X126" s="40">
        <f ca="1">'Growth Engine'!X10*retrofit_cost*'Macro &amp; Indexation'!X$20</f>
        <v>0</v>
      </c>
      <c r="Y126" s="40">
        <f ca="1">'Growth Engine'!Y10*retrofit_cost*'Macro &amp; Indexation'!Y$20</f>
        <v>0</v>
      </c>
      <c r="Z126" s="40">
        <f ca="1">'Growth Engine'!Z10*retrofit_cost*'Macro &amp; Indexation'!Z$20</f>
        <v>8607.8569879004754</v>
      </c>
      <c r="AA126" s="40">
        <f ca="1">'Growth Engine'!AA10*retrofit_cost*'Macro &amp; Indexation'!AA$20</f>
        <v>0</v>
      </c>
      <c r="AB126" s="40">
        <f ca="1">'Growth Engine'!AB10*retrofit_cost*'Macro &amp; Indexation'!AB$20</f>
        <v>0</v>
      </c>
      <c r="AC126" s="40">
        <f ca="1">'Growth Engine'!AC10*retrofit_cost*'Macro &amp; Indexation'!AC$20</f>
        <v>0</v>
      </c>
      <c r="AD126" s="40">
        <f ca="1">'Growth Engine'!AD10*retrofit_cost*'Macro &amp; Indexation'!AD$20</f>
        <v>9501.4635039010263</v>
      </c>
      <c r="AE126" s="40">
        <f ca="1">'Growth Engine'!AE10*retrofit_cost*'Macro &amp; Indexation'!AE$20</f>
        <v>0</v>
      </c>
      <c r="AF126" s="40">
        <f ca="1">'Growth Engine'!AF10*retrofit_cost*'Macro &amp; Indexation'!AF$20</f>
        <v>0</v>
      </c>
      <c r="AG126" s="40">
        <f ca="1">'Growth Engine'!AG10*retrofit_cost*'Macro &amp; Indexation'!AG$20</f>
        <v>10232.036971130663</v>
      </c>
      <c r="AH126" s="40">
        <f ca="1">'Growth Engine'!AH10*retrofit_cost*'Macro &amp; Indexation'!AH$20</f>
        <v>0</v>
      </c>
      <c r="AI126" s="40">
        <f ca="1">'Growth Engine'!AI10*retrofit_cost*'Macro &amp; Indexation'!AI$20</f>
        <v>10750.033842794151</v>
      </c>
      <c r="AJ126" s="40">
        <f ca="1">'Growth Engine'!AJ10*retrofit_cost*'Macro &amp; Indexation'!AJ$20</f>
        <v>11018.784688864003</v>
      </c>
      <c r="AK126" s="40">
        <f ca="1">'Growth Engine'!AK10*retrofit_cost*'Macro &amp; Indexation'!AK$20</f>
        <v>0</v>
      </c>
      <c r="AL126" s="40">
        <f ca="1">'Growth Engine'!AL10*retrofit_cost*'Macro &amp; Indexation'!AL$20</f>
        <v>11576.610663737742</v>
      </c>
      <c r="AM126" s="40">
        <f ca="1">'Growth Engine'!AM10*retrofit_cost*'Macro &amp; Indexation'!AM$20</f>
        <v>11866.025930331183</v>
      </c>
      <c r="AN126" s="40">
        <f ca="1">'Growth Engine'!AN10*retrofit_cost*'Macro &amp; Indexation'!AN$20</f>
        <v>0</v>
      </c>
      <c r="AO126" s="40">
        <f ca="1">'Growth Engine'!AO10*retrofit_cost*'Macro &amp; Indexation'!AO$20</f>
        <v>12466.743493054197</v>
      </c>
      <c r="AP126" s="40">
        <f ca="1">'Growth Engine'!AP10*retrofit_cost*'Macro &amp; Indexation'!AP$20</f>
        <v>12778.412080380553</v>
      </c>
      <c r="AQ126" s="40">
        <f ca="1">'Growth Engine'!AQ10*retrofit_cost*'Macro &amp; Indexation'!AQ$20</f>
        <v>13097.872382390065</v>
      </c>
      <c r="AR126" s="40">
        <f ca="1">'Growth Engine'!AR10*retrofit_cost*'Macro &amp; Indexation'!AR$20</f>
        <v>13425.319191949817</v>
      </c>
      <c r="AS126" s="40">
        <f ca="1">'Growth Engine'!AS10*retrofit_cost*'Macro &amp; Indexation'!AS$20</f>
        <v>13760.952171748559</v>
      </c>
      <c r="AT126" s="40">
        <f ca="1">'Growth Engine'!AT10*retrofit_cost*'Macro &amp; Indexation'!AT$20</f>
        <v>14104.975976042273</v>
      </c>
      <c r="AU126" s="40">
        <f ca="1">'Growth Engine'!AU10*retrofit_cost*'Macro &amp; Indexation'!AU$20</f>
        <v>14457.60037544333</v>
      </c>
      <c r="AV126" s="40">
        <f ca="1">'Growth Engine'!AV10*retrofit_cost*'Macro &amp; Indexation'!AV$20</f>
        <v>14819.040384829412</v>
      </c>
      <c r="AW126" s="40">
        <f ca="1">'Growth Engine'!AW10*retrofit_cost*'Macro &amp; Indexation'!AW$20</f>
        <v>15189.516394450147</v>
      </c>
      <c r="AX126" s="40">
        <f ca="1">'Growth Engine'!AX10*retrofit_cost*'Macro &amp; Indexation'!AX$20</f>
        <v>31138.5086086228</v>
      </c>
      <c r="AY126" s="40">
        <f ca="1">'Growth Engine'!AY10*retrofit_cost*'Macro &amp; Indexation'!AY$20</f>
        <v>15958.485661919183</v>
      </c>
      <c r="AZ126" s="40">
        <f ca="1">'Growth Engine'!AZ10*retrofit_cost*'Macro &amp; Indexation'!AZ$20</f>
        <v>16357.447803467163</v>
      </c>
      <c r="BA126" s="40">
        <f ca="1">'Growth Engine'!BA10*retrofit_cost*'Macro &amp; Indexation'!BA$20</f>
        <v>16766.38399855384</v>
      </c>
    </row>
    <row r="127" spans="1:53" x14ac:dyDescent="0.3">
      <c r="A127" t="s">
        <v>131</v>
      </c>
      <c r="B127" t="s">
        <v>48</v>
      </c>
      <c r="D127" s="40">
        <f t="shared" ref="D127:AI127" ca="1" si="8">SUM(D123:D126)</f>
        <v>8300</v>
      </c>
      <c r="E127" s="40">
        <f t="shared" ca="1" si="8"/>
        <v>17015</v>
      </c>
      <c r="F127" s="40">
        <f t="shared" ca="1" si="8"/>
        <v>26160.5625</v>
      </c>
      <c r="G127" s="40">
        <f t="shared" ca="1" si="8"/>
        <v>26814.576562499999</v>
      </c>
      <c r="H127" s="40">
        <f t="shared" ca="1" si="8"/>
        <v>27484.940976562495</v>
      </c>
      <c r="I127" s="40">
        <f t="shared" ca="1" si="8"/>
        <v>28172.064500976554</v>
      </c>
      <c r="J127" s="40">
        <f t="shared" ca="1" si="8"/>
        <v>28876.366113500968</v>
      </c>
      <c r="K127" s="40">
        <f t="shared" ca="1" si="8"/>
        <v>29598.275266338482</v>
      </c>
      <c r="L127" s="40">
        <f t="shared" ca="1" si="8"/>
        <v>30338.232147996947</v>
      </c>
      <c r="M127" s="40">
        <f t="shared" ca="1" si="8"/>
        <v>31096.687951696866</v>
      </c>
      <c r="N127" s="40">
        <f t="shared" ca="1" si="8"/>
        <v>10624.701716829761</v>
      </c>
      <c r="O127" s="40">
        <f t="shared" ca="1" si="8"/>
        <v>0</v>
      </c>
      <c r="P127" s="40">
        <f t="shared" ca="1" si="8"/>
        <v>0</v>
      </c>
      <c r="Q127" s="40">
        <f t="shared" ca="1" si="8"/>
        <v>0</v>
      </c>
      <c r="R127" s="40">
        <f t="shared" ca="1" si="8"/>
        <v>0</v>
      </c>
      <c r="S127" s="40">
        <f t="shared" ca="1" si="8"/>
        <v>0</v>
      </c>
      <c r="T127" s="40">
        <f t="shared" ca="1" si="8"/>
        <v>0</v>
      </c>
      <c r="U127" s="40">
        <f t="shared" ca="1" si="8"/>
        <v>0</v>
      </c>
      <c r="V127" s="40">
        <f t="shared" ca="1" si="8"/>
        <v>0</v>
      </c>
      <c r="W127" s="40">
        <f t="shared" ca="1" si="8"/>
        <v>0</v>
      </c>
      <c r="X127" s="40">
        <f t="shared" ca="1" si="8"/>
        <v>0</v>
      </c>
      <c r="Y127" s="40">
        <f t="shared" ca="1" si="8"/>
        <v>0</v>
      </c>
      <c r="Z127" s="40">
        <f t="shared" ca="1" si="8"/>
        <v>14289.042599914788</v>
      </c>
      <c r="AA127" s="40">
        <f t="shared" ca="1" si="8"/>
        <v>0</v>
      </c>
      <c r="AB127" s="40">
        <f t="shared" ca="1" si="8"/>
        <v>0</v>
      </c>
      <c r="AC127" s="40">
        <f t="shared" ca="1" si="8"/>
        <v>0</v>
      </c>
      <c r="AD127" s="40">
        <f t="shared" ca="1" si="8"/>
        <v>15772.429416475705</v>
      </c>
      <c r="AE127" s="40">
        <f t="shared" ca="1" si="8"/>
        <v>0</v>
      </c>
      <c r="AF127" s="40">
        <f t="shared" ca="1" si="8"/>
        <v>0</v>
      </c>
      <c r="AG127" s="40">
        <f t="shared" ca="1" si="8"/>
        <v>16985.181372076899</v>
      </c>
      <c r="AH127" s="40">
        <f t="shared" ca="1" si="8"/>
        <v>0</v>
      </c>
      <c r="AI127" s="40">
        <f t="shared" ca="1" si="8"/>
        <v>17845.056179038293</v>
      </c>
      <c r="AJ127" s="40">
        <f t="shared" ref="AJ127:BA127" ca="1" si="9">SUM(AJ123:AJ126)</f>
        <v>18291.182583514244</v>
      </c>
      <c r="AK127" s="40">
        <f t="shared" ca="1" si="9"/>
        <v>0</v>
      </c>
      <c r="AL127" s="40">
        <f t="shared" ca="1" si="9"/>
        <v>19217.173701804652</v>
      </c>
      <c r="AM127" s="40">
        <f t="shared" ca="1" si="9"/>
        <v>19697.603044349766</v>
      </c>
      <c r="AN127" s="40">
        <f t="shared" ca="1" si="9"/>
        <v>0</v>
      </c>
      <c r="AO127" s="40">
        <f t="shared" ca="1" si="9"/>
        <v>20694.794198469965</v>
      </c>
      <c r="AP127" s="40">
        <f t="shared" ca="1" si="9"/>
        <v>21212.164053431719</v>
      </c>
      <c r="AQ127" s="40">
        <f t="shared" ca="1" si="9"/>
        <v>21742.468154767506</v>
      </c>
      <c r="AR127" s="40">
        <f t="shared" ca="1" si="9"/>
        <v>22286.029858636695</v>
      </c>
      <c r="AS127" s="40">
        <f t="shared" ca="1" si="9"/>
        <v>22843.180605102607</v>
      </c>
      <c r="AT127" s="40">
        <f t="shared" ca="1" si="9"/>
        <v>23414.260120230174</v>
      </c>
      <c r="AU127" s="40">
        <f t="shared" ca="1" si="9"/>
        <v>23999.616623235925</v>
      </c>
      <c r="AV127" s="40">
        <f t="shared" ca="1" si="9"/>
        <v>24599.607038816823</v>
      </c>
      <c r="AW127" s="40">
        <f t="shared" ca="1" si="9"/>
        <v>25214.597214787245</v>
      </c>
      <c r="AX127" s="40">
        <f t="shared" ca="1" si="9"/>
        <v>51689.924290313851</v>
      </c>
      <c r="AY127" s="40">
        <f t="shared" ca="1" si="9"/>
        <v>26491.086198785844</v>
      </c>
      <c r="AZ127" s="40">
        <f t="shared" ca="1" si="9"/>
        <v>27153.363353755492</v>
      </c>
      <c r="BA127" s="40">
        <f t="shared" ca="1" si="9"/>
        <v>27832.197437599374</v>
      </c>
    </row>
    <row r="128" spans="1:53" x14ac:dyDescent="0.3">
      <c r="A128" s="3" t="s">
        <v>132</v>
      </c>
      <c r="B128" s="3" t="s">
        <v>48</v>
      </c>
      <c r="C128" s="3"/>
      <c r="D128" s="41">
        <f t="shared" ref="D128:AI128" ca="1" si="10">D122+D127</f>
        <v>288300</v>
      </c>
      <c r="E128" s="41">
        <f t="shared" ca="1" si="10"/>
        <v>596615</v>
      </c>
      <c r="F128" s="41">
        <f t="shared" ca="1" si="10"/>
        <v>925989.56249999977</v>
      </c>
      <c r="G128" s="41">
        <f t="shared" ca="1" si="10"/>
        <v>958137.59156249987</v>
      </c>
      <c r="H128" s="41">
        <f t="shared" ca="1" si="10"/>
        <v>991404.26150156232</v>
      </c>
      <c r="I128" s="41">
        <f t="shared" ca="1" si="10"/>
        <v>1025828.5612443511</v>
      </c>
      <c r="J128" s="41">
        <f t="shared" ca="1" si="10"/>
        <v>1061450.8402428934</v>
      </c>
      <c r="K128" s="41">
        <f t="shared" ca="1" si="10"/>
        <v>1098312.8559902597</v>
      </c>
      <c r="L128" s="41">
        <f t="shared" ca="1" si="10"/>
        <v>1136457.8231972554</v>
      </c>
      <c r="M128" s="41">
        <f t="shared" ca="1" si="10"/>
        <v>1175930.4646876792</v>
      </c>
      <c r="N128" s="41">
        <f t="shared" ca="1" si="10"/>
        <v>405592.35469074361</v>
      </c>
      <c r="O128" s="41">
        <f t="shared" ca="1" si="10"/>
        <v>0</v>
      </c>
      <c r="P128" s="41">
        <f t="shared" ca="1" si="10"/>
        <v>0</v>
      </c>
      <c r="Q128" s="41">
        <f t="shared" ca="1" si="10"/>
        <v>0</v>
      </c>
      <c r="R128" s="41">
        <f t="shared" ca="1" si="10"/>
        <v>0</v>
      </c>
      <c r="S128" s="41">
        <f t="shared" ca="1" si="10"/>
        <v>0</v>
      </c>
      <c r="T128" s="41">
        <f t="shared" ca="1" si="10"/>
        <v>0</v>
      </c>
      <c r="U128" s="41">
        <f t="shared" ca="1" si="10"/>
        <v>0</v>
      </c>
      <c r="V128" s="41">
        <f t="shared" ca="1" si="10"/>
        <v>0</v>
      </c>
      <c r="W128" s="41">
        <f t="shared" ca="1" si="10"/>
        <v>0</v>
      </c>
      <c r="X128" s="41">
        <f t="shared" ca="1" si="10"/>
        <v>0</v>
      </c>
      <c r="Y128" s="41">
        <f t="shared" ca="1" si="10"/>
        <v>0</v>
      </c>
      <c r="Z128" s="41">
        <f t="shared" ca="1" si="10"/>
        <v>611112.28367444989</v>
      </c>
      <c r="AA128" s="41">
        <f t="shared" ca="1" si="10"/>
        <v>0</v>
      </c>
      <c r="AB128" s="41">
        <f t="shared" ca="1" si="10"/>
        <v>0</v>
      </c>
      <c r="AC128" s="41">
        <f t="shared" ca="1" si="10"/>
        <v>0</v>
      </c>
      <c r="AD128" s="41">
        <f t="shared" ca="1" si="10"/>
        <v>700640.82585706387</v>
      </c>
      <c r="AE128" s="41">
        <f t="shared" ca="1" si="10"/>
        <v>0</v>
      </c>
      <c r="AF128" s="41">
        <f t="shared" ca="1" si="10"/>
        <v>0</v>
      </c>
      <c r="AG128" s="41">
        <f t="shared" ca="1" si="10"/>
        <v>776311.0145283431</v>
      </c>
      <c r="AH128" s="41">
        <f t="shared" ca="1" si="10"/>
        <v>0</v>
      </c>
      <c r="AI128" s="41">
        <f t="shared" ca="1" si="10"/>
        <v>831253.87180185947</v>
      </c>
      <c r="AJ128" s="41">
        <f t="shared" ref="AJ128:BA128" ca="1" si="11">AJ122+AJ127</f>
        <v>860169.30675313401</v>
      </c>
      <c r="AK128" s="41">
        <f t="shared" ca="1" si="11"/>
        <v>0</v>
      </c>
      <c r="AL128" s="41">
        <f t="shared" ca="1" si="11"/>
        <v>921058.06726540544</v>
      </c>
      <c r="AM128" s="41">
        <f t="shared" ca="1" si="11"/>
        <v>953102.92788267659</v>
      </c>
      <c r="AN128" s="41">
        <f t="shared" ca="1" si="11"/>
        <v>0</v>
      </c>
      <c r="AO128" s="41">
        <f t="shared" ca="1" si="11"/>
        <v>1020581.9132984064</v>
      </c>
      <c r="AP128" s="41">
        <f t="shared" ca="1" si="11"/>
        <v>1056095.3323218659</v>
      </c>
      <c r="AQ128" s="41">
        <f t="shared" ca="1" si="11"/>
        <v>1092846.5473125968</v>
      </c>
      <c r="AR128" s="41">
        <f t="shared" ca="1" si="11"/>
        <v>1130878.7517869899</v>
      </c>
      <c r="AS128" s="41">
        <f t="shared" ca="1" si="11"/>
        <v>1170236.647800948</v>
      </c>
      <c r="AT128" s="41">
        <f t="shared" ca="1" si="11"/>
        <v>1210966.4986679303</v>
      </c>
      <c r="AU128" s="41">
        <f t="shared" ca="1" si="11"/>
        <v>1253116.1835201052</v>
      </c>
      <c r="AV128" s="41">
        <f t="shared" ca="1" si="11"/>
        <v>1296735.2537770765</v>
      </c>
      <c r="AW128" s="41">
        <f t="shared" ca="1" si="11"/>
        <v>1341874.9915888857</v>
      </c>
      <c r="AX128" s="41">
        <f t="shared" ca="1" si="11"/>
        <v>2777176.9406446978</v>
      </c>
      <c r="AY128" s="41">
        <f t="shared" ca="1" si="11"/>
        <v>1436930.6171621792</v>
      </c>
      <c r="AZ128" s="41">
        <f t="shared" ca="1" si="11"/>
        <v>1486958.2779008676</v>
      </c>
      <c r="BA128" s="41">
        <f t="shared" ca="1" si="11"/>
        <v>1538730.28399386</v>
      </c>
    </row>
    <row r="130" spans="1:53" x14ac:dyDescent="0.3">
      <c r="A130" s="37" t="s">
        <v>133</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row>
    <row r="131" spans="1:53" x14ac:dyDescent="0.3">
      <c r="A131" t="s">
        <v>134</v>
      </c>
      <c r="B131" t="s">
        <v>48</v>
      </c>
      <c r="D131" s="40">
        <f>0</f>
        <v>0</v>
      </c>
      <c r="E131" s="40">
        <f t="shared" ref="E131:AJ131" ca="1" si="12">D135</f>
        <v>800</v>
      </c>
      <c r="F131" s="40">
        <f t="shared" ca="1" si="12"/>
        <v>3260</v>
      </c>
      <c r="G131" s="40">
        <f t="shared" ca="1" si="12"/>
        <v>8303</v>
      </c>
      <c r="H131" s="40">
        <f t="shared" ca="1" si="12"/>
        <v>16056.612500000001</v>
      </c>
      <c r="I131" s="40">
        <f t="shared" ca="1" si="12"/>
        <v>26653.216250000001</v>
      </c>
      <c r="J131" s="40">
        <f t="shared" ca="1" si="12"/>
        <v>40230.114804687495</v>
      </c>
      <c r="K131" s="40">
        <f t="shared" ca="1" si="12"/>
        <v>56929.700026953113</v>
      </c>
      <c r="L131" s="40">
        <f t="shared" ca="1" si="12"/>
        <v>76899.620688579074</v>
      </c>
      <c r="M131" s="40">
        <f t="shared" ca="1" si="12"/>
        <v>100292.9563207695</v>
      </c>
      <c r="N131" s="40">
        <f t="shared" ca="1" si="12"/>
        <v>127268.39647163908</v>
      </c>
      <c r="O131" s="40">
        <f t="shared" ca="1" si="12"/>
        <v>155942.29026163748</v>
      </c>
      <c r="P131" s="40">
        <f t="shared" ca="1" si="12"/>
        <v>185333.03139638581</v>
      </c>
      <c r="Q131" s="40">
        <f t="shared" ca="1" si="12"/>
        <v>215458.54105950287</v>
      </c>
      <c r="R131" s="40">
        <f t="shared" ca="1" si="12"/>
        <v>246337.18846419785</v>
      </c>
      <c r="S131" s="40">
        <f t="shared" ca="1" si="12"/>
        <v>277987.80205401022</v>
      </c>
      <c r="T131" s="40">
        <f t="shared" ca="1" si="12"/>
        <v>310429.68098356784</v>
      </c>
      <c r="U131" s="40">
        <f t="shared" ca="1" si="12"/>
        <v>343682.60688636446</v>
      </c>
      <c r="V131" s="40">
        <f t="shared" ca="1" si="12"/>
        <v>377766.85593673098</v>
      </c>
      <c r="W131" s="40">
        <f t="shared" ca="1" si="12"/>
        <v>412703.21121335664</v>
      </c>
      <c r="X131" s="40">
        <f t="shared" ca="1" si="12"/>
        <v>448512.97537189792</v>
      </c>
      <c r="Y131" s="40">
        <f t="shared" ca="1" si="12"/>
        <v>485217.98363440274</v>
      </c>
      <c r="Z131" s="40">
        <f t="shared" ca="1" si="12"/>
        <v>522840.6171034702</v>
      </c>
      <c r="AA131" s="40">
        <f t="shared" ca="1" si="12"/>
        <v>562781.07352732844</v>
      </c>
      <c r="AB131" s="40">
        <f t="shared" ca="1" si="12"/>
        <v>603720.04136178305</v>
      </c>
      <c r="AC131" s="40">
        <f t="shared" ca="1" si="12"/>
        <v>645682.48339209915</v>
      </c>
      <c r="AD131" s="40">
        <f t="shared" ca="1" si="12"/>
        <v>688693.98647317314</v>
      </c>
      <c r="AE131" s="40">
        <f t="shared" ca="1" si="12"/>
        <v>734301.01129189809</v>
      </c>
      <c r="AF131" s="40">
        <f t="shared" ca="1" si="12"/>
        <v>781048.21173109114</v>
      </c>
      <c r="AG131" s="40">
        <f t="shared" ca="1" si="12"/>
        <v>828964.09218126396</v>
      </c>
      <c r="AH131" s="40">
        <f t="shared" ca="1" si="12"/>
        <v>879714.995558072</v>
      </c>
      <c r="AI131" s="40">
        <f t="shared" ca="1" si="12"/>
        <v>931734.6715193002</v>
      </c>
      <c r="AJ131" s="40">
        <f t="shared" ca="1" si="12"/>
        <v>986774.84479440621</v>
      </c>
      <c r="AK131" s="40">
        <f t="shared" ref="AK131:BA131" ca="1" si="13">AJ135</f>
        <v>1044954.0279516081</v>
      </c>
      <c r="AL131" s="40">
        <f t="shared" ca="1" si="13"/>
        <v>1104587.69068774</v>
      </c>
      <c r="AM131" s="40">
        <f t="shared" ca="1" si="13"/>
        <v>1167564.4526984734</v>
      </c>
      <c r="AN131" s="40">
        <f t="shared" ca="1" si="13"/>
        <v>1234014.1979083279</v>
      </c>
      <c r="AO131" s="40">
        <f t="shared" ca="1" si="13"/>
        <v>1302125.186748429</v>
      </c>
      <c r="AP131" s="40">
        <f t="shared" ca="1" si="13"/>
        <v>1373933.6292684213</v>
      </c>
      <c r="AQ131" s="40">
        <f t="shared" ca="1" si="13"/>
        <v>1449581.8287842742</v>
      </c>
      <c r="AR131" s="40">
        <f t="shared" ca="1" si="13"/>
        <v>1529216.8928692057</v>
      </c>
      <c r="AS131" s="40">
        <f t="shared" ca="1" si="13"/>
        <v>1612990.8846269727</v>
      </c>
      <c r="AT131" s="40">
        <f t="shared" ca="1" si="13"/>
        <v>1701060.9785261636</v>
      </c>
      <c r="AU131" s="40">
        <f t="shared" ca="1" si="13"/>
        <v>1793589.6209290009</v>
      </c>
      <c r="AV131" s="40">
        <f t="shared" ca="1" si="13"/>
        <v>1890744.69545198</v>
      </c>
      <c r="AW131" s="40">
        <f t="shared" ca="1" si="13"/>
        <v>1992699.6932996064</v>
      </c>
      <c r="AX131" s="40">
        <f t="shared" ca="1" si="13"/>
        <v>2099633.8887165356</v>
      </c>
      <c r="AY131" s="40">
        <f t="shared" ca="1" si="13"/>
        <v>2214223.6003962671</v>
      </c>
      <c r="AZ131" s="40">
        <f t="shared" ca="1" si="13"/>
        <v>2334231.4125738991</v>
      </c>
      <c r="BA131" s="40">
        <f t="shared" ca="1" si="13"/>
        <v>2459856.6117045269</v>
      </c>
    </row>
    <row r="132" spans="1:53" x14ac:dyDescent="0.3">
      <c r="A132" t="s">
        <v>135</v>
      </c>
      <c r="B132" t="s">
        <v>48</v>
      </c>
      <c r="D132" s="40">
        <f ca="1">sinking_per_prop*'Growth Engine'!D11*'Macro &amp; Indexation'!D$20</f>
        <v>1500</v>
      </c>
      <c r="E132" s="40">
        <f ca="1">sinking_per_prop*'Growth Engine'!E11*'Macro &amp; Indexation'!E$20</f>
        <v>4612.5</v>
      </c>
      <c r="F132" s="40">
        <f ca="1">sinking_per_prop*'Growth Engine'!F11*'Macro &amp; Indexation'!F$20</f>
        <v>9455.625</v>
      </c>
      <c r="G132" s="40">
        <f ca="1">sinking_per_prop*'Growth Engine'!G11*'Macro &amp; Indexation'!G$20</f>
        <v>14538.023437499998</v>
      </c>
      <c r="H132" s="40">
        <f ca="1">sinking_per_prop*'Growth Engine'!H11*'Macro &amp; Indexation'!H$20</f>
        <v>19868.632031249996</v>
      </c>
      <c r="I132" s="40">
        <f ca="1">sinking_per_prop*'Growth Engine'!I11*'Macro &amp; Indexation'!I$20</f>
        <v>25456.684790039053</v>
      </c>
      <c r="J132" s="40">
        <f ca="1">sinking_per_prop*'Growth Engine'!J11*'Macro &amp; Indexation'!J$20</f>
        <v>31311.722291748036</v>
      </c>
      <c r="K132" s="40">
        <f ca="1">sinking_per_prop*'Growth Engine'!K11*'Macro &amp; Indexation'!K$20</f>
        <v>37443.601240548684</v>
      </c>
      <c r="L132" s="40">
        <f ca="1">sinking_per_prop*'Growth Engine'!L11*'Macro &amp; Indexation'!L$20</f>
        <v>43862.504310357028</v>
      </c>
      <c r="M132" s="40">
        <f ca="1">sinking_per_prop*'Growth Engine'!M11*'Macro &amp; Indexation'!M$20</f>
        <v>50578.95028288044</v>
      </c>
      <c r="N132" s="40">
        <f ca="1">sinking_per_prop*'Growth Engine'!N11*'Macro &amp; Indexation'!N$20</f>
        <v>53763.550856246977</v>
      </c>
      <c r="O132" s="40">
        <f ca="1">sinking_per_prop*'Growth Engine'!O11*'Macro &amp; Indexation'!O$20</f>
        <v>55107.639627653152</v>
      </c>
      <c r="P132" s="40">
        <f ca="1">sinking_per_prop*'Growth Engine'!P11*'Macro &amp; Indexation'!P$20</f>
        <v>56485.33061834448</v>
      </c>
      <c r="Q132" s="40">
        <f ca="1">sinking_per_prop*'Growth Engine'!Q11*'Macro &amp; Indexation'!Q$20</f>
        <v>57897.463883803088</v>
      </c>
      <c r="R132" s="40">
        <f ca="1">sinking_per_prop*'Growth Engine'!R11*'Macro &amp; Indexation'!R$20</f>
        <v>59344.900480898155</v>
      </c>
      <c r="S132" s="40">
        <f ca="1">sinking_per_prop*'Growth Engine'!S11*'Macro &amp; Indexation'!S$20</f>
        <v>60828.522992920603</v>
      </c>
      <c r="T132" s="40">
        <f ca="1">sinking_per_prop*'Growth Engine'!T11*'Macro &amp; Indexation'!T$20</f>
        <v>62349.236067743615</v>
      </c>
      <c r="U132" s="40">
        <f ca="1">sinking_per_prop*'Growth Engine'!U11*'Macro &amp; Indexation'!U$20</f>
        <v>63907.966969437199</v>
      </c>
      <c r="V132" s="40">
        <f ca="1">sinking_per_prop*'Growth Engine'!V11*'Macro &amp; Indexation'!V$20</f>
        <v>65505.666143673123</v>
      </c>
      <c r="W132" s="40">
        <f ca="1">sinking_per_prop*'Growth Engine'!W11*'Macro &amp; Indexation'!W$20</f>
        <v>67143.307797264948</v>
      </c>
      <c r="X132" s="40">
        <f ca="1">sinking_per_prop*'Growth Engine'!X11*'Macro &amp; Indexation'!X$20</f>
        <v>68821.890492196559</v>
      </c>
      <c r="Y132" s="40">
        <f ca="1">sinking_per_prop*'Growth Engine'!Y11*'Macro &amp; Indexation'!Y$20</f>
        <v>70542.437754501458</v>
      </c>
      <c r="Z132" s="40">
        <f ca="1">sinking_per_prop*'Growth Engine'!Z11*'Macro &amp; Indexation'!Z$20</f>
        <v>74888.355794734132</v>
      </c>
      <c r="AA132" s="40">
        <f ca="1">sinking_per_prop*'Growth Engine'!AA11*'Macro &amp; Indexation'!AA$20</f>
        <v>76760.564689602485</v>
      </c>
      <c r="AB132" s="40">
        <f ca="1">sinking_per_prop*'Growth Engine'!AB11*'Macro &amp; Indexation'!AB$20</f>
        <v>78679.578806842546</v>
      </c>
      <c r="AC132" s="40">
        <f ca="1">sinking_per_prop*'Growth Engine'!AC11*'Macro &amp; Indexation'!AC$20</f>
        <v>80646.56827701359</v>
      </c>
      <c r="AD132" s="40">
        <f ca="1">sinking_per_prop*'Growth Engine'!AD11*'Macro &amp; Indexation'!AD$20</f>
        <v>85513.171535109243</v>
      </c>
      <c r="AE132" s="40">
        <f ca="1">sinking_per_prop*'Growth Engine'!AE11*'Macro &amp; Indexation'!AE$20</f>
        <v>87651.00082348696</v>
      </c>
      <c r="AF132" s="40">
        <f ca="1">sinking_per_prop*'Growth Engine'!AF11*'Macro &amp; Indexation'!AF$20</f>
        <v>89842.275844074131</v>
      </c>
      <c r="AG132" s="40">
        <f ca="1">sinking_per_prop*'Growth Engine'!AG11*'Macro &amp; Indexation'!AG$20</f>
        <v>95157.943831515164</v>
      </c>
      <c r="AH132" s="40">
        <f ca="1">sinking_per_prop*'Growth Engine'!AH11*'Macro &amp; Indexation'!AH$20</f>
        <v>97536.892427303042</v>
      </c>
      <c r="AI132" s="40">
        <f ca="1">sinking_per_prop*'Growth Engine'!AI11*'Macro &amp; Indexation'!AI$20</f>
        <v>103200.32489082385</v>
      </c>
      <c r="AJ132" s="40">
        <f ca="1">sinking_per_prop*'Growth Engine'!AJ11*'Macro &amp; Indexation'!AJ$20</f>
        <v>109085.96841975363</v>
      </c>
      <c r="AK132" s="40">
        <f ca="1">sinking_per_prop*'Growth Engine'!AK11*'Macro &amp; Indexation'!AK$20</f>
        <v>111813.11763024746</v>
      </c>
      <c r="AL132" s="40">
        <f ca="1">sinking_per_prop*'Growth Engine'!AL11*'Macro &amp; Indexation'!AL$20</f>
        <v>118081.42877012496</v>
      </c>
      <c r="AM132" s="40">
        <f ca="1">sinking_per_prop*'Growth Engine'!AM11*'Macro &amp; Indexation'!AM$20</f>
        <v>124593.27226847742</v>
      </c>
      <c r="AN132" s="40">
        <f ca="1">sinking_per_prop*'Growth Engine'!AN11*'Macro &amp; Indexation'!AN$20</f>
        <v>127708.10407518935</v>
      </c>
      <c r="AO132" s="40">
        <f ca="1">sinking_per_prop*'Growth Engine'!AO11*'Macro &amp; Indexation'!AO$20</f>
        <v>134640.82972498532</v>
      </c>
      <c r="AP132" s="40">
        <f ca="1">sinking_per_prop*'Growth Engine'!AP11*'Macro &amp; Indexation'!AP$20</f>
        <v>141840.37409222414</v>
      </c>
      <c r="AQ132" s="40">
        <f ca="1">sinking_per_prop*'Growth Engine'!AQ11*'Macro &amp; Indexation'!AQ$20</f>
        <v>149315.74515924676</v>
      </c>
      <c r="AR132" s="40">
        <f ca="1">sinking_per_prop*'Growth Engine'!AR11*'Macro &amp; Indexation'!AR$20</f>
        <v>157076.23454581285</v>
      </c>
      <c r="AS132" s="40">
        <f ca="1">sinking_per_prop*'Growth Engine'!AS11*'Macro &amp; Indexation'!AS$20</f>
        <v>165131.42606098272</v>
      </c>
      <c r="AT132" s="40">
        <f ca="1">sinking_per_prop*'Growth Engine'!AT11*'Macro &amp; Indexation'!AT$20</f>
        <v>173491.20450531997</v>
      </c>
      <c r="AU132" s="40">
        <f ca="1">sinking_per_prop*'Growth Engine'!AU11*'Macro &amp; Indexation'!AU$20</f>
        <v>182165.76473058594</v>
      </c>
      <c r="AV132" s="40">
        <f ca="1">sinking_per_prop*'Growth Engine'!AV11*'Macro &amp; Indexation'!AV$20</f>
        <v>191165.62096429942</v>
      </c>
      <c r="AW132" s="40">
        <f ca="1">sinking_per_prop*'Growth Engine'!AW11*'Macro &amp; Indexation'!AW$20</f>
        <v>200501.61640674193</v>
      </c>
      <c r="AX132" s="40">
        <f ca="1">sinking_per_prop*'Growth Engine'!AX11*'Macro &amp; Indexation'!AX$20</f>
        <v>214855.70939949731</v>
      </c>
      <c r="AY132" s="40">
        <f ca="1">sinking_per_prop*'Growth Engine'!AY11*'Macro &amp; Indexation'!AY$20</f>
        <v>225014.6478330605</v>
      </c>
      <c r="AZ132" s="40">
        <f ca="1">sinking_per_prop*'Growth Engine'!AZ11*'Macro &amp; Indexation'!AZ$20</f>
        <v>235547.24836992714</v>
      </c>
      <c r="BA132" s="40">
        <f ca="1">sinking_per_prop*'Growth Engine'!BA11*'Macro &amp; Indexation'!BA$20</f>
        <v>246465.84477874145</v>
      </c>
    </row>
    <row r="133" spans="1:53" x14ac:dyDescent="0.3">
      <c r="A133" t="s">
        <v>360</v>
      </c>
      <c r="B133" t="s">
        <v>48</v>
      </c>
      <c r="D133" s="62">
        <f>D131*sinking_return</f>
        <v>0</v>
      </c>
      <c r="E133" s="62">
        <f ca="1">E131*sinking_return</f>
        <v>0</v>
      </c>
      <c r="F133" s="62">
        <f ca="1">F131*sinking_return</f>
        <v>0</v>
      </c>
      <c r="G133" s="62">
        <f ca="1">G131*sinking_return</f>
        <v>0</v>
      </c>
      <c r="H133" s="62">
        <f ca="1">H131*sinking_return</f>
        <v>0</v>
      </c>
      <c r="I133" s="62">
        <f ca="1">I131*sinking_return</f>
        <v>0</v>
      </c>
      <c r="J133" s="62">
        <f ca="1">J131*sinking_return</f>
        <v>0</v>
      </c>
      <c r="K133" s="62">
        <f ca="1">K131*sinking_return</f>
        <v>0</v>
      </c>
      <c r="L133" s="62">
        <f ca="1">L131*sinking_return</f>
        <v>0</v>
      </c>
      <c r="M133" s="62">
        <f ca="1">M131*sinking_return</f>
        <v>0</v>
      </c>
      <c r="N133" s="62">
        <f ca="1">N131*sinking_return</f>
        <v>0</v>
      </c>
      <c r="O133" s="62">
        <f ca="1">O131*sinking_return</f>
        <v>0</v>
      </c>
      <c r="P133" s="62">
        <f ca="1">P131*sinking_return</f>
        <v>0</v>
      </c>
      <c r="Q133" s="62">
        <f ca="1">Q131*sinking_return</f>
        <v>0</v>
      </c>
      <c r="R133" s="62">
        <f ca="1">R131*sinking_return</f>
        <v>0</v>
      </c>
      <c r="S133" s="62">
        <f ca="1">S131*sinking_return</f>
        <v>0</v>
      </c>
      <c r="T133" s="62">
        <f ca="1">T131*sinking_return</f>
        <v>0</v>
      </c>
      <c r="U133" s="62">
        <f ca="1">U131*sinking_return</f>
        <v>0</v>
      </c>
      <c r="V133" s="62">
        <f ca="1">V131*sinking_return</f>
        <v>0</v>
      </c>
      <c r="W133" s="62">
        <f ca="1">W131*sinking_return</f>
        <v>0</v>
      </c>
      <c r="X133" s="62">
        <f ca="1">X131*sinking_return</f>
        <v>0</v>
      </c>
      <c r="Y133" s="62">
        <f ca="1">Y131*sinking_return</f>
        <v>0</v>
      </c>
      <c r="Z133" s="62">
        <f ca="1">Z131*sinking_return</f>
        <v>0</v>
      </c>
      <c r="AA133" s="62">
        <f ca="1">AA131*sinking_return</f>
        <v>0</v>
      </c>
      <c r="AB133" s="62">
        <f ca="1">AB131*sinking_return</f>
        <v>0</v>
      </c>
      <c r="AC133" s="62">
        <f ca="1">AC131*sinking_return</f>
        <v>0</v>
      </c>
      <c r="AD133" s="62">
        <f ca="1">AD131*sinking_return</f>
        <v>0</v>
      </c>
      <c r="AE133" s="62">
        <f ca="1">AE131*sinking_return</f>
        <v>0</v>
      </c>
      <c r="AF133" s="62">
        <f ca="1">AF131*sinking_return</f>
        <v>0</v>
      </c>
      <c r="AG133" s="62">
        <f ca="1">AG131*sinking_return</f>
        <v>0</v>
      </c>
      <c r="AH133" s="62">
        <f ca="1">AH131*sinking_return</f>
        <v>0</v>
      </c>
      <c r="AI133" s="62">
        <f ca="1">AI131*sinking_return</f>
        <v>0</v>
      </c>
      <c r="AJ133" s="62">
        <f ca="1">AJ131*sinking_return</f>
        <v>0</v>
      </c>
      <c r="AK133" s="62">
        <f ca="1">AK131*sinking_return</f>
        <v>0</v>
      </c>
      <c r="AL133" s="62">
        <f ca="1">AL131*sinking_return</f>
        <v>0</v>
      </c>
      <c r="AM133" s="62">
        <f ca="1">AM131*sinking_return</f>
        <v>0</v>
      </c>
      <c r="AN133" s="62">
        <f ca="1">AN131*sinking_return</f>
        <v>0</v>
      </c>
      <c r="AO133" s="62">
        <f ca="1">AO131*sinking_return</f>
        <v>0</v>
      </c>
      <c r="AP133" s="62">
        <f ca="1">AP131*sinking_return</f>
        <v>0</v>
      </c>
      <c r="AQ133" s="62">
        <f ca="1">AQ131*sinking_return</f>
        <v>0</v>
      </c>
      <c r="AR133" s="62">
        <f ca="1">AR131*sinking_return</f>
        <v>0</v>
      </c>
      <c r="AS133" s="62">
        <f ca="1">AS131*sinking_return</f>
        <v>0</v>
      </c>
      <c r="AT133" s="62">
        <f ca="1">AT131*sinking_return</f>
        <v>0</v>
      </c>
      <c r="AU133" s="62">
        <f ca="1">AU131*sinking_return</f>
        <v>0</v>
      </c>
      <c r="AV133" s="62">
        <f ca="1">AV131*sinking_return</f>
        <v>0</v>
      </c>
      <c r="AW133" s="62">
        <f ca="1">AW131*sinking_return</f>
        <v>0</v>
      </c>
      <c r="AX133" s="62">
        <f ca="1">AX131*sinking_return</f>
        <v>0</v>
      </c>
      <c r="AY133" s="62">
        <f ca="1">AY131*sinking_return</f>
        <v>0</v>
      </c>
      <c r="AZ133" s="62">
        <f ca="1">AZ131*sinking_return</f>
        <v>0</v>
      </c>
      <c r="BA133" s="62">
        <f ca="1">BA131*sinking_return</f>
        <v>0</v>
      </c>
    </row>
    <row r="134" spans="1:53" x14ac:dyDescent="0.3">
      <c r="A134" t="s">
        <v>78</v>
      </c>
      <c r="B134" t="s">
        <v>48</v>
      </c>
      <c r="D134" s="40">
        <f ca="1">-maint_per_prop*'Growth Engine'!D11*'Macro &amp; Indexation'!D$20</f>
        <v>-700</v>
      </c>
      <c r="E134" s="40">
        <f ca="1">-maint_per_prop*'Growth Engine'!E11*'Macro &amp; Indexation'!E$20</f>
        <v>-2152.5</v>
      </c>
      <c r="F134" s="40">
        <f ca="1">-maint_per_prop*'Growth Engine'!F11*'Macro &amp; Indexation'!F$20</f>
        <v>-4412.625</v>
      </c>
      <c r="G134" s="40">
        <f ca="1">-maint_per_prop*'Growth Engine'!G11*'Macro &amp; Indexation'!G$20</f>
        <v>-6784.4109374999989</v>
      </c>
      <c r="H134" s="40">
        <f ca="1">-maint_per_prop*'Growth Engine'!H11*'Macro &amp; Indexation'!H$20</f>
        <v>-9272.0282812499972</v>
      </c>
      <c r="I134" s="40">
        <f ca="1">-maint_per_prop*'Growth Engine'!I11*'Macro &amp; Indexation'!I$20</f>
        <v>-11879.786235351559</v>
      </c>
      <c r="J134" s="40">
        <f ca="1">-maint_per_prop*'Growth Engine'!J11*'Macro &amp; Indexation'!J$20</f>
        <v>-14612.137069482416</v>
      </c>
      <c r="K134" s="40">
        <f ca="1">-maint_per_prop*'Growth Engine'!K11*'Macro &amp; Indexation'!K$20</f>
        <v>-17473.680578922722</v>
      </c>
      <c r="L134" s="40">
        <f ca="1">-maint_per_prop*'Growth Engine'!L11*'Macro &amp; Indexation'!L$20</f>
        <v>-20469.168678166614</v>
      </c>
      <c r="M134" s="40">
        <f ca="1">-maint_per_prop*'Growth Engine'!M11*'Macro &amp; Indexation'!M$20</f>
        <v>-23603.510132010873</v>
      </c>
      <c r="N134" s="40">
        <f ca="1">-maint_per_prop*'Growth Engine'!N11*'Macro &amp; Indexation'!N$20</f>
        <v>-25089.65706624859</v>
      </c>
      <c r="O134" s="40">
        <f ca="1">-maint_per_prop*'Growth Engine'!O11*'Macro &amp; Indexation'!O$20</f>
        <v>-25716.898492904806</v>
      </c>
      <c r="P134" s="40">
        <f ca="1">-maint_per_prop*'Growth Engine'!P11*'Macro &amp; Indexation'!P$20</f>
        <v>-26359.820955227424</v>
      </c>
      <c r="Q134" s="40">
        <f ca="1">-maint_per_prop*'Growth Engine'!Q11*'Macro &amp; Indexation'!Q$20</f>
        <v>-27018.816479108107</v>
      </c>
      <c r="R134" s="40">
        <f ca="1">-maint_per_prop*'Growth Engine'!R11*'Macro &amp; Indexation'!R$20</f>
        <v>-27694.286891085809</v>
      </c>
      <c r="S134" s="40">
        <f ca="1">-maint_per_prop*'Growth Engine'!S11*'Macro &amp; Indexation'!S$20</f>
        <v>-28386.64406336295</v>
      </c>
      <c r="T134" s="40">
        <f ca="1">-maint_per_prop*'Growth Engine'!T11*'Macro &amp; Indexation'!T$20</f>
        <v>-29096.310164947019</v>
      </c>
      <c r="U134" s="40">
        <f ca="1">-maint_per_prop*'Growth Engine'!U11*'Macro &amp; Indexation'!U$20</f>
        <v>-29823.717919070692</v>
      </c>
      <c r="V134" s="40">
        <f ca="1">-maint_per_prop*'Growth Engine'!V11*'Macro &amp; Indexation'!V$20</f>
        <v>-30569.310867047458</v>
      </c>
      <c r="W134" s="40">
        <f ca="1">-maint_per_prop*'Growth Engine'!W11*'Macro &amp; Indexation'!W$20</f>
        <v>-31333.54363872364</v>
      </c>
      <c r="X134" s="40">
        <f ca="1">-maint_per_prop*'Growth Engine'!X11*'Macro &amp; Indexation'!X$20</f>
        <v>-32116.882229691728</v>
      </c>
      <c r="Y134" s="40">
        <f ca="1">-maint_per_prop*'Growth Engine'!Y11*'Macro &amp; Indexation'!Y$20</f>
        <v>-32919.804285434016</v>
      </c>
      <c r="Z134" s="40">
        <f ca="1">-maint_per_prop*'Growth Engine'!Z11*'Macro &amp; Indexation'!Z$20</f>
        <v>-34947.89937087593</v>
      </c>
      <c r="AA134" s="40">
        <f ca="1">-maint_per_prop*'Growth Engine'!AA11*'Macro &amp; Indexation'!AA$20</f>
        <v>-35821.596855147822</v>
      </c>
      <c r="AB134" s="40">
        <f ca="1">-maint_per_prop*'Growth Engine'!AB11*'Macro &amp; Indexation'!AB$20</f>
        <v>-36717.136776526517</v>
      </c>
      <c r="AC134" s="40">
        <f ca="1">-maint_per_prop*'Growth Engine'!AC11*'Macro &amp; Indexation'!AC$20</f>
        <v>-37635.065195939678</v>
      </c>
      <c r="AD134" s="40">
        <f ca="1">-maint_per_prop*'Growth Engine'!AD11*'Macro &amp; Indexation'!AD$20</f>
        <v>-39906.146716384312</v>
      </c>
      <c r="AE134" s="40">
        <f ca="1">-maint_per_prop*'Growth Engine'!AE11*'Macro &amp; Indexation'!AE$20</f>
        <v>-40903.800384293914</v>
      </c>
      <c r="AF134" s="40">
        <f ca="1">-maint_per_prop*'Growth Engine'!AF11*'Macro &amp; Indexation'!AF$20</f>
        <v>-41926.395393901257</v>
      </c>
      <c r="AG134" s="40">
        <f ca="1">-maint_per_prop*'Growth Engine'!AG11*'Macro &amp; Indexation'!AG$20</f>
        <v>-44407.040454707072</v>
      </c>
      <c r="AH134" s="40">
        <f ca="1">-maint_per_prop*'Growth Engine'!AH11*'Macro &amp; Indexation'!AH$20</f>
        <v>-45517.216466074751</v>
      </c>
      <c r="AI134" s="40">
        <f ca="1">-maint_per_prop*'Growth Engine'!AI11*'Macro &amp; Indexation'!AI$20</f>
        <v>-48160.151615717798</v>
      </c>
      <c r="AJ134" s="40">
        <f ca="1">-maint_per_prop*'Growth Engine'!AJ11*'Macro &amp; Indexation'!AJ$20</f>
        <v>-50906.78526255169</v>
      </c>
      <c r="AK134" s="40">
        <f ca="1">-maint_per_prop*'Growth Engine'!AK11*'Macro &amp; Indexation'!AK$20</f>
        <v>-52179.454894115486</v>
      </c>
      <c r="AL134" s="40">
        <f ca="1">-maint_per_prop*'Growth Engine'!AL11*'Macro &amp; Indexation'!AL$20</f>
        <v>-55104.66675939165</v>
      </c>
      <c r="AM134" s="40">
        <f ca="1">-maint_per_prop*'Growth Engine'!AM11*'Macro &amp; Indexation'!AM$20</f>
        <v>-58143.5270586228</v>
      </c>
      <c r="AN134" s="40">
        <f ca="1">-maint_per_prop*'Growth Engine'!AN11*'Macro &amp; Indexation'!AN$20</f>
        <v>-59597.115235088364</v>
      </c>
      <c r="AO134" s="40">
        <f ca="1">-maint_per_prop*'Growth Engine'!AO11*'Macro &amp; Indexation'!AO$20</f>
        <v>-62832.387204993152</v>
      </c>
      <c r="AP134" s="40">
        <f ca="1">-maint_per_prop*'Growth Engine'!AP11*'Macro &amp; Indexation'!AP$20</f>
        <v>-66192.174576371268</v>
      </c>
      <c r="AQ134" s="40">
        <f ca="1">-maint_per_prop*'Growth Engine'!AQ11*'Macro &amp; Indexation'!AQ$20</f>
        <v>-69680.681074315144</v>
      </c>
      <c r="AR134" s="40">
        <f ca="1">-maint_per_prop*'Growth Engine'!AR11*'Macro &amp; Indexation'!AR$20</f>
        <v>-73302.242788046002</v>
      </c>
      <c r="AS134" s="40">
        <f ca="1">-maint_per_prop*'Growth Engine'!AS11*'Macro &amp; Indexation'!AS$20</f>
        <v>-77061.332161791928</v>
      </c>
      <c r="AT134" s="40">
        <f ca="1">-maint_per_prop*'Growth Engine'!AT11*'Macro &amp; Indexation'!AT$20</f>
        <v>-80962.562102482654</v>
      </c>
      <c r="AU134" s="40">
        <f ca="1">-maint_per_prop*'Growth Engine'!AU11*'Macro &amp; Indexation'!AU$20</f>
        <v>-85010.690207606778</v>
      </c>
      <c r="AV134" s="40">
        <f ca="1">-maint_per_prop*'Growth Engine'!AV11*'Macro &amp; Indexation'!AV$20</f>
        <v>-89210.623116673058</v>
      </c>
      <c r="AW134" s="40">
        <f ca="1">-maint_per_prop*'Growth Engine'!AW11*'Macro &amp; Indexation'!AW$20</f>
        <v>-93567.420989812905</v>
      </c>
      <c r="AX134" s="40">
        <f ca="1">-maint_per_prop*'Growth Engine'!AX11*'Macro &amp; Indexation'!AX$20</f>
        <v>-100265.99771976541</v>
      </c>
      <c r="AY134" s="40">
        <f ca="1">-maint_per_prop*'Growth Engine'!AY11*'Macro &amp; Indexation'!AY$20</f>
        <v>-105006.83565542824</v>
      </c>
      <c r="AZ134" s="40">
        <f ca="1">-maint_per_prop*'Growth Engine'!AZ11*'Macro &amp; Indexation'!AZ$20</f>
        <v>-109922.04923929933</v>
      </c>
      <c r="BA134" s="40">
        <f ca="1">-maint_per_prop*'Growth Engine'!BA11*'Macro &amp; Indexation'!BA$20</f>
        <v>-115017.39423007934</v>
      </c>
    </row>
    <row r="135" spans="1:53" x14ac:dyDescent="0.3">
      <c r="A135" s="3" t="s">
        <v>136</v>
      </c>
      <c r="B135" s="3" t="s">
        <v>48</v>
      </c>
      <c r="C135" s="3"/>
      <c r="D135" s="41">
        <f t="shared" ref="D135:AI135" ca="1" si="14">SUM(D131:D134)</f>
        <v>800</v>
      </c>
      <c r="E135" s="41">
        <f t="shared" ca="1" si="14"/>
        <v>3260</v>
      </c>
      <c r="F135" s="41">
        <f t="shared" ca="1" si="14"/>
        <v>8303</v>
      </c>
      <c r="G135" s="41">
        <f t="shared" ca="1" si="14"/>
        <v>16056.612500000001</v>
      </c>
      <c r="H135" s="41">
        <f t="shared" ca="1" si="14"/>
        <v>26653.216250000001</v>
      </c>
      <c r="I135" s="41">
        <f t="shared" ca="1" si="14"/>
        <v>40230.114804687495</v>
      </c>
      <c r="J135" s="41">
        <f t="shared" ca="1" si="14"/>
        <v>56929.700026953113</v>
      </c>
      <c r="K135" s="41">
        <f t="shared" ca="1" si="14"/>
        <v>76899.620688579074</v>
      </c>
      <c r="L135" s="41">
        <f t="shared" ca="1" si="14"/>
        <v>100292.9563207695</v>
      </c>
      <c r="M135" s="41">
        <f t="shared" ca="1" si="14"/>
        <v>127268.39647163908</v>
      </c>
      <c r="N135" s="41">
        <f t="shared" ca="1" si="14"/>
        <v>155942.29026163748</v>
      </c>
      <c r="O135" s="41">
        <f t="shared" ca="1" si="14"/>
        <v>185333.03139638581</v>
      </c>
      <c r="P135" s="41">
        <f t="shared" ca="1" si="14"/>
        <v>215458.54105950287</v>
      </c>
      <c r="Q135" s="41">
        <f t="shared" ca="1" si="14"/>
        <v>246337.18846419785</v>
      </c>
      <c r="R135" s="41">
        <f t="shared" ca="1" si="14"/>
        <v>277987.80205401022</v>
      </c>
      <c r="S135" s="41">
        <f t="shared" ca="1" si="14"/>
        <v>310429.68098356784</v>
      </c>
      <c r="T135" s="41">
        <f t="shared" ca="1" si="14"/>
        <v>343682.60688636446</v>
      </c>
      <c r="U135" s="41">
        <f t="shared" ca="1" si="14"/>
        <v>377766.85593673098</v>
      </c>
      <c r="V135" s="41">
        <f t="shared" ca="1" si="14"/>
        <v>412703.21121335664</v>
      </c>
      <c r="W135" s="41">
        <f t="shared" ca="1" si="14"/>
        <v>448512.97537189792</v>
      </c>
      <c r="X135" s="41">
        <f t="shared" ca="1" si="14"/>
        <v>485217.98363440274</v>
      </c>
      <c r="Y135" s="41">
        <f t="shared" ca="1" si="14"/>
        <v>522840.6171034702</v>
      </c>
      <c r="Z135" s="41">
        <f t="shared" ca="1" si="14"/>
        <v>562781.07352732844</v>
      </c>
      <c r="AA135" s="41">
        <f t="shared" ca="1" si="14"/>
        <v>603720.04136178305</v>
      </c>
      <c r="AB135" s="41">
        <f t="shared" ca="1" si="14"/>
        <v>645682.48339209915</v>
      </c>
      <c r="AC135" s="41">
        <f t="shared" ca="1" si="14"/>
        <v>688693.98647317314</v>
      </c>
      <c r="AD135" s="41">
        <f t="shared" ca="1" si="14"/>
        <v>734301.01129189809</v>
      </c>
      <c r="AE135" s="41">
        <f t="shared" ca="1" si="14"/>
        <v>781048.21173109114</v>
      </c>
      <c r="AF135" s="41">
        <f t="shared" ca="1" si="14"/>
        <v>828964.09218126396</v>
      </c>
      <c r="AG135" s="41">
        <f t="shared" ca="1" si="14"/>
        <v>879714.995558072</v>
      </c>
      <c r="AH135" s="41">
        <f t="shared" ca="1" si="14"/>
        <v>931734.6715193002</v>
      </c>
      <c r="AI135" s="41">
        <f t="shared" ca="1" si="14"/>
        <v>986774.84479440621</v>
      </c>
      <c r="AJ135" s="41">
        <f t="shared" ref="AJ135:BA135" ca="1" si="15">SUM(AJ131:AJ134)</f>
        <v>1044954.0279516081</v>
      </c>
      <c r="AK135" s="41">
        <f t="shared" ca="1" si="15"/>
        <v>1104587.69068774</v>
      </c>
      <c r="AL135" s="41">
        <f t="shared" ca="1" si="15"/>
        <v>1167564.4526984734</v>
      </c>
      <c r="AM135" s="41">
        <f t="shared" ca="1" si="15"/>
        <v>1234014.1979083279</v>
      </c>
      <c r="AN135" s="41">
        <f t="shared" ca="1" si="15"/>
        <v>1302125.186748429</v>
      </c>
      <c r="AO135" s="41">
        <f t="shared" ca="1" si="15"/>
        <v>1373933.6292684213</v>
      </c>
      <c r="AP135" s="41">
        <f t="shared" ca="1" si="15"/>
        <v>1449581.8287842742</v>
      </c>
      <c r="AQ135" s="41">
        <f t="shared" ca="1" si="15"/>
        <v>1529216.8928692057</v>
      </c>
      <c r="AR135" s="41">
        <f t="shared" ca="1" si="15"/>
        <v>1612990.8846269727</v>
      </c>
      <c r="AS135" s="41">
        <f t="shared" ca="1" si="15"/>
        <v>1701060.9785261636</v>
      </c>
      <c r="AT135" s="41">
        <f t="shared" ca="1" si="15"/>
        <v>1793589.6209290009</v>
      </c>
      <c r="AU135" s="41">
        <f t="shared" ca="1" si="15"/>
        <v>1890744.69545198</v>
      </c>
      <c r="AV135" s="41">
        <f t="shared" ca="1" si="15"/>
        <v>1992699.6932996064</v>
      </c>
      <c r="AW135" s="41">
        <f t="shared" ca="1" si="15"/>
        <v>2099633.8887165356</v>
      </c>
      <c r="AX135" s="41">
        <f t="shared" ca="1" si="15"/>
        <v>2214223.6003962671</v>
      </c>
      <c r="AY135" s="41">
        <f t="shared" ca="1" si="15"/>
        <v>2334231.4125738991</v>
      </c>
      <c r="AZ135" s="41">
        <f t="shared" ca="1" si="15"/>
        <v>2459856.6117045269</v>
      </c>
      <c r="BA135" s="41">
        <f t="shared" ca="1" si="15"/>
        <v>2591305.0622531888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800E-8AB9-4C9D-A294-186150065B8C}">
  <dimension ref="A1:BA71"/>
  <sheetViews>
    <sheetView topLeftCell="A11" workbookViewId="0">
      <pane xSplit="3" topLeftCell="H1" activePane="topRight" state="frozen"/>
      <selection pane="topRight"/>
    </sheetView>
  </sheetViews>
  <sheetFormatPr defaultRowHeight="14.4" x14ac:dyDescent="0.3"/>
  <cols>
    <col min="1" max="1" width="57.44140625" customWidth="1"/>
    <col min="2" max="2" width="16.6640625" customWidth="1"/>
    <col min="3" max="3" width="2.5546875" customWidth="1"/>
    <col min="4" max="53" width="15.5546875" customWidth="1"/>
  </cols>
  <sheetData>
    <row r="1" spans="1:53" ht="18" x14ac:dyDescent="0.35">
      <c r="A1" s="1" t="s">
        <v>219</v>
      </c>
    </row>
    <row r="2" spans="1:53" x14ac:dyDescent="0.3">
      <c r="A2" s="2" t="s">
        <v>220</v>
      </c>
    </row>
    <row r="6" spans="1:53" x14ac:dyDescent="0.3">
      <c r="A6" t="s">
        <v>88</v>
      </c>
      <c r="D6" s="27">
        <v>1</v>
      </c>
      <c r="E6" s="27">
        <v>2</v>
      </c>
      <c r="F6" s="27">
        <v>3</v>
      </c>
      <c r="G6" s="27">
        <v>4</v>
      </c>
      <c r="H6" s="27">
        <v>5</v>
      </c>
      <c r="I6" s="27">
        <v>6</v>
      </c>
      <c r="J6" s="27">
        <v>7</v>
      </c>
      <c r="K6" s="27">
        <v>8</v>
      </c>
      <c r="L6" s="27">
        <v>9</v>
      </c>
      <c r="M6" s="27">
        <v>10</v>
      </c>
      <c r="N6" s="27">
        <v>11</v>
      </c>
      <c r="O6" s="27">
        <v>12</v>
      </c>
      <c r="P6" s="27">
        <v>13</v>
      </c>
      <c r="Q6" s="27">
        <v>14</v>
      </c>
      <c r="R6" s="27">
        <v>15</v>
      </c>
      <c r="S6" s="27">
        <v>16</v>
      </c>
      <c r="T6" s="27">
        <v>17</v>
      </c>
      <c r="U6" s="27">
        <v>18</v>
      </c>
      <c r="V6" s="27">
        <v>19</v>
      </c>
      <c r="W6" s="27">
        <v>20</v>
      </c>
      <c r="X6" s="27">
        <v>21</v>
      </c>
      <c r="Y6" s="27">
        <v>22</v>
      </c>
      <c r="Z6" s="27">
        <v>23</v>
      </c>
      <c r="AA6" s="27">
        <v>24</v>
      </c>
      <c r="AB6" s="27">
        <v>25</v>
      </c>
      <c r="AC6" s="27">
        <v>26</v>
      </c>
      <c r="AD6" s="27">
        <v>27</v>
      </c>
      <c r="AE6" s="27">
        <v>28</v>
      </c>
      <c r="AF6" s="27">
        <v>29</v>
      </c>
      <c r="AG6" s="27">
        <v>30</v>
      </c>
      <c r="AH6" s="27">
        <v>31</v>
      </c>
      <c r="AI6" s="27">
        <v>32</v>
      </c>
      <c r="AJ6" s="27">
        <v>33</v>
      </c>
      <c r="AK6" s="27">
        <v>34</v>
      </c>
      <c r="AL6" s="27">
        <v>35</v>
      </c>
      <c r="AM6" s="27">
        <v>36</v>
      </c>
      <c r="AN6" s="27">
        <v>37</v>
      </c>
      <c r="AO6" s="27">
        <v>38</v>
      </c>
      <c r="AP6" s="27">
        <v>39</v>
      </c>
      <c r="AQ6" s="27">
        <v>40</v>
      </c>
      <c r="AR6" s="27">
        <v>41</v>
      </c>
      <c r="AS6" s="27">
        <v>42</v>
      </c>
      <c r="AT6" s="27">
        <v>43</v>
      </c>
      <c r="AU6" s="27">
        <v>44</v>
      </c>
      <c r="AV6" s="27">
        <v>45</v>
      </c>
      <c r="AW6" s="27">
        <v>46</v>
      </c>
      <c r="AX6" s="27">
        <v>47</v>
      </c>
      <c r="AY6" s="27">
        <v>48</v>
      </c>
      <c r="AZ6" s="27">
        <v>49</v>
      </c>
      <c r="BA6" s="27">
        <v>50</v>
      </c>
    </row>
    <row r="7" spans="1:53" x14ac:dyDescent="0.3">
      <c r="A7" t="s">
        <v>89</v>
      </c>
      <c r="D7" s="27">
        <f>base_calendar_year+D$6-1</f>
        <v>2026</v>
      </c>
      <c r="E7" s="27">
        <f>base_calendar_year+E$6-1</f>
        <v>2027</v>
      </c>
      <c r="F7" s="27">
        <f>base_calendar_year+F$6-1</f>
        <v>2028</v>
      </c>
      <c r="G7" s="27">
        <f>base_calendar_year+G$6-1</f>
        <v>2029</v>
      </c>
      <c r="H7" s="27">
        <f>base_calendar_year+H$6-1</f>
        <v>2030</v>
      </c>
      <c r="I7" s="27">
        <f>base_calendar_year+I$6-1</f>
        <v>2031</v>
      </c>
      <c r="J7" s="27">
        <f>base_calendar_year+J$6-1</f>
        <v>2032</v>
      </c>
      <c r="K7" s="27">
        <f>base_calendar_year+K$6-1</f>
        <v>2033</v>
      </c>
      <c r="L7" s="27">
        <f>base_calendar_year+L$6-1</f>
        <v>2034</v>
      </c>
      <c r="M7" s="27">
        <f>base_calendar_year+M$6-1</f>
        <v>2035</v>
      </c>
      <c r="N7" s="27">
        <f>base_calendar_year+N$6-1</f>
        <v>2036</v>
      </c>
      <c r="O7" s="27">
        <f>base_calendar_year+O$6-1</f>
        <v>2037</v>
      </c>
      <c r="P7" s="27">
        <f>base_calendar_year+P$6-1</f>
        <v>2038</v>
      </c>
      <c r="Q7" s="27">
        <f>base_calendar_year+Q$6-1</f>
        <v>2039</v>
      </c>
      <c r="R7" s="27">
        <f>base_calendar_year+R$6-1</f>
        <v>2040</v>
      </c>
      <c r="S7" s="27">
        <f>base_calendar_year+S$6-1</f>
        <v>2041</v>
      </c>
      <c r="T7" s="27">
        <f>base_calendar_year+T$6-1</f>
        <v>2042</v>
      </c>
      <c r="U7" s="27">
        <f>base_calendar_year+U$6-1</f>
        <v>2043</v>
      </c>
      <c r="V7" s="27">
        <f>base_calendar_year+V$6-1</f>
        <v>2044</v>
      </c>
      <c r="W7" s="27">
        <f>base_calendar_year+W$6-1</f>
        <v>2045</v>
      </c>
      <c r="X7" s="27">
        <f>base_calendar_year+X$6-1</f>
        <v>2046</v>
      </c>
      <c r="Y7" s="27">
        <f>base_calendar_year+Y$6-1</f>
        <v>2047</v>
      </c>
      <c r="Z7" s="27">
        <f>base_calendar_year+Z$6-1</f>
        <v>2048</v>
      </c>
      <c r="AA7" s="27">
        <f>base_calendar_year+AA$6-1</f>
        <v>2049</v>
      </c>
      <c r="AB7" s="27">
        <f>base_calendar_year+AB$6-1</f>
        <v>2050</v>
      </c>
      <c r="AC7" s="27">
        <f>base_calendar_year+AC$6-1</f>
        <v>2051</v>
      </c>
      <c r="AD7" s="27">
        <f>base_calendar_year+AD$6-1</f>
        <v>2052</v>
      </c>
      <c r="AE7" s="27">
        <f>base_calendar_year+AE$6-1</f>
        <v>2053</v>
      </c>
      <c r="AF7" s="27">
        <f>base_calendar_year+AF$6-1</f>
        <v>2054</v>
      </c>
      <c r="AG7" s="27">
        <f>base_calendar_year+AG$6-1</f>
        <v>2055</v>
      </c>
      <c r="AH7" s="27">
        <f>base_calendar_year+AH$6-1</f>
        <v>2056</v>
      </c>
      <c r="AI7" s="27">
        <f>base_calendar_year+AI$6-1</f>
        <v>2057</v>
      </c>
      <c r="AJ7" s="27">
        <f>base_calendar_year+AJ$6-1</f>
        <v>2058</v>
      </c>
      <c r="AK7" s="27">
        <f>base_calendar_year+AK$6-1</f>
        <v>2059</v>
      </c>
      <c r="AL7" s="27">
        <f>base_calendar_year+AL$6-1</f>
        <v>2060</v>
      </c>
      <c r="AM7" s="27">
        <f>base_calendar_year+AM$6-1</f>
        <v>2061</v>
      </c>
      <c r="AN7" s="27">
        <f>base_calendar_year+AN$6-1</f>
        <v>2062</v>
      </c>
      <c r="AO7" s="27">
        <f>base_calendar_year+AO$6-1</f>
        <v>2063</v>
      </c>
      <c r="AP7" s="27">
        <f>base_calendar_year+AP$6-1</f>
        <v>2064</v>
      </c>
      <c r="AQ7" s="27">
        <f>base_calendar_year+AQ$6-1</f>
        <v>2065</v>
      </c>
      <c r="AR7" s="27">
        <f>base_calendar_year+AR$6-1</f>
        <v>2066</v>
      </c>
      <c r="AS7" s="27">
        <f>base_calendar_year+AS$6-1</f>
        <v>2067</v>
      </c>
      <c r="AT7" s="27">
        <f>base_calendar_year+AT$6-1</f>
        <v>2068</v>
      </c>
      <c r="AU7" s="27">
        <f>base_calendar_year+AU$6-1</f>
        <v>2069</v>
      </c>
      <c r="AV7" s="27">
        <f>base_calendar_year+AV$6-1</f>
        <v>2070</v>
      </c>
      <c r="AW7" s="27">
        <f>base_calendar_year+AW$6-1</f>
        <v>2071</v>
      </c>
      <c r="AX7" s="27">
        <f>base_calendar_year+AX$6-1</f>
        <v>2072</v>
      </c>
      <c r="AY7" s="27">
        <f>base_calendar_year+AY$6-1</f>
        <v>2073</v>
      </c>
      <c r="AZ7" s="27">
        <f>base_calendar_year+AZ$6-1</f>
        <v>2074</v>
      </c>
      <c r="BA7" s="27">
        <f>base_calendar_year+BA$6-1</f>
        <v>2075</v>
      </c>
    </row>
    <row r="9" spans="1:53" x14ac:dyDescent="0.3">
      <c r="A9" s="37" t="s">
        <v>221</v>
      </c>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row>
    <row r="10" spans="1:53" x14ac:dyDescent="0.3">
      <c r="A10" t="s">
        <v>222</v>
      </c>
      <c r="B10" t="s">
        <v>48</v>
      </c>
      <c r="D10" s="40">
        <f ca="1">'Asset Register'!D119</f>
        <v>10640</v>
      </c>
      <c r="E10" s="40">
        <f ca="1">'Asset Register'!E119</f>
        <v>32930.799999999996</v>
      </c>
      <c r="F10" s="40">
        <f ca="1">'Asset Register'!F119</f>
        <v>67947.571999999986</v>
      </c>
      <c r="G10" s="40">
        <f ca="1">'Asset Register'!G119</f>
        <v>105036.53586999999</v>
      </c>
      <c r="H10" s="40">
        <f ca="1">'Asset Register'!H119</f>
        <v>144291.38344669994</v>
      </c>
      <c r="I10" s="40">
        <f ca="1">'Asset Register'!I119</f>
        <v>185809.61490911571</v>
      </c>
      <c r="J10" s="40">
        <f ca="1">'Asset Register'!J119</f>
        <v>229692.68529876048</v>
      </c>
      <c r="K10" s="40">
        <f ca="1">'Asset Register'!K119</f>
        <v>276046.15649873856</v>
      </c>
      <c r="L10" s="40">
        <f ca="1">'Asset Register'!L119</f>
        <v>324979.8548710788</v>
      </c>
      <c r="M10" s="40">
        <f ca="1">'Asset Register'!M119</f>
        <v>376608.03475882305</v>
      </c>
      <c r="N10" s="40">
        <f ca="1">'Asset Register'!N119</f>
        <v>401032.00644080224</v>
      </c>
      <c r="O10" s="40">
        <f ca="1">'Asset Register'!O119</f>
        <v>411057.80660182226</v>
      </c>
      <c r="P10" s="40">
        <f ca="1">'Asset Register'!P119</f>
        <v>421334.25176686782</v>
      </c>
      <c r="Q10" s="40">
        <f ca="1">'Asset Register'!Q119</f>
        <v>431867.60806103947</v>
      </c>
      <c r="R10" s="40">
        <f ca="1">'Asset Register'!R119</f>
        <v>442664.2982625654</v>
      </c>
      <c r="S10" s="40">
        <f ca="1">'Asset Register'!S119</f>
        <v>453730.9057191296</v>
      </c>
      <c r="T10" s="40">
        <f ca="1">'Asset Register'!T119</f>
        <v>465074.17836210766</v>
      </c>
      <c r="U10" s="40">
        <f ca="1">'Asset Register'!U119</f>
        <v>476701.03282116039</v>
      </c>
      <c r="V10" s="40">
        <f ca="1">'Asset Register'!V119</f>
        <v>488618.55864168925</v>
      </c>
      <c r="W10" s="40">
        <f ca="1">'Asset Register'!W119</f>
        <v>500834.02260773152</v>
      </c>
      <c r="X10" s="40">
        <f ca="1">'Asset Register'!X119</f>
        <v>513354.87317292474</v>
      </c>
      <c r="Y10" s="40">
        <f ca="1">'Asset Register'!Y119</f>
        <v>526188.74500224786</v>
      </c>
      <c r="Z10" s="40">
        <f ca="1">'Asset Register'!Z119</f>
        <v>562022.74678813643</v>
      </c>
      <c r="AA10" s="40">
        <f ca="1">'Asset Register'!AA119</f>
        <v>576073.31545783975</v>
      </c>
      <c r="AB10" s="40">
        <f ca="1">'Asset Register'!AB119</f>
        <v>590475.14834428579</v>
      </c>
      <c r="AC10" s="40">
        <f ca="1">'Asset Register'!AC119</f>
        <v>605237.02705289272</v>
      </c>
      <c r="AD10" s="40">
        <f ca="1">'Asset Register'!AD119</f>
        <v>646392.95179395739</v>
      </c>
      <c r="AE10" s="40">
        <f ca="1">'Asset Register'!AE119</f>
        <v>662552.77558880625</v>
      </c>
      <c r="AF10" s="40">
        <f ca="1">'Asset Register'!AF119</f>
        <v>679116.59497852635</v>
      </c>
      <c r="AG10" s="40">
        <f ca="1">'Asset Register'!AG119</f>
        <v>724948.8915129276</v>
      </c>
      <c r="AH10" s="40">
        <f ca="1">'Asset Register'!AH119</f>
        <v>743072.6138007507</v>
      </c>
      <c r="AI10" s="40">
        <f ca="1">'Asset Register'!AI119</f>
        <v>792558.96413943649</v>
      </c>
      <c r="AJ10" s="40">
        <f ca="1">'Asset Register'!AJ119</f>
        <v>844364.30696136795</v>
      </c>
      <c r="AK10" s="40">
        <f ca="1">'Asset Register'!AK119</f>
        <v>865473.41463540192</v>
      </c>
      <c r="AL10" s="40">
        <f ca="1">'Asset Register'!AL119</f>
        <v>921380.20395670389</v>
      </c>
      <c r="AM10" s="40">
        <f ca="1">'Asset Register'!AM119</f>
        <v>979884.1113994777</v>
      </c>
      <c r="AN10" s="40">
        <f ca="1">'Asset Register'!AN119</f>
        <v>1004381.2141844645</v>
      </c>
      <c r="AO10" s="40">
        <f ca="1">'Asset Register'!AO119</f>
        <v>1067486.4550648741</v>
      </c>
      <c r="AP10" s="40">
        <f ca="1">'Asset Register'!AP119</f>
        <v>1133499.1768356962</v>
      </c>
      <c r="AQ10" s="40">
        <f ca="1">'Asset Register'!AQ119</f>
        <v>1202538.6112645862</v>
      </c>
      <c r="AR10" s="40">
        <f ca="1">'Asset Register'!AR119</f>
        <v>1274728.5999794777</v>
      </c>
      <c r="AS10" s="40">
        <f ca="1">'Asset Register'!AS119</f>
        <v>1350197.7667324068</v>
      </c>
      <c r="AT10" s="40">
        <f ca="1">'Asset Register'!AT119</f>
        <v>1429079.6959655292</v>
      </c>
      <c r="AU10" s="40">
        <f ca="1">'Asset Register'!AU119</f>
        <v>1511513.117906749</v>
      </c>
      <c r="AV10" s="40">
        <f ca="1">'Asset Register'!AV119</f>
        <v>1597642.1004304711</v>
      </c>
      <c r="AW10" s="40">
        <f ca="1">'Asset Register'!AW119</f>
        <v>1687616.2479274482</v>
      </c>
      <c r="AX10" s="40">
        <f ca="1">'Asset Register'!AX119</f>
        <v>1833375.1607471011</v>
      </c>
      <c r="AY10" s="40">
        <f ca="1">'Asset Register'!AY119</f>
        <v>1932806.2419423875</v>
      </c>
      <c r="AZ10" s="40">
        <f ca="1">'Asset Register'!AZ119</f>
        <v>2036598.9847437365</v>
      </c>
      <c r="BA10" s="40">
        <f ca="1">'Asset Register'!BA119</f>
        <v>2144928.0866514682</v>
      </c>
    </row>
    <row r="11" spans="1:53" x14ac:dyDescent="0.3">
      <c r="A11" t="s">
        <v>365</v>
      </c>
      <c r="B11" t="s">
        <v>48</v>
      </c>
      <c r="D11" s="40">
        <f>'Capital &amp; Debt'!D10+'Capital &amp; Debt'!D11+'Capital &amp; Debt'!D12</f>
        <v>250000</v>
      </c>
      <c r="E11" s="40">
        <f>'Capital &amp; Debt'!E10+'Capital &amp; Debt'!E11+'Capital &amp; Debt'!E12</f>
        <v>102500</v>
      </c>
      <c r="F11" s="40">
        <f>'Capital &amp; Debt'!F10+'Capital &amp; Debt'!F11+'Capital &amp; Debt'!F12</f>
        <v>105062.5</v>
      </c>
      <c r="G11" s="40">
        <f>'Capital &amp; Debt'!G10+'Capital &amp; Debt'!G11+'Capital &amp; Debt'!G12</f>
        <v>107689.06249999999</v>
      </c>
      <c r="H11" s="40">
        <f>'Capital &amp; Debt'!H10+'Capital &amp; Debt'!H11+'Capital &amp; Debt'!H12</f>
        <v>110381.28906249997</v>
      </c>
      <c r="I11" s="40">
        <f>'Capital &amp; Debt'!I10+'Capital &amp; Debt'!I11+'Capital &amp; Debt'!I12</f>
        <v>113140.82128906247</v>
      </c>
      <c r="J11" s="40">
        <f>'Capital &amp; Debt'!J10+'Capital &amp; Debt'!J11+'Capital &amp; Debt'!J12</f>
        <v>115969.34182128902</v>
      </c>
      <c r="K11" s="40">
        <f>'Capital &amp; Debt'!K10+'Capital &amp; Debt'!K11+'Capital &amp; Debt'!K12</f>
        <v>118868.57536682123</v>
      </c>
      <c r="L11" s="40">
        <f>'Capital &amp; Debt'!L10+'Capital &amp; Debt'!L11+'Capital &amp; Debt'!L12</f>
        <v>121840.28975099174</v>
      </c>
      <c r="M11" s="40">
        <f>'Capital &amp; Debt'!M10+'Capital &amp; Debt'!M11+'Capital &amp; Debt'!M12</f>
        <v>124886.29699476653</v>
      </c>
      <c r="N11" s="40">
        <f>'Capital &amp; Debt'!N10+'Capital &amp; Debt'!N11+'Capital &amp; Debt'!N12</f>
        <v>128008.45441963567</v>
      </c>
      <c r="O11" s="40">
        <f>'Capital &amp; Debt'!O10+'Capital &amp; Debt'!O11+'Capital &amp; Debt'!O12</f>
        <v>131208.66578012655</v>
      </c>
      <c r="P11" s="40">
        <f>'Capital &amp; Debt'!P10+'Capital &amp; Debt'!P11+'Capital &amp; Debt'!P12</f>
        <v>134488.8824246297</v>
      </c>
      <c r="Q11" s="40">
        <f>'Capital &amp; Debt'!Q10+'Capital &amp; Debt'!Q11+'Capital &amp; Debt'!Q12</f>
        <v>137851.10448524545</v>
      </c>
      <c r="R11" s="40">
        <f>'Capital &amp; Debt'!R10+'Capital &amp; Debt'!R11+'Capital &amp; Debt'!R12</f>
        <v>141297.38209737657</v>
      </c>
      <c r="S11" s="40">
        <f>'Capital &amp; Debt'!S10+'Capital &amp; Debt'!S11+'Capital &amp; Debt'!S12</f>
        <v>144829.81664981096</v>
      </c>
      <c r="T11" s="40">
        <f>'Capital &amp; Debt'!T10+'Capital &amp; Debt'!T11+'Capital &amp; Debt'!T12</f>
        <v>148450.56206605624</v>
      </c>
      <c r="U11" s="40">
        <f>'Capital &amp; Debt'!U10+'Capital &amp; Debt'!U11+'Capital &amp; Debt'!U12</f>
        <v>152161.82611770759</v>
      </c>
      <c r="V11" s="40">
        <f>'Capital &amp; Debt'!V10+'Capital &amp; Debt'!V11+'Capital &amp; Debt'!V12</f>
        <v>155965.87177065029</v>
      </c>
      <c r="W11" s="40">
        <f>'Capital &amp; Debt'!W10+'Capital &amp; Debt'!W11+'Capital &amp; Debt'!W12</f>
        <v>159865.01856491654</v>
      </c>
      <c r="X11" s="40">
        <f>'Capital &amp; Debt'!X10+'Capital &amp; Debt'!X11+'Capital &amp; Debt'!X12</f>
        <v>163861.64402903942</v>
      </c>
      <c r="Y11" s="40">
        <f>'Capital &amp; Debt'!Y10+'Capital &amp; Debt'!Y11+'Capital &amp; Debt'!Y12</f>
        <v>167958.18512976539</v>
      </c>
      <c r="Z11" s="40">
        <f>'Capital &amp; Debt'!Z10+'Capital &amp; Debt'!Z11+'Capital &amp; Debt'!Z12</f>
        <v>172157.13975800952</v>
      </c>
      <c r="AA11" s="40">
        <f>'Capital &amp; Debt'!AA10+'Capital &amp; Debt'!AA11+'Capital &amp; Debt'!AA12</f>
        <v>176461.06825195975</v>
      </c>
      <c r="AB11" s="40">
        <f>'Capital &amp; Debt'!AB10+'Capital &amp; Debt'!AB11+'Capital &amp; Debt'!AB12</f>
        <v>180872.59495825871</v>
      </c>
      <c r="AC11" s="40">
        <f>'Capital &amp; Debt'!AC10+'Capital &amp; Debt'!AC11+'Capital &amp; Debt'!AC12</f>
        <v>185394.40983221517</v>
      </c>
      <c r="AD11" s="40">
        <f>'Capital &amp; Debt'!AD10+'Capital &amp; Debt'!AD11+'Capital &amp; Debt'!AD12</f>
        <v>190029.27007802052</v>
      </c>
      <c r="AE11" s="40">
        <f>'Capital &amp; Debt'!AE10+'Capital &amp; Debt'!AE11+'Capital &amp; Debt'!AE12</f>
        <v>194780.00182997101</v>
      </c>
      <c r="AF11" s="40">
        <f>'Capital &amp; Debt'!AF10+'Capital &amp; Debt'!AF11+'Capital &amp; Debt'!AF12</f>
        <v>199649.50187572028</v>
      </c>
      <c r="AG11" s="40">
        <f>'Capital &amp; Debt'!AG10+'Capital &amp; Debt'!AG11+'Capital &amp; Debt'!AG12</f>
        <v>204640.73942261326</v>
      </c>
      <c r="AH11" s="40">
        <f>'Capital &amp; Debt'!AH10+'Capital &amp; Debt'!AH11+'Capital &amp; Debt'!AH12</f>
        <v>209756.75790817858</v>
      </c>
      <c r="AI11" s="40">
        <f>'Capital &amp; Debt'!AI10+'Capital &amp; Debt'!AI11+'Capital &amp; Debt'!AI12</f>
        <v>215000.67685588304</v>
      </c>
      <c r="AJ11" s="40">
        <f>'Capital &amp; Debt'!AJ10+'Capital &amp; Debt'!AJ11+'Capital &amp; Debt'!AJ12</f>
        <v>220375.69377728004</v>
      </c>
      <c r="AK11" s="40">
        <f>'Capital &amp; Debt'!AK10+'Capital &amp; Debt'!AK11+'Capital &amp; Debt'!AK12</f>
        <v>225885.08612171205</v>
      </c>
      <c r="AL11" s="40">
        <f>'Capital &amp; Debt'!AL10+'Capital &amp; Debt'!AL11+'Capital &amp; Debt'!AL12</f>
        <v>231532.21327475482</v>
      </c>
      <c r="AM11" s="40">
        <f>'Capital &amp; Debt'!AM10+'Capital &amp; Debt'!AM11+'Capital &amp; Debt'!AM12</f>
        <v>237320.51860662366</v>
      </c>
      <c r="AN11" s="40">
        <f>'Capital &amp; Debt'!AN10+'Capital &amp; Debt'!AN11+'Capital &amp; Debt'!AN12</f>
        <v>243253.53157178924</v>
      </c>
      <c r="AO11" s="40">
        <f>'Capital &amp; Debt'!AO10+'Capital &amp; Debt'!AO11+'Capital &amp; Debt'!AO12</f>
        <v>249334.86986108395</v>
      </c>
      <c r="AP11" s="40">
        <f>'Capital &amp; Debt'!AP10+'Capital &amp; Debt'!AP11+'Capital &amp; Debt'!AP12</f>
        <v>255568.24160761104</v>
      </c>
      <c r="AQ11" s="40">
        <f>'Capital &amp; Debt'!AQ10+'Capital &amp; Debt'!AQ11+'Capital &amp; Debt'!AQ12</f>
        <v>261957.44764780131</v>
      </c>
      <c r="AR11" s="40">
        <f>'Capital &amp; Debt'!AR10+'Capital &amp; Debt'!AR11+'Capital &amp; Debt'!AR12</f>
        <v>268506.38383899629</v>
      </c>
      <c r="AS11" s="40">
        <f>'Capital &amp; Debt'!AS10+'Capital &amp; Debt'!AS11+'Capital &amp; Debt'!AS12</f>
        <v>275219.04343497119</v>
      </c>
      <c r="AT11" s="40">
        <f>'Capital &amp; Debt'!AT10+'Capital &amp; Debt'!AT11+'Capital &amp; Debt'!AT12</f>
        <v>282099.51952084544</v>
      </c>
      <c r="AU11" s="40">
        <f>'Capital &amp; Debt'!AU10+'Capital &amp; Debt'!AU11+'Capital &amp; Debt'!AU12</f>
        <v>289152.00750886661</v>
      </c>
      <c r="AV11" s="40">
        <f>'Capital &amp; Debt'!AV10+'Capital &amp; Debt'!AV11+'Capital &amp; Debt'!AV12</f>
        <v>296380.80769658822</v>
      </c>
      <c r="AW11" s="40">
        <f>'Capital &amp; Debt'!AW10+'Capital &amp; Debt'!AW11+'Capital &amp; Debt'!AW12</f>
        <v>303790.32788900298</v>
      </c>
      <c r="AX11" s="40">
        <f>'Capital &amp; Debt'!AX10+'Capital &amp; Debt'!AX11+'Capital &amp; Debt'!AX12</f>
        <v>311385.08608622802</v>
      </c>
      <c r="AY11" s="40">
        <f>'Capital &amp; Debt'!AY10+'Capital &amp; Debt'!AY11+'Capital &amp; Debt'!AY12</f>
        <v>319169.7132383837</v>
      </c>
      <c r="AZ11" s="40">
        <f>'Capital &amp; Debt'!AZ10+'Capital &amp; Debt'!AZ11+'Capital &amp; Debt'!AZ12</f>
        <v>327148.95606934326</v>
      </c>
      <c r="BA11" s="40">
        <f>'Capital &amp; Debt'!BA10+'Capital &amp; Debt'!BA11+'Capital &amp; Debt'!BA12</f>
        <v>335327.67997107678</v>
      </c>
    </row>
    <row r="12" spans="1:53" x14ac:dyDescent="0.3">
      <c r="A12" t="s">
        <v>190</v>
      </c>
      <c r="B12" t="s">
        <v>48</v>
      </c>
      <c r="D12" s="40">
        <f>'Capital &amp; Debt'!D13</f>
        <v>10000</v>
      </c>
      <c r="E12" s="40">
        <f>'Capital &amp; Debt'!E13</f>
        <v>10250</v>
      </c>
      <c r="F12" s="40">
        <f>'Capital &amp; Debt'!F13</f>
        <v>10506.25</v>
      </c>
      <c r="G12" s="40">
        <f>'Capital &amp; Debt'!G13</f>
        <v>10768.906249999998</v>
      </c>
      <c r="H12" s="40">
        <f>'Capital &amp; Debt'!H13</f>
        <v>11038.128906249998</v>
      </c>
      <c r="I12" s="40">
        <f>'Capital &amp; Debt'!I13</f>
        <v>11314.082128906246</v>
      </c>
      <c r="J12" s="40">
        <f>'Capital &amp; Debt'!J13</f>
        <v>11596.934182128902</v>
      </c>
      <c r="K12" s="40">
        <f>'Capital &amp; Debt'!K13</f>
        <v>11886.857536682122</v>
      </c>
      <c r="L12" s="40">
        <f>'Capital &amp; Debt'!L13</f>
        <v>12184.028975099174</v>
      </c>
      <c r="M12" s="40">
        <f>'Capital &amp; Debt'!M13</f>
        <v>12488.629699476653</v>
      </c>
      <c r="N12" s="40">
        <f>'Capital &amp; Debt'!N13</f>
        <v>12800.845441963567</v>
      </c>
      <c r="O12" s="40">
        <f>'Capital &amp; Debt'!O13</f>
        <v>13120.866578012656</v>
      </c>
      <c r="P12" s="40">
        <f>'Capital &amp; Debt'!P13</f>
        <v>13448.88824246297</v>
      </c>
      <c r="Q12" s="40">
        <f>'Capital &amp; Debt'!Q13</f>
        <v>13785.110448524545</v>
      </c>
      <c r="R12" s="40">
        <f>'Capital &amp; Debt'!R13</f>
        <v>14129.738209737658</v>
      </c>
      <c r="S12" s="40">
        <f>'Capital &amp; Debt'!S13</f>
        <v>14482.981664981096</v>
      </c>
      <c r="T12" s="40">
        <f>'Capital &amp; Debt'!T13</f>
        <v>14845.056206605623</v>
      </c>
      <c r="U12" s="40">
        <f>'Capital &amp; Debt'!U13</f>
        <v>15216.182611770761</v>
      </c>
      <c r="V12" s="40">
        <f>'Capital &amp; Debt'!V13</f>
        <v>15596.587177065028</v>
      </c>
      <c r="W12" s="40">
        <f>'Capital &amp; Debt'!W13</f>
        <v>15986.501856491654</v>
      </c>
      <c r="X12" s="40">
        <f>'Capital &amp; Debt'!X13</f>
        <v>16386.164402903942</v>
      </c>
      <c r="Y12" s="40">
        <f>'Capital &amp; Debt'!Y13</f>
        <v>16795.818512976541</v>
      </c>
      <c r="Z12" s="40">
        <f>'Capital &amp; Debt'!Z13</f>
        <v>17215.713975800951</v>
      </c>
      <c r="AA12" s="40">
        <f>'Capital &amp; Debt'!AA13</f>
        <v>17646.106825195973</v>
      </c>
      <c r="AB12" s="40">
        <f>'Capital &amp; Debt'!AB13</f>
        <v>18087.259495825871</v>
      </c>
      <c r="AC12" s="40">
        <f>'Capital &amp; Debt'!AC13</f>
        <v>18539.440983221517</v>
      </c>
      <c r="AD12" s="40">
        <f>'Capital &amp; Debt'!AD13</f>
        <v>19002.927007802053</v>
      </c>
      <c r="AE12" s="40">
        <f>'Capital &amp; Debt'!AE13</f>
        <v>19478.000182997101</v>
      </c>
      <c r="AF12" s="40">
        <f>'Capital &amp; Debt'!AF13</f>
        <v>19964.950187572027</v>
      </c>
      <c r="AG12" s="40">
        <f>'Capital &amp; Debt'!AG13</f>
        <v>20464.073942261326</v>
      </c>
      <c r="AH12" s="40">
        <f>'Capital &amp; Debt'!AH13</f>
        <v>20975.675790817859</v>
      </c>
      <c r="AI12" s="40">
        <f>'Capital &amp; Debt'!AI13</f>
        <v>21500.067685588303</v>
      </c>
      <c r="AJ12" s="40">
        <f>'Capital &amp; Debt'!AJ13</f>
        <v>22037.569377728007</v>
      </c>
      <c r="AK12" s="40">
        <f>'Capital &amp; Debt'!AK13</f>
        <v>22588.508612171205</v>
      </c>
      <c r="AL12" s="40">
        <f>'Capital &amp; Debt'!AL13</f>
        <v>23153.221327475483</v>
      </c>
      <c r="AM12" s="40">
        <f>'Capital &amp; Debt'!AM13</f>
        <v>23732.051860662366</v>
      </c>
      <c r="AN12" s="40">
        <f>'Capital &amp; Debt'!AN13</f>
        <v>24325.353157178924</v>
      </c>
      <c r="AO12" s="40">
        <f>'Capital &amp; Debt'!AO13</f>
        <v>24933.486986108393</v>
      </c>
      <c r="AP12" s="40">
        <f>'Capital &amp; Debt'!AP13</f>
        <v>25556.824160761105</v>
      </c>
      <c r="AQ12" s="40">
        <f>'Capital &amp; Debt'!AQ13</f>
        <v>26195.744764780131</v>
      </c>
      <c r="AR12" s="40">
        <f>'Capital &amp; Debt'!AR13</f>
        <v>26850.638383899633</v>
      </c>
      <c r="AS12" s="40">
        <f>'Capital &amp; Debt'!AS13</f>
        <v>27521.904343497117</v>
      </c>
      <c r="AT12" s="40">
        <f>'Capital &amp; Debt'!AT13</f>
        <v>28209.951952084546</v>
      </c>
      <c r="AU12" s="40">
        <f>'Capital &amp; Debt'!AU13</f>
        <v>28915.200750886659</v>
      </c>
      <c r="AV12" s="40">
        <f>'Capital &amp; Debt'!AV13</f>
        <v>29638.080769658824</v>
      </c>
      <c r="AW12" s="40">
        <f>'Capital &amp; Debt'!AW13</f>
        <v>30379.032788900295</v>
      </c>
      <c r="AX12" s="40">
        <f>'Capital &amp; Debt'!AX13</f>
        <v>31138.5086086228</v>
      </c>
      <c r="AY12" s="40">
        <f>'Capital &amp; Debt'!AY13</f>
        <v>31916.971323838367</v>
      </c>
      <c r="AZ12" s="40">
        <f>'Capital &amp; Debt'!AZ13</f>
        <v>32714.895606934326</v>
      </c>
      <c r="BA12" s="40">
        <f>'Capital &amp; Debt'!BA13</f>
        <v>33532.76799710768</v>
      </c>
    </row>
    <row r="13" spans="1:53" x14ac:dyDescent="0.3">
      <c r="A13" s="3" t="s">
        <v>223</v>
      </c>
      <c r="B13" s="3" t="s">
        <v>48</v>
      </c>
      <c r="C13" s="3"/>
      <c r="D13" s="41">
        <f t="shared" ref="D13:AI13" ca="1" si="0">SUM(D10:D12)</f>
        <v>270640</v>
      </c>
      <c r="E13" s="41">
        <f t="shared" ca="1" si="0"/>
        <v>145680.79999999999</v>
      </c>
      <c r="F13" s="41">
        <f t="shared" ca="1" si="0"/>
        <v>183516.32199999999</v>
      </c>
      <c r="G13" s="41">
        <f t="shared" ca="1" si="0"/>
        <v>223494.50461999996</v>
      </c>
      <c r="H13" s="41">
        <f t="shared" ca="1" si="0"/>
        <v>265710.80141544988</v>
      </c>
      <c r="I13" s="41">
        <f t="shared" ca="1" si="0"/>
        <v>310264.51832708449</v>
      </c>
      <c r="J13" s="41">
        <f t="shared" ca="1" si="0"/>
        <v>357258.96130217845</v>
      </c>
      <c r="K13" s="41">
        <f t="shared" ca="1" si="0"/>
        <v>406801.58940224192</v>
      </c>
      <c r="L13" s="41">
        <f t="shared" ca="1" si="0"/>
        <v>459004.17359716969</v>
      </c>
      <c r="M13" s="41">
        <f t="shared" ca="1" si="0"/>
        <v>513982.96145306621</v>
      </c>
      <c r="N13" s="41">
        <f t="shared" ca="1" si="0"/>
        <v>541841.30630240147</v>
      </c>
      <c r="O13" s="41">
        <f t="shared" ca="1" si="0"/>
        <v>555387.33895996155</v>
      </c>
      <c r="P13" s="41">
        <f t="shared" ca="1" si="0"/>
        <v>569272.02243396046</v>
      </c>
      <c r="Q13" s="41">
        <f t="shared" ca="1" si="0"/>
        <v>583503.82299480948</v>
      </c>
      <c r="R13" s="41">
        <f t="shared" ca="1" si="0"/>
        <v>598091.4185696796</v>
      </c>
      <c r="S13" s="41">
        <f t="shared" ca="1" si="0"/>
        <v>613043.70403392171</v>
      </c>
      <c r="T13" s="41">
        <f t="shared" ca="1" si="0"/>
        <v>628369.79663476953</v>
      </c>
      <c r="U13" s="41">
        <f t="shared" ca="1" si="0"/>
        <v>644079.04155063874</v>
      </c>
      <c r="V13" s="41">
        <f t="shared" ca="1" si="0"/>
        <v>660181.0175894046</v>
      </c>
      <c r="W13" s="41">
        <f t="shared" ca="1" si="0"/>
        <v>676685.54302913975</v>
      </c>
      <c r="X13" s="41">
        <f t="shared" ca="1" si="0"/>
        <v>693602.68160486815</v>
      </c>
      <c r="Y13" s="41">
        <f t="shared" ca="1" si="0"/>
        <v>710942.7486449898</v>
      </c>
      <c r="Z13" s="41">
        <f t="shared" ca="1" si="0"/>
        <v>751395.60052194679</v>
      </c>
      <c r="AA13" s="41">
        <f t="shared" ca="1" si="0"/>
        <v>770180.49053499545</v>
      </c>
      <c r="AB13" s="41">
        <f t="shared" ca="1" si="0"/>
        <v>789435.00279837032</v>
      </c>
      <c r="AC13" s="41">
        <f t="shared" ca="1" si="0"/>
        <v>809170.87786832941</v>
      </c>
      <c r="AD13" s="41">
        <f t="shared" ca="1" si="0"/>
        <v>855425.14887977997</v>
      </c>
      <c r="AE13" s="41">
        <f t="shared" ca="1" si="0"/>
        <v>876810.77760177432</v>
      </c>
      <c r="AF13" s="41">
        <f t="shared" ca="1" si="0"/>
        <v>898731.04704181873</v>
      </c>
      <c r="AG13" s="41">
        <f t="shared" ca="1" si="0"/>
        <v>950053.70487780217</v>
      </c>
      <c r="AH13" s="41">
        <f t="shared" ca="1" si="0"/>
        <v>973805.04749974713</v>
      </c>
      <c r="AI13" s="41">
        <f t="shared" ca="1" si="0"/>
        <v>1029059.7086809077</v>
      </c>
      <c r="AJ13" s="41">
        <f t="shared" ref="AJ13:BA13" ca="1" si="1">SUM(AJ10:AJ12)</f>
        <v>1086777.570116376</v>
      </c>
      <c r="AK13" s="41">
        <f t="shared" ca="1" si="1"/>
        <v>1113947.0093692853</v>
      </c>
      <c r="AL13" s="41">
        <f t="shared" ca="1" si="1"/>
        <v>1176065.6385589342</v>
      </c>
      <c r="AM13" s="41">
        <f t="shared" ca="1" si="1"/>
        <v>1240936.6818667639</v>
      </c>
      <c r="AN13" s="41">
        <f t="shared" ca="1" si="1"/>
        <v>1271960.0989134328</v>
      </c>
      <c r="AO13" s="41">
        <f t="shared" ca="1" si="1"/>
        <v>1341754.8119120665</v>
      </c>
      <c r="AP13" s="41">
        <f t="shared" ca="1" si="1"/>
        <v>1414624.2426040685</v>
      </c>
      <c r="AQ13" s="41">
        <f t="shared" ca="1" si="1"/>
        <v>1490691.8036771677</v>
      </c>
      <c r="AR13" s="41">
        <f t="shared" ca="1" si="1"/>
        <v>1570085.6222023736</v>
      </c>
      <c r="AS13" s="41">
        <f t="shared" ca="1" si="1"/>
        <v>1652938.7145108751</v>
      </c>
      <c r="AT13" s="41">
        <f t="shared" ca="1" si="1"/>
        <v>1739389.1674384591</v>
      </c>
      <c r="AU13" s="41">
        <f t="shared" ca="1" si="1"/>
        <v>1829580.3261665024</v>
      </c>
      <c r="AV13" s="41">
        <f t="shared" ca="1" si="1"/>
        <v>1923660.988896718</v>
      </c>
      <c r="AW13" s="41">
        <f t="shared" ca="1" si="1"/>
        <v>2021785.6086053513</v>
      </c>
      <c r="AX13" s="41">
        <f t="shared" ca="1" si="1"/>
        <v>2175898.755441952</v>
      </c>
      <c r="AY13" s="41">
        <f t="shared" ca="1" si="1"/>
        <v>2283892.9265046096</v>
      </c>
      <c r="AZ13" s="41">
        <f t="shared" ca="1" si="1"/>
        <v>2396462.8364200136</v>
      </c>
      <c r="BA13" s="41">
        <f t="shared" ca="1" si="1"/>
        <v>2513788.5346196527</v>
      </c>
    </row>
    <row r="14" spans="1:53" x14ac:dyDescent="0.3">
      <c r="A14" t="s">
        <v>224</v>
      </c>
      <c r="B14" t="s">
        <v>48</v>
      </c>
      <c r="D14" s="40">
        <f ca="1">-'Growth Engine'!D20</f>
        <v>-5650</v>
      </c>
      <c r="E14" s="40">
        <f ca="1">-'Growth Engine'!E20</f>
        <v>-12761.249999999998</v>
      </c>
      <c r="F14" s="40">
        <f ca="1">-'Growth Engine'!F20</f>
        <v>-20382.125</v>
      </c>
      <c r="G14" s="40">
        <f ca="1">-'Growth Engine'!G20</f>
        <v>-28376.067968749998</v>
      </c>
      <c r="H14" s="40">
        <f ca="1">-'Growth Engine'!H20</f>
        <v>-29582.185468749991</v>
      </c>
      <c r="I14" s="40">
        <f ca="1">-'Growth Engine'!I20</f>
        <v>-30830.873801269518</v>
      </c>
      <c r="J14" s="40">
        <f ca="1">-'Growth Engine'!J20</f>
        <v>-32123.507684497057</v>
      </c>
      <c r="K14" s="40">
        <f ca="1">-'Growth Engine'!K20</f>
        <v>-33461.503965760181</v>
      </c>
      <c r="L14" s="40">
        <f ca="1">-'Growth Engine'!L20</f>
        <v>-34846.322868783638</v>
      </c>
      <c r="M14" s="40">
        <f ca="1">-'Growth Engine'!M20</f>
        <v>-36279.469276979675</v>
      </c>
      <c r="N14" s="40">
        <f ca="1">-'Growth Engine'!N20</f>
        <v>-37378.468690533613</v>
      </c>
      <c r="O14" s="40">
        <f ca="1">-'Growth Engine'!O20</f>
        <v>-38312.930407796957</v>
      </c>
      <c r="P14" s="40">
        <f ca="1">-'Growth Engine'!P20</f>
        <v>-39270.75366799187</v>
      </c>
      <c r="Q14" s="40">
        <f ca="1">-'Growth Engine'!Q20</f>
        <v>-40252.522509691669</v>
      </c>
      <c r="R14" s="40">
        <f ca="1">-'Growth Engine'!R20</f>
        <v>-41258.835572433956</v>
      </c>
      <c r="S14" s="40">
        <f ca="1">-'Growth Engine'!S20</f>
        <v>-42290.306461744804</v>
      </c>
      <c r="T14" s="40">
        <f ca="1">-'Growth Engine'!T20</f>
        <v>-43347.564123288415</v>
      </c>
      <c r="U14" s="40">
        <f ca="1">-'Growth Engine'!U20</f>
        <v>-44431.253226370616</v>
      </c>
      <c r="V14" s="40">
        <f ca="1">-'Growth Engine'!V20</f>
        <v>-45542.034557029889</v>
      </c>
      <c r="W14" s="40">
        <f ca="1">-'Growth Engine'!W20</f>
        <v>-46680.585420955627</v>
      </c>
      <c r="X14" s="40">
        <f ca="1">-'Growth Engine'!X20</f>
        <v>-47847.60005647951</v>
      </c>
      <c r="Y14" s="40">
        <f ca="1">-'Growth Engine'!Y20</f>
        <v>-49043.7900578915</v>
      </c>
      <c r="Z14" s="40">
        <f ca="1">-'Growth Engine'!Z20</f>
        <v>-50528.120518975789</v>
      </c>
      <c r="AA14" s="40">
        <f ca="1">-'Growth Engine'!AA20</f>
        <v>-51791.323531950176</v>
      </c>
      <c r="AB14" s="40">
        <f ca="1">-'Growth Engine'!AB20</f>
        <v>-53086.106620248931</v>
      </c>
      <c r="AC14" s="40">
        <f ca="1">-'Growth Engine'!AC20</f>
        <v>-54413.25928575515</v>
      </c>
      <c r="AD14" s="40">
        <f ca="1">-'Growth Engine'!AD20</f>
        <v>-56058.634673016051</v>
      </c>
      <c r="AE14" s="40">
        <f ca="1">-'Growth Engine'!AE20</f>
        <v>-57460.100539841449</v>
      </c>
      <c r="AF14" s="40">
        <f ca="1">-'Growth Engine'!AF20</f>
        <v>-58896.60305333748</v>
      </c>
      <c r="AG14" s="40">
        <f ca="1">-'Growth Engine'!AG20</f>
        <v>-60675.979238804823</v>
      </c>
      <c r="AH14" s="40">
        <f ca="1">-'Growth Engine'!AH20</f>
        <v>-62192.878719774955</v>
      </c>
      <c r="AI14" s="40">
        <f ca="1">-'Growth Engine'!AI20</f>
        <v>-64070.201703053128</v>
      </c>
      <c r="AJ14" s="40">
        <f ca="1">-'Growth Engine'!AJ20</f>
        <v>-66002.520286295359</v>
      </c>
      <c r="AK14" s="40">
        <f ca="1">-'Growth Engine'!AK20</f>
        <v>-67652.583293452757</v>
      </c>
      <c r="AL14" s="40">
        <f ca="1">-'Growth Engine'!AL20</f>
        <v>-69691.196195701195</v>
      </c>
      <c r="AM14" s="40">
        <f ca="1">-'Growth Engine'!AM20</f>
        <v>-71789.456878503654</v>
      </c>
      <c r="AN14" s="40">
        <f ca="1">-'Growth Engine'!AN20</f>
        <v>-73584.193300466242</v>
      </c>
      <c r="AO14" s="40">
        <f ca="1">-'Growth Engine'!AO20</f>
        <v>-75797.800437769518</v>
      </c>
      <c r="AP14" s="40">
        <f ca="1">-'Growth Engine'!AP20</f>
        <v>-78076.097811125175</v>
      </c>
      <c r="AQ14" s="40">
        <f ca="1">-'Growth Engine'!AQ20</f>
        <v>-80420.936427875</v>
      </c>
      <c r="AR14" s="40">
        <f ca="1">-'Growth Engine'!AR20</f>
        <v>-82834.219414330379</v>
      </c>
      <c r="AS14" s="40">
        <f ca="1">-'Growth Engine'!AS20</f>
        <v>-85317.903464841045</v>
      </c>
      <c r="AT14" s="40">
        <f ca="1">-'Growth Engine'!AT20</f>
        <v>-87874.000330743351</v>
      </c>
      <c r="AU14" s="40">
        <f ca="1">-'Growth Engine'!AU20</f>
        <v>-90504.578350275246</v>
      </c>
      <c r="AV14" s="40">
        <f ca="1">-'Growth Engine'!AV20</f>
        <v>-93211.764020577</v>
      </c>
      <c r="AW14" s="40">
        <f ca="1">-'Growth Engine'!AW20</f>
        <v>-95997.743612924925</v>
      </c>
      <c r="AX14" s="40">
        <f ca="1">-'Growth Engine'!AX20</f>
        <v>-99331.84246150672</v>
      </c>
      <c r="AY14" s="40">
        <f ca="1">-'Growth Engine'!AY20</f>
        <v>-102293.89309290197</v>
      </c>
      <c r="AZ14" s="40">
        <f ca="1">-'Growth Engine'!AZ20</f>
        <v>-105341.96385432853</v>
      </c>
      <c r="BA14" s="40">
        <f ca="1">-'Growth Engine'!BA20</f>
        <v>-108478.50447064334</v>
      </c>
    </row>
    <row r="15" spans="1:53" x14ac:dyDescent="0.3">
      <c r="A15" t="s">
        <v>225</v>
      </c>
      <c r="B15" t="s">
        <v>48</v>
      </c>
      <c r="D15" s="40">
        <f ca="1">-'Asset Register'!D127</f>
        <v>-8300</v>
      </c>
      <c r="E15" s="40">
        <f ca="1">-'Asset Register'!E127</f>
        <v>-17015</v>
      </c>
      <c r="F15" s="40">
        <f ca="1">-'Asset Register'!F127</f>
        <v>-26160.5625</v>
      </c>
      <c r="G15" s="40">
        <f ca="1">-'Asset Register'!G127</f>
        <v>-26814.576562499999</v>
      </c>
      <c r="H15" s="40">
        <f ca="1">-'Asset Register'!H127</f>
        <v>-27484.940976562495</v>
      </c>
      <c r="I15" s="40">
        <f ca="1">-'Asset Register'!I127</f>
        <v>-28172.064500976554</v>
      </c>
      <c r="J15" s="40">
        <f ca="1">-'Asset Register'!J127</f>
        <v>-28876.366113500968</v>
      </c>
      <c r="K15" s="40">
        <f ca="1">-'Asset Register'!K127</f>
        <v>-29598.275266338482</v>
      </c>
      <c r="L15" s="40">
        <f ca="1">-'Asset Register'!L127</f>
        <v>-30338.232147996947</v>
      </c>
      <c r="M15" s="40">
        <f ca="1">-'Asset Register'!M127</f>
        <v>-31096.687951696866</v>
      </c>
      <c r="N15" s="40">
        <f ca="1">-'Asset Register'!N127</f>
        <v>-10624.701716829761</v>
      </c>
      <c r="O15" s="40">
        <f ca="1">-'Asset Register'!O127</f>
        <v>0</v>
      </c>
      <c r="P15" s="40">
        <f ca="1">-'Asset Register'!P127</f>
        <v>0</v>
      </c>
      <c r="Q15" s="40">
        <f ca="1">-'Asset Register'!Q127</f>
        <v>0</v>
      </c>
      <c r="R15" s="40">
        <f ca="1">-'Asset Register'!R127</f>
        <v>0</v>
      </c>
      <c r="S15" s="40">
        <f ca="1">-'Asset Register'!S127</f>
        <v>0</v>
      </c>
      <c r="T15" s="40">
        <f ca="1">-'Asset Register'!T127</f>
        <v>0</v>
      </c>
      <c r="U15" s="40">
        <f ca="1">-'Asset Register'!U127</f>
        <v>0</v>
      </c>
      <c r="V15" s="40">
        <f ca="1">-'Asset Register'!V127</f>
        <v>0</v>
      </c>
      <c r="W15" s="40">
        <f ca="1">-'Asset Register'!W127</f>
        <v>0</v>
      </c>
      <c r="X15" s="40">
        <f ca="1">-'Asset Register'!X127</f>
        <v>0</v>
      </c>
      <c r="Y15" s="40">
        <f ca="1">-'Asset Register'!Y127</f>
        <v>0</v>
      </c>
      <c r="Z15" s="40">
        <f ca="1">-'Asset Register'!Z127</f>
        <v>-14289.042599914788</v>
      </c>
      <c r="AA15" s="40">
        <f ca="1">-'Asset Register'!AA127</f>
        <v>0</v>
      </c>
      <c r="AB15" s="40">
        <f ca="1">-'Asset Register'!AB127</f>
        <v>0</v>
      </c>
      <c r="AC15" s="40">
        <f ca="1">-'Asset Register'!AC127</f>
        <v>0</v>
      </c>
      <c r="AD15" s="40">
        <f ca="1">-'Asset Register'!AD127</f>
        <v>-15772.429416475705</v>
      </c>
      <c r="AE15" s="40">
        <f ca="1">-'Asset Register'!AE127</f>
        <v>0</v>
      </c>
      <c r="AF15" s="40">
        <f ca="1">-'Asset Register'!AF127</f>
        <v>0</v>
      </c>
      <c r="AG15" s="40">
        <f ca="1">-'Asset Register'!AG127</f>
        <v>-16985.181372076899</v>
      </c>
      <c r="AH15" s="40">
        <f ca="1">-'Asset Register'!AH127</f>
        <v>0</v>
      </c>
      <c r="AI15" s="40">
        <f ca="1">-'Asset Register'!AI127</f>
        <v>-17845.056179038293</v>
      </c>
      <c r="AJ15" s="40">
        <f ca="1">-'Asset Register'!AJ127</f>
        <v>-18291.182583514244</v>
      </c>
      <c r="AK15" s="40">
        <f ca="1">-'Asset Register'!AK127</f>
        <v>0</v>
      </c>
      <c r="AL15" s="40">
        <f ca="1">-'Asset Register'!AL127</f>
        <v>-19217.173701804652</v>
      </c>
      <c r="AM15" s="40">
        <f ca="1">-'Asset Register'!AM127</f>
        <v>-19697.603044349766</v>
      </c>
      <c r="AN15" s="40">
        <f ca="1">-'Asset Register'!AN127</f>
        <v>0</v>
      </c>
      <c r="AO15" s="40">
        <f ca="1">-'Asset Register'!AO127</f>
        <v>-20694.794198469965</v>
      </c>
      <c r="AP15" s="40">
        <f ca="1">-'Asset Register'!AP127</f>
        <v>-21212.164053431719</v>
      </c>
      <c r="AQ15" s="40">
        <f ca="1">-'Asset Register'!AQ127</f>
        <v>-21742.468154767506</v>
      </c>
      <c r="AR15" s="40">
        <f ca="1">-'Asset Register'!AR127</f>
        <v>-22286.029858636695</v>
      </c>
      <c r="AS15" s="40">
        <f ca="1">-'Asset Register'!AS127</f>
        <v>-22843.180605102607</v>
      </c>
      <c r="AT15" s="40">
        <f ca="1">-'Asset Register'!AT127</f>
        <v>-23414.260120230174</v>
      </c>
      <c r="AU15" s="40">
        <f ca="1">-'Asset Register'!AU127</f>
        <v>-23999.616623235925</v>
      </c>
      <c r="AV15" s="40">
        <f ca="1">-'Asset Register'!AV127</f>
        <v>-24599.607038816823</v>
      </c>
      <c r="AW15" s="40">
        <f ca="1">-'Asset Register'!AW127</f>
        <v>-25214.597214787245</v>
      </c>
      <c r="AX15" s="40">
        <f ca="1">-'Asset Register'!AX127</f>
        <v>-51689.924290313851</v>
      </c>
      <c r="AY15" s="40">
        <f ca="1">-'Asset Register'!AY127</f>
        <v>-26491.086198785844</v>
      </c>
      <c r="AZ15" s="40">
        <f ca="1">-'Asset Register'!AZ127</f>
        <v>-27153.363353755492</v>
      </c>
      <c r="BA15" s="40">
        <f ca="1">-'Asset Register'!BA127</f>
        <v>-27832.197437599374</v>
      </c>
    </row>
    <row r="16" spans="1:53" x14ac:dyDescent="0.3">
      <c r="A16" t="s">
        <v>226</v>
      </c>
      <c r="B16" t="s">
        <v>48</v>
      </c>
      <c r="D16" s="40">
        <f ca="1">'Asset Register'!D134</f>
        <v>-700</v>
      </c>
      <c r="E16" s="40">
        <f ca="1">'Asset Register'!E134</f>
        <v>-2152.5</v>
      </c>
      <c r="F16" s="40">
        <f ca="1">'Asset Register'!F134</f>
        <v>-4412.625</v>
      </c>
      <c r="G16" s="40">
        <f ca="1">'Asset Register'!G134</f>
        <v>-6784.4109374999989</v>
      </c>
      <c r="H16" s="40">
        <f ca="1">'Asset Register'!H134</f>
        <v>-9272.0282812499972</v>
      </c>
      <c r="I16" s="40">
        <f ca="1">'Asset Register'!I134</f>
        <v>-11879.786235351559</v>
      </c>
      <c r="J16" s="40">
        <f ca="1">'Asset Register'!J134</f>
        <v>-14612.137069482416</v>
      </c>
      <c r="K16" s="40">
        <f ca="1">'Asset Register'!K134</f>
        <v>-17473.680578922722</v>
      </c>
      <c r="L16" s="40">
        <f ca="1">'Asset Register'!L134</f>
        <v>-20469.168678166614</v>
      </c>
      <c r="M16" s="40">
        <f ca="1">'Asset Register'!M134</f>
        <v>-23603.510132010873</v>
      </c>
      <c r="N16" s="40">
        <f ca="1">'Asset Register'!N134</f>
        <v>-25089.65706624859</v>
      </c>
      <c r="O16" s="40">
        <f ca="1">'Asset Register'!O134</f>
        <v>-25716.898492904806</v>
      </c>
      <c r="P16" s="40">
        <f ca="1">'Asset Register'!P134</f>
        <v>-26359.820955227424</v>
      </c>
      <c r="Q16" s="40">
        <f ca="1">'Asset Register'!Q134</f>
        <v>-27018.816479108107</v>
      </c>
      <c r="R16" s="40">
        <f ca="1">'Asset Register'!R134</f>
        <v>-27694.286891085809</v>
      </c>
      <c r="S16" s="40">
        <f ca="1">'Asset Register'!S134</f>
        <v>-28386.64406336295</v>
      </c>
      <c r="T16" s="40">
        <f ca="1">'Asset Register'!T134</f>
        <v>-29096.310164947019</v>
      </c>
      <c r="U16" s="40">
        <f ca="1">'Asset Register'!U134</f>
        <v>-29823.717919070692</v>
      </c>
      <c r="V16" s="40">
        <f ca="1">'Asset Register'!V134</f>
        <v>-30569.310867047458</v>
      </c>
      <c r="W16" s="40">
        <f ca="1">'Asset Register'!W134</f>
        <v>-31333.54363872364</v>
      </c>
      <c r="X16" s="40">
        <f ca="1">'Asset Register'!X134</f>
        <v>-32116.882229691728</v>
      </c>
      <c r="Y16" s="40">
        <f ca="1">'Asset Register'!Y134</f>
        <v>-32919.804285434016</v>
      </c>
      <c r="Z16" s="40">
        <f ca="1">'Asset Register'!Z134</f>
        <v>-34947.89937087593</v>
      </c>
      <c r="AA16" s="40">
        <f ca="1">'Asset Register'!AA134</f>
        <v>-35821.596855147822</v>
      </c>
      <c r="AB16" s="40">
        <f ca="1">'Asset Register'!AB134</f>
        <v>-36717.136776526517</v>
      </c>
      <c r="AC16" s="40">
        <f ca="1">'Asset Register'!AC134</f>
        <v>-37635.065195939678</v>
      </c>
      <c r="AD16" s="40">
        <f ca="1">'Asset Register'!AD134</f>
        <v>-39906.146716384312</v>
      </c>
      <c r="AE16" s="40">
        <f ca="1">'Asset Register'!AE134</f>
        <v>-40903.800384293914</v>
      </c>
      <c r="AF16" s="40">
        <f ca="1">'Asset Register'!AF134</f>
        <v>-41926.395393901257</v>
      </c>
      <c r="AG16" s="40">
        <f ca="1">'Asset Register'!AG134</f>
        <v>-44407.040454707072</v>
      </c>
      <c r="AH16" s="40">
        <f ca="1">'Asset Register'!AH134</f>
        <v>-45517.216466074751</v>
      </c>
      <c r="AI16" s="40">
        <f ca="1">'Asset Register'!AI134</f>
        <v>-48160.151615717798</v>
      </c>
      <c r="AJ16" s="40">
        <f ca="1">'Asset Register'!AJ134</f>
        <v>-50906.78526255169</v>
      </c>
      <c r="AK16" s="40">
        <f ca="1">'Asset Register'!AK134</f>
        <v>-52179.454894115486</v>
      </c>
      <c r="AL16" s="40">
        <f ca="1">'Asset Register'!AL134</f>
        <v>-55104.66675939165</v>
      </c>
      <c r="AM16" s="40">
        <f ca="1">'Asset Register'!AM134</f>
        <v>-58143.5270586228</v>
      </c>
      <c r="AN16" s="40">
        <f ca="1">'Asset Register'!AN134</f>
        <v>-59597.115235088364</v>
      </c>
      <c r="AO16" s="40">
        <f ca="1">'Asset Register'!AO134</f>
        <v>-62832.387204993152</v>
      </c>
      <c r="AP16" s="40">
        <f ca="1">'Asset Register'!AP134</f>
        <v>-66192.174576371268</v>
      </c>
      <c r="AQ16" s="40">
        <f ca="1">'Asset Register'!AQ134</f>
        <v>-69680.681074315144</v>
      </c>
      <c r="AR16" s="40">
        <f ca="1">'Asset Register'!AR134</f>
        <v>-73302.242788046002</v>
      </c>
      <c r="AS16" s="40">
        <f ca="1">'Asset Register'!AS134</f>
        <v>-77061.332161791928</v>
      </c>
      <c r="AT16" s="40">
        <f ca="1">'Asset Register'!AT134</f>
        <v>-80962.562102482654</v>
      </c>
      <c r="AU16" s="40">
        <f ca="1">'Asset Register'!AU134</f>
        <v>-85010.690207606778</v>
      </c>
      <c r="AV16" s="40">
        <f ca="1">'Asset Register'!AV134</f>
        <v>-89210.623116673058</v>
      </c>
      <c r="AW16" s="40">
        <f ca="1">'Asset Register'!AW134</f>
        <v>-93567.420989812905</v>
      </c>
      <c r="AX16" s="40">
        <f ca="1">'Asset Register'!AX134</f>
        <v>-100265.99771976541</v>
      </c>
      <c r="AY16" s="40">
        <f ca="1">'Asset Register'!AY134</f>
        <v>-105006.83565542824</v>
      </c>
      <c r="AZ16" s="40">
        <f ca="1">'Asset Register'!AZ134</f>
        <v>-109922.04923929933</v>
      </c>
      <c r="BA16" s="40">
        <f ca="1">'Asset Register'!BA134</f>
        <v>-115017.39423007934</v>
      </c>
    </row>
    <row r="17" spans="1:53" x14ac:dyDescent="0.3">
      <c r="A17" t="s">
        <v>227</v>
      </c>
      <c r="B17" t="s">
        <v>48</v>
      </c>
      <c r="D17" s="40">
        <f>'Capital &amp; Debt'!D25</f>
        <v>0</v>
      </c>
      <c r="E17" s="40">
        <f ca="1">'Capital &amp; Debt'!E25</f>
        <v>-3845.3046875</v>
      </c>
      <c r="F17" s="40">
        <f ca="1">'Capital &amp; Debt'!F25</f>
        <v>-6428.23491760254</v>
      </c>
      <c r="G17" s="40">
        <f ca="1">'Capital &amp; Debt'!G25</f>
        <v>-9890.1626954089625</v>
      </c>
      <c r="H17" s="40">
        <f ca="1">'Capital &amp; Debt'!H25</f>
        <v>-9739.2568675338498</v>
      </c>
      <c r="I17" s="40">
        <f ca="1">'Capital &amp; Debt'!I25</f>
        <v>-10859.488051409404</v>
      </c>
      <c r="J17" s="40">
        <f ca="1">'Capital &amp; Debt'!J25</f>
        <v>-11563.817469269137</v>
      </c>
      <c r="K17" s="40">
        <f ca="1">'Capital &amp; Debt'!K25</f>
        <v>-12551.210765479185</v>
      </c>
      <c r="L17" s="40">
        <f ca="1">'Capital &amp; Debt'!L25</f>
        <v>-12948.788766064821</v>
      </c>
      <c r="M17" s="40">
        <f ca="1">'Capital &amp; Debt'!M25</f>
        <v>-13998.004545912321</v>
      </c>
      <c r="N17" s="40">
        <f ca="1">'Capital &amp; Debt'!N25</f>
        <v>-15076.131238546421</v>
      </c>
      <c r="O17" s="40">
        <f ca="1">'Capital &amp; Debt'!O25</f>
        <v>-5218.3393216708682</v>
      </c>
      <c r="P17" s="40">
        <f ca="1">'Capital &amp; Debt'!P25</f>
        <v>-6040.0936674682198</v>
      </c>
      <c r="Q17" s="40">
        <f ca="1">'Capital &amp; Debt'!Q25</f>
        <v>-6451.6284685297869</v>
      </c>
      <c r="R17" s="40">
        <f ca="1">'Capital &amp; Debt'!R25</f>
        <v>-6878.3522309191994</v>
      </c>
      <c r="S17" s="40">
        <f ca="1">'Capital &amp; Debt'!S25</f>
        <v>-7328.2513791125275</v>
      </c>
      <c r="T17" s="40">
        <f ca="1">'Capital &amp; Debt'!T25</f>
        <v>-7801.5744687379811</v>
      </c>
      <c r="U17" s="40">
        <f ca="1">'Capital &amp; Debt'!U25</f>
        <v>-8079.574915035395</v>
      </c>
      <c r="V17" s="40">
        <f ca="1">'Capital &amp; Debt'!V25</f>
        <v>-8378.4681766235281</v>
      </c>
      <c r="W17" s="40">
        <f ca="1">'Capital &amp; Debt'!W25</f>
        <v>-8687.5091352560103</v>
      </c>
      <c r="X17" s="40">
        <f ca="1">'Capital &amp; Debt'!X25</f>
        <v>-9007.0444150277654</v>
      </c>
      <c r="Y17" s="40">
        <f ca="1">'Capital &amp; Debt'!Y25</f>
        <v>-9337.4478405956179</v>
      </c>
      <c r="Z17" s="40">
        <f ca="1">'Capital &amp; Debt'!Z25</f>
        <v>-9683.4862801868712</v>
      </c>
      <c r="AA17" s="40">
        <f ca="1">'Capital &amp; Debt'!AA25</f>
        <v>-10127.827460850962</v>
      </c>
      <c r="AB17" s="40">
        <f ca="1">'Capital &amp; Debt'!AB25</f>
        <v>-10943.259261821351</v>
      </c>
      <c r="AC17" s="40">
        <f ca="1">'Capital &amp; Debt'!AC25</f>
        <v>-11336.622891234794</v>
      </c>
      <c r="AD17" s="40">
        <f ca="1">'Capital &amp; Debt'!AD25</f>
        <v>-12251.079799154519</v>
      </c>
      <c r="AE17" s="40">
        <f ca="1">'Capital &amp; Debt'!AE25</f>
        <v>-13275.543076263042</v>
      </c>
      <c r="AF17" s="40">
        <f ca="1">'Capital &amp; Debt'!AF25</f>
        <v>-14704.740613715165</v>
      </c>
      <c r="AG17" s="40">
        <f ca="1">'Capital &amp; Debt'!AG25</f>
        <v>-15642.672086454091</v>
      </c>
      <c r="AH17" s="40">
        <f ca="1">'Capital &amp; Debt'!AH25</f>
        <v>-16025.952113522822</v>
      </c>
      <c r="AI17" s="40">
        <f ca="1">'Capital &amp; Debt'!AI25</f>
        <v>-16761.786349341601</v>
      </c>
      <c r="AJ17" s="40">
        <f ca="1">'Capital &amp; Debt'!AJ25</f>
        <v>-17617.898067469428</v>
      </c>
      <c r="AK17" s="40">
        <f ca="1">'Capital &amp; Debt'!AK25</f>
        <v>-19324.631360086332</v>
      </c>
      <c r="AL17" s="40">
        <f ca="1">'Capital &amp; Debt'!AL25</f>
        <v>-20945.389358956974</v>
      </c>
      <c r="AM17" s="40">
        <f ca="1">'Capital &amp; Debt'!AM25</f>
        <v>-22164.631555625052</v>
      </c>
      <c r="AN17" s="40">
        <f ca="1">'Capital &amp; Debt'!AN25</f>
        <v>-24051.036581471752</v>
      </c>
      <c r="AO17" s="40">
        <f ca="1">'Capital &amp; Debt'!AO25</f>
        <v>-25821.189157407032</v>
      </c>
      <c r="AP17" s="40">
        <f ca="1">'Capital &amp; Debt'!AP25</f>
        <v>-27161.10722802682</v>
      </c>
      <c r="AQ17" s="40">
        <f ca="1">'Capital &amp; Debt'!AQ25</f>
        <v>-29261.103868837516</v>
      </c>
      <c r="AR17" s="40">
        <f ca="1">'Capital &amp; Debt'!AR25</f>
        <v>-31450.843280762667</v>
      </c>
      <c r="AS17" s="40">
        <f ca="1">'Capital &amp; Debt'!AS25</f>
        <v>-33729.099303705152</v>
      </c>
      <c r="AT17" s="40">
        <f ca="1">'Capital &amp; Debt'!AT25</f>
        <v>-35262.43994010568</v>
      </c>
      <c r="AU17" s="40">
        <f ca="1">'Capital &amp; Debt'!AU25</f>
        <v>-36144.000938608326</v>
      </c>
      <c r="AV17" s="40">
        <f ca="1">'Capital &amp; Debt'!AV25</f>
        <v>-37047.600962073535</v>
      </c>
      <c r="AW17" s="40">
        <f ca="1">'Capital &amp; Debt'!AW25</f>
        <v>-37973.790986125372</v>
      </c>
      <c r="AX17" s="40">
        <f ca="1">'Capital &amp; Debt'!AX25</f>
        <v>-38923.135760778496</v>
      </c>
      <c r="AY17" s="40">
        <f ca="1">'Capital &amp; Debt'!AY25</f>
        <v>-39896.214154797963</v>
      </c>
      <c r="AZ17" s="40">
        <f ca="1">'Capital &amp; Debt'!AZ25</f>
        <v>-40893.619508667907</v>
      </c>
      <c r="BA17" s="40">
        <f ca="1">'Capital &amp; Debt'!BA25</f>
        <v>-41915.959996384598</v>
      </c>
    </row>
    <row r="18" spans="1:53" x14ac:dyDescent="0.3">
      <c r="A18" s="3" t="s">
        <v>228</v>
      </c>
      <c r="B18" s="3" t="s">
        <v>48</v>
      </c>
      <c r="C18" s="3"/>
      <c r="D18" s="41">
        <f t="shared" ref="D18:AI18" ca="1" si="2">SUM(D14:D17)</f>
        <v>-14650</v>
      </c>
      <c r="E18" s="41">
        <f t="shared" ca="1" si="2"/>
        <v>-35774.0546875</v>
      </c>
      <c r="F18" s="41">
        <f t="shared" ca="1" si="2"/>
        <v>-57383.547417602538</v>
      </c>
      <c r="G18" s="41">
        <f t="shared" ca="1" si="2"/>
        <v>-71865.218164158956</v>
      </c>
      <c r="H18" s="41">
        <f t="shared" ca="1" si="2"/>
        <v>-76078.411594096338</v>
      </c>
      <c r="I18" s="41">
        <f t="shared" ca="1" si="2"/>
        <v>-81742.212589007017</v>
      </c>
      <c r="J18" s="41">
        <f t="shared" ca="1" si="2"/>
        <v>-87175.828336749575</v>
      </c>
      <c r="K18" s="41">
        <f t="shared" ca="1" si="2"/>
        <v>-93084.670576500575</v>
      </c>
      <c r="L18" s="41">
        <f t="shared" ca="1" si="2"/>
        <v>-98602.512461012026</v>
      </c>
      <c r="M18" s="41">
        <f t="shared" ca="1" si="2"/>
        <v>-104977.67190659975</v>
      </c>
      <c r="N18" s="41">
        <f t="shared" ca="1" si="2"/>
        <v>-88168.95871215839</v>
      </c>
      <c r="O18" s="41">
        <f t="shared" ca="1" si="2"/>
        <v>-69248.168222372624</v>
      </c>
      <c r="P18" s="41">
        <f t="shared" ca="1" si="2"/>
        <v>-71670.668290687507</v>
      </c>
      <c r="Q18" s="41">
        <f t="shared" ca="1" si="2"/>
        <v>-73722.967457329563</v>
      </c>
      <c r="R18" s="41">
        <f t="shared" ca="1" si="2"/>
        <v>-75831.474694438977</v>
      </c>
      <c r="S18" s="41">
        <f t="shared" ca="1" si="2"/>
        <v>-78005.201904220274</v>
      </c>
      <c r="T18" s="41">
        <f t="shared" ca="1" si="2"/>
        <v>-80245.448756973419</v>
      </c>
      <c r="U18" s="41">
        <f t="shared" ca="1" si="2"/>
        <v>-82334.546060476699</v>
      </c>
      <c r="V18" s="41">
        <f t="shared" ca="1" si="2"/>
        <v>-84489.813600700872</v>
      </c>
      <c r="W18" s="41">
        <f t="shared" ca="1" si="2"/>
        <v>-86701.63819493528</v>
      </c>
      <c r="X18" s="41">
        <f t="shared" ca="1" si="2"/>
        <v>-88971.526701198993</v>
      </c>
      <c r="Y18" s="41">
        <f t="shared" ca="1" si="2"/>
        <v>-91301.042183921134</v>
      </c>
      <c r="Z18" s="41">
        <f t="shared" ca="1" si="2"/>
        <v>-109448.54876995338</v>
      </c>
      <c r="AA18" s="41">
        <f t="shared" ca="1" si="2"/>
        <v>-97740.747847948966</v>
      </c>
      <c r="AB18" s="41">
        <f t="shared" ca="1" si="2"/>
        <v>-100746.5026585968</v>
      </c>
      <c r="AC18" s="41">
        <f t="shared" ca="1" si="2"/>
        <v>-103384.94737292963</v>
      </c>
      <c r="AD18" s="41">
        <f t="shared" ca="1" si="2"/>
        <v>-123988.29060503058</v>
      </c>
      <c r="AE18" s="41">
        <f t="shared" ca="1" si="2"/>
        <v>-111639.44400039841</v>
      </c>
      <c r="AF18" s="41">
        <f t="shared" ca="1" si="2"/>
        <v>-115527.7390609539</v>
      </c>
      <c r="AG18" s="41">
        <f t="shared" ca="1" si="2"/>
        <v>-137710.87315204288</v>
      </c>
      <c r="AH18" s="41">
        <f t="shared" ca="1" si="2"/>
        <v>-123736.04729937253</v>
      </c>
      <c r="AI18" s="41">
        <f t="shared" ca="1" si="2"/>
        <v>-146837.19584715081</v>
      </c>
      <c r="AJ18" s="41">
        <f t="shared" ref="AJ18:BA18" ca="1" si="3">SUM(AJ14:AJ17)</f>
        <v>-152818.38619983071</v>
      </c>
      <c r="AK18" s="41">
        <f t="shared" ca="1" si="3"/>
        <v>-139156.66954765457</v>
      </c>
      <c r="AL18" s="41">
        <f t="shared" ca="1" si="3"/>
        <v>-164958.42601585449</v>
      </c>
      <c r="AM18" s="41">
        <f t="shared" ca="1" si="3"/>
        <v>-171795.21853710129</v>
      </c>
      <c r="AN18" s="41">
        <f t="shared" ca="1" si="3"/>
        <v>-157232.34511702636</v>
      </c>
      <c r="AO18" s="41">
        <f t="shared" ca="1" si="3"/>
        <v>-185146.17099863966</v>
      </c>
      <c r="AP18" s="41">
        <f t="shared" ca="1" si="3"/>
        <v>-192641.54366895498</v>
      </c>
      <c r="AQ18" s="41">
        <f t="shared" ca="1" si="3"/>
        <v>-201105.18952579517</v>
      </c>
      <c r="AR18" s="41">
        <f t="shared" ca="1" si="3"/>
        <v>-209873.33534177573</v>
      </c>
      <c r="AS18" s="41">
        <f t="shared" ca="1" si="3"/>
        <v>-218951.51553544073</v>
      </c>
      <c r="AT18" s="41">
        <f t="shared" ca="1" si="3"/>
        <v>-227513.26249356187</v>
      </c>
      <c r="AU18" s="41">
        <f t="shared" ca="1" si="3"/>
        <v>-235658.88611972629</v>
      </c>
      <c r="AV18" s="41">
        <f t="shared" ca="1" si="3"/>
        <v>-244069.59513814043</v>
      </c>
      <c r="AW18" s="41">
        <f t="shared" ca="1" si="3"/>
        <v>-252753.55280365044</v>
      </c>
      <c r="AX18" s="41">
        <f t="shared" ca="1" si="3"/>
        <v>-290210.90023236448</v>
      </c>
      <c r="AY18" s="41">
        <f t="shared" ca="1" si="3"/>
        <v>-273688.02910191403</v>
      </c>
      <c r="AZ18" s="41">
        <f t="shared" ca="1" si="3"/>
        <v>-283310.99595605128</v>
      </c>
      <c r="BA18" s="41">
        <f t="shared" ca="1" si="3"/>
        <v>-293244.05613470665</v>
      </c>
    </row>
    <row r="19" spans="1:53" x14ac:dyDescent="0.3">
      <c r="A19" s="3" t="s">
        <v>229</v>
      </c>
      <c r="B19" s="3" t="s">
        <v>48</v>
      </c>
      <c r="C19" s="3"/>
      <c r="D19" s="41">
        <f t="shared" ref="D19:AI19" ca="1" si="4">D13+D18</f>
        <v>255990</v>
      </c>
      <c r="E19" s="41">
        <f t="shared" ca="1" si="4"/>
        <v>109906.74531249999</v>
      </c>
      <c r="F19" s="41">
        <f t="shared" ca="1" si="4"/>
        <v>126132.77458239745</v>
      </c>
      <c r="G19" s="41">
        <f t="shared" ca="1" si="4"/>
        <v>151629.28645584101</v>
      </c>
      <c r="H19" s="41">
        <f t="shared" ca="1" si="4"/>
        <v>189632.38982135354</v>
      </c>
      <c r="I19" s="41">
        <f t="shared" ca="1" si="4"/>
        <v>228522.30573807747</v>
      </c>
      <c r="J19" s="41">
        <f t="shared" ca="1" si="4"/>
        <v>270083.13296542887</v>
      </c>
      <c r="K19" s="41">
        <f t="shared" ca="1" si="4"/>
        <v>313716.91882574133</v>
      </c>
      <c r="L19" s="41">
        <f t="shared" ca="1" si="4"/>
        <v>360401.66113615769</v>
      </c>
      <c r="M19" s="41">
        <f t="shared" ca="1" si="4"/>
        <v>409005.28954646643</v>
      </c>
      <c r="N19" s="41">
        <f t="shared" ca="1" si="4"/>
        <v>453672.34759024309</v>
      </c>
      <c r="O19" s="41">
        <f t="shared" ca="1" si="4"/>
        <v>486139.17073758889</v>
      </c>
      <c r="P19" s="41">
        <f t="shared" ca="1" si="4"/>
        <v>497601.35414327297</v>
      </c>
      <c r="Q19" s="41">
        <f t="shared" ca="1" si="4"/>
        <v>509780.85553747992</v>
      </c>
      <c r="R19" s="41">
        <f t="shared" ca="1" si="4"/>
        <v>522259.94387524063</v>
      </c>
      <c r="S19" s="41">
        <f t="shared" ca="1" si="4"/>
        <v>535038.50212970143</v>
      </c>
      <c r="T19" s="41">
        <f t="shared" ca="1" si="4"/>
        <v>548124.34787779616</v>
      </c>
      <c r="U19" s="41">
        <f t="shared" ca="1" si="4"/>
        <v>561744.49549016205</v>
      </c>
      <c r="V19" s="41">
        <f t="shared" ca="1" si="4"/>
        <v>575691.20398870367</v>
      </c>
      <c r="W19" s="41">
        <f t="shared" ca="1" si="4"/>
        <v>589983.90483420447</v>
      </c>
      <c r="X19" s="41">
        <f t="shared" ca="1" si="4"/>
        <v>604631.15490366914</v>
      </c>
      <c r="Y19" s="41">
        <f t="shared" ca="1" si="4"/>
        <v>619641.70646106871</v>
      </c>
      <c r="Z19" s="41">
        <f t="shared" ca="1" si="4"/>
        <v>641947.05175199336</v>
      </c>
      <c r="AA19" s="41">
        <f t="shared" ca="1" si="4"/>
        <v>672439.74268704653</v>
      </c>
      <c r="AB19" s="41">
        <f t="shared" ca="1" si="4"/>
        <v>688688.50013977347</v>
      </c>
      <c r="AC19" s="41">
        <f t="shared" ca="1" si="4"/>
        <v>705785.93049539975</v>
      </c>
      <c r="AD19" s="41">
        <f t="shared" ca="1" si="4"/>
        <v>731436.85827474936</v>
      </c>
      <c r="AE19" s="41">
        <f t="shared" ca="1" si="4"/>
        <v>765171.33360137593</v>
      </c>
      <c r="AF19" s="41">
        <f t="shared" ca="1" si="4"/>
        <v>783203.30798086477</v>
      </c>
      <c r="AG19" s="41">
        <f t="shared" ca="1" si="4"/>
        <v>812342.83172575932</v>
      </c>
      <c r="AH19" s="41">
        <f t="shared" ca="1" si="4"/>
        <v>850069.00020037463</v>
      </c>
      <c r="AI19" s="41">
        <f t="shared" ca="1" si="4"/>
        <v>882222.51283375686</v>
      </c>
      <c r="AJ19" s="41">
        <f t="shared" ref="AJ19:BA19" ca="1" si="5">AJ13+AJ18</f>
        <v>933959.18391654536</v>
      </c>
      <c r="AK19" s="41">
        <f t="shared" ca="1" si="5"/>
        <v>974790.33982163074</v>
      </c>
      <c r="AL19" s="41">
        <f t="shared" ca="1" si="5"/>
        <v>1011107.2125430797</v>
      </c>
      <c r="AM19" s="41">
        <f t="shared" ca="1" si="5"/>
        <v>1069141.4633296626</v>
      </c>
      <c r="AN19" s="41">
        <f t="shared" ca="1" si="5"/>
        <v>1114727.7537964066</v>
      </c>
      <c r="AO19" s="41">
        <f t="shared" ca="1" si="5"/>
        <v>1156608.6409134269</v>
      </c>
      <c r="AP19" s="41">
        <f t="shared" ca="1" si="5"/>
        <v>1221982.6989351134</v>
      </c>
      <c r="AQ19" s="41">
        <f t="shared" ca="1" si="5"/>
        <v>1289586.6141513726</v>
      </c>
      <c r="AR19" s="41">
        <f t="shared" ca="1" si="5"/>
        <v>1360212.2868605978</v>
      </c>
      <c r="AS19" s="41">
        <f t="shared" ca="1" si="5"/>
        <v>1433987.1989754343</v>
      </c>
      <c r="AT19" s="41">
        <f t="shared" ca="1" si="5"/>
        <v>1511875.9049448972</v>
      </c>
      <c r="AU19" s="41">
        <f t="shared" ca="1" si="5"/>
        <v>1593921.4400467761</v>
      </c>
      <c r="AV19" s="41">
        <f t="shared" ca="1" si="5"/>
        <v>1679591.3937585775</v>
      </c>
      <c r="AW19" s="41">
        <f t="shared" ca="1" si="5"/>
        <v>1769032.0558017008</v>
      </c>
      <c r="AX19" s="41">
        <f t="shared" ca="1" si="5"/>
        <v>1885687.8552095876</v>
      </c>
      <c r="AY19" s="41">
        <f t="shared" ca="1" si="5"/>
        <v>2010204.8974026956</v>
      </c>
      <c r="AZ19" s="41">
        <f t="shared" ca="1" si="5"/>
        <v>2113151.8404639624</v>
      </c>
      <c r="BA19" s="41">
        <f t="shared" ca="1" si="5"/>
        <v>2220544.4784849458</v>
      </c>
    </row>
    <row r="20" spans="1:53" x14ac:dyDescent="0.3">
      <c r="A20" t="s">
        <v>230</v>
      </c>
      <c r="B20" t="s">
        <v>48</v>
      </c>
      <c r="D20" s="40">
        <f ca="1">'Capital &amp; Debt'!D40</f>
        <v>-1665.625</v>
      </c>
      <c r="E20" s="40">
        <f ca="1">'Capital &amp; Debt'!E40</f>
        <v>-16252.162841796875</v>
      </c>
      <c r="F20" s="40">
        <f ca="1">'Capital &amp; Debt'!F40</f>
        <v>-51325.925202732076</v>
      </c>
      <c r="G20" s="40">
        <f ca="1">'Capital &amp; Debt'!G40</f>
        <v>-95473.198746830021</v>
      </c>
      <c r="H20" s="40">
        <f ca="1">'Capital &amp; Debt'!H40</f>
        <v>-141837.16654171917</v>
      </c>
      <c r="I20" s="40">
        <f ca="1">'Capital &amp; Debt'!I40</f>
        <v>-192143.82698779189</v>
      </c>
      <c r="J20" s="40">
        <f ca="1">'Capital &amp; Debt'!J40</f>
        <v>-246071.34026800253</v>
      </c>
      <c r="K20" s="40">
        <f ca="1">'Capital &amp; Debt'!K40</f>
        <v>-302560.4548960703</v>
      </c>
      <c r="L20" s="40">
        <f ca="1">'Capital &amp; Debt'!L40</f>
        <v>-361309.02161130449</v>
      </c>
      <c r="M20" s="40">
        <f ca="1">'Capital &amp; Debt'!M40</f>
        <v>-423799.35143935727</v>
      </c>
      <c r="N20" s="40">
        <f ca="1">'Capital &amp; Debt'!N40</f>
        <v>-462047.75707953784</v>
      </c>
      <c r="O20" s="40">
        <f ca="1">'Capital &amp; Debt'!O40</f>
        <v>-473598.9510065263</v>
      </c>
      <c r="P20" s="40">
        <f ca="1">'Capital &amp; Debt'!P40</f>
        <v>-485438.92478168948</v>
      </c>
      <c r="Q20" s="40">
        <f ca="1">'Capital &amp; Debt'!Q40</f>
        <v>-497574.89790123171</v>
      </c>
      <c r="R20" s="40">
        <f ca="1">'Capital &amp; Debt'!R40</f>
        <v>-510014.27034876251</v>
      </c>
      <c r="S20" s="40">
        <f ca="1">'Capital &amp; Debt'!S40</f>
        <v>-522764.62710748159</v>
      </c>
      <c r="T20" s="40">
        <f ca="1">'Capital &amp; Debt'!T40</f>
        <v>-535833.74278516858</v>
      </c>
      <c r="U20" s="40">
        <f ca="1">'Capital &amp; Debt'!U40</f>
        <v>-549229.58635479782</v>
      </c>
      <c r="V20" s="40">
        <f ca="1">'Capital &amp; Debt'!V40</f>
        <v>-562960.32601366774</v>
      </c>
      <c r="W20" s="40">
        <f ca="1">'Capital &amp; Debt'!W40</f>
        <v>-577034.33416400943</v>
      </c>
      <c r="X20" s="40">
        <f ca="1">'Capital &amp; Debt'!X40</f>
        <v>-591460.19251810969</v>
      </c>
      <c r="Y20" s="40">
        <f ca="1">'Capital &amp; Debt'!Y40</f>
        <v>-606246.6973310624</v>
      </c>
      <c r="Z20" s="40">
        <f ca="1">'Capital &amp; Debt'!Z40</f>
        <v>-621402.86476433894</v>
      </c>
      <c r="AA20" s="40">
        <f ca="1">'Capital &amp; Debt'!AA40</f>
        <v>-636937.93638344738</v>
      </c>
      <c r="AB20" s="40">
        <f ca="1">'Capital &amp; Debt'!AB40</f>
        <v>-652861.38479303359</v>
      </c>
      <c r="AC20" s="40">
        <f ca="1">'Capital &amp; Debt'!AC40</f>
        <v>-629031.94424808794</v>
      </c>
      <c r="AD20" s="40">
        <f ca="1">'Capital &amp; Debt'!AD40</f>
        <v>-606072.27828303271</v>
      </c>
      <c r="AE20" s="40">
        <f ca="1">'Capital &amp; Debt'!AE40</f>
        <v>-583950.64012570202</v>
      </c>
      <c r="AF20" s="40">
        <f ca="1">'Capital &amp; Debt'!AF40</f>
        <v>-562636.44176111382</v>
      </c>
      <c r="AG20" s="40">
        <f ca="1">'Capital &amp; Debt'!AG40</f>
        <v>-542100.21163683315</v>
      </c>
      <c r="AH20" s="40">
        <f ca="1">'Capital &amp; Debt'!AH40</f>
        <v>-522313.55391208874</v>
      </c>
      <c r="AI20" s="40">
        <f ca="1">'Capital &amp; Debt'!AI40</f>
        <v>-503249.10919429752</v>
      </c>
      <c r="AJ20" s="40">
        <f ca="1">'Capital &amp; Debt'!AJ40</f>
        <v>-484880.51670870563</v>
      </c>
      <c r="AK20" s="40">
        <f ca="1">'Capital &amp; Debt'!AK40</f>
        <v>-467182.37784883787</v>
      </c>
      <c r="AL20" s="40">
        <f ca="1">'Capital &amp; Debt'!AL40</f>
        <v>-450130.22105735529</v>
      </c>
      <c r="AM20" s="40">
        <f ca="1">'Capital &amp; Debt'!AM40</f>
        <v>-433700.46798876184</v>
      </c>
      <c r="AN20" s="40">
        <f ca="1">'Capital &amp; Debt'!AN40</f>
        <v>-417870.40090717206</v>
      </c>
      <c r="AO20" s="40">
        <f ca="1">'Capital &amp; Debt'!AO40</f>
        <v>-402618.13127406029</v>
      </c>
      <c r="AP20" s="40">
        <f ca="1">'Capital &amp; Debt'!AP40</f>
        <v>-387922.56948255707</v>
      </c>
      <c r="AQ20" s="40">
        <f ca="1">'Capital &amp; Debt'!AQ40</f>
        <v>-373763.39569644374</v>
      </c>
      <c r="AR20" s="40">
        <f ca="1">'Capital &amp; Debt'!AR40</f>
        <v>-360121.03175352351</v>
      </c>
      <c r="AS20" s="40">
        <f ca="1">'Capital &amp; Debt'!AS40</f>
        <v>-346976.61409451987</v>
      </c>
      <c r="AT20" s="40">
        <f ca="1">'Capital &amp; Debt'!AT40</f>
        <v>-334311.96768006991</v>
      </c>
      <c r="AU20" s="40">
        <f ca="1">'Capital &amp; Debt'!AU40</f>
        <v>-322109.58085974737</v>
      </c>
      <c r="AV20" s="40">
        <f ca="1">'Capital &amp; Debt'!AV40</f>
        <v>-310352.58115836658</v>
      </c>
      <c r="AW20" s="40">
        <f ca="1">'Capital &amp; Debt'!AW40</f>
        <v>-299024.7119460862</v>
      </c>
      <c r="AX20" s="40">
        <f ca="1">'Capital &amp; Debt'!AX40</f>
        <v>-288110.309960054</v>
      </c>
      <c r="AY20" s="40">
        <f ca="1">'Capital &amp; Debt'!AY40</f>
        <v>-277594.28364651202</v>
      </c>
      <c r="AZ20" s="40">
        <f ca="1">'Capital &amp; Debt'!AZ40</f>
        <v>-267462.09229341435</v>
      </c>
      <c r="BA20" s="40">
        <f ca="1">'Capital &amp; Debt'!BA40</f>
        <v>-257699.72592470472</v>
      </c>
    </row>
    <row r="21" spans="1:53" x14ac:dyDescent="0.3">
      <c r="A21" t="s">
        <v>231</v>
      </c>
      <c r="B21" t="s">
        <v>48</v>
      </c>
      <c r="D21" s="40">
        <f>'Capital &amp; Debt'!D48</f>
        <v>0</v>
      </c>
      <c r="E21" s="40">
        <f>'Capital &amp; Debt'!E48</f>
        <v>0</v>
      </c>
      <c r="F21" s="40">
        <f>'Capital &amp; Debt'!F48</f>
        <v>0</v>
      </c>
      <c r="G21" s="40">
        <f>'Capital &amp; Debt'!G48</f>
        <v>0</v>
      </c>
      <c r="H21" s="40">
        <f>'Capital &amp; Debt'!H48</f>
        <v>0</v>
      </c>
      <c r="I21" s="40">
        <f>'Capital &amp; Debt'!I48</f>
        <v>0</v>
      </c>
      <c r="J21" s="40">
        <f>'Capital &amp; Debt'!J48</f>
        <v>0</v>
      </c>
      <c r="K21" s="40">
        <f>'Capital &amp; Debt'!K48</f>
        <v>0</v>
      </c>
      <c r="L21" s="40">
        <f>'Capital &amp; Debt'!L48</f>
        <v>0</v>
      </c>
      <c r="M21" s="40">
        <f>'Capital &amp; Debt'!M48</f>
        <v>0</v>
      </c>
      <c r="N21" s="40">
        <f>'Capital &amp; Debt'!N48</f>
        <v>0</v>
      </c>
      <c r="O21" s="40">
        <f>'Capital &amp; Debt'!O48</f>
        <v>0</v>
      </c>
      <c r="P21" s="40">
        <f>'Capital &amp; Debt'!P48</f>
        <v>0</v>
      </c>
      <c r="Q21" s="40">
        <f>'Capital &amp; Debt'!Q48</f>
        <v>0</v>
      </c>
      <c r="R21" s="40">
        <f>'Capital &amp; Debt'!R48</f>
        <v>0</v>
      </c>
      <c r="S21" s="40">
        <f>'Capital &amp; Debt'!S48</f>
        <v>0</v>
      </c>
      <c r="T21" s="40">
        <f>'Capital &amp; Debt'!T48</f>
        <v>0</v>
      </c>
      <c r="U21" s="40">
        <f>'Capital &amp; Debt'!U48</f>
        <v>0</v>
      </c>
      <c r="V21" s="40">
        <f>'Capital &amp; Debt'!V48</f>
        <v>0</v>
      </c>
      <c r="W21" s="40">
        <f>'Capital &amp; Debt'!W48</f>
        <v>0</v>
      </c>
      <c r="X21" s="40">
        <f>'Capital &amp; Debt'!X48</f>
        <v>0</v>
      </c>
      <c r="Y21" s="40">
        <f>'Capital &amp; Debt'!Y48</f>
        <v>0</v>
      </c>
      <c r="Z21" s="40">
        <f>'Capital &amp; Debt'!Z48</f>
        <v>0</v>
      </c>
      <c r="AA21" s="40">
        <f>'Capital &amp; Debt'!AA48</f>
        <v>0</v>
      </c>
      <c r="AB21" s="40">
        <f>'Capital &amp; Debt'!AB48</f>
        <v>0</v>
      </c>
      <c r="AC21" s="40">
        <f>'Capital &amp; Debt'!AC48</f>
        <v>0</v>
      </c>
      <c r="AD21" s="40">
        <f>'Capital &amp; Debt'!AD48</f>
        <v>0</v>
      </c>
      <c r="AE21" s="40">
        <f>'Capital &amp; Debt'!AE48</f>
        <v>0</v>
      </c>
      <c r="AF21" s="40">
        <f>'Capital &amp; Debt'!AF48</f>
        <v>0</v>
      </c>
      <c r="AG21" s="40">
        <f>'Capital &amp; Debt'!AG48</f>
        <v>0</v>
      </c>
      <c r="AH21" s="40">
        <f>'Capital &amp; Debt'!AH48</f>
        <v>0</v>
      </c>
      <c r="AI21" s="40">
        <f>'Capital &amp; Debt'!AI48</f>
        <v>0</v>
      </c>
      <c r="AJ21" s="40">
        <f>'Capital &amp; Debt'!AJ48</f>
        <v>0</v>
      </c>
      <c r="AK21" s="40">
        <f>'Capital &amp; Debt'!AK48</f>
        <v>0</v>
      </c>
      <c r="AL21" s="40">
        <f>'Capital &amp; Debt'!AL48</f>
        <v>0</v>
      </c>
      <c r="AM21" s="40">
        <f>'Capital &amp; Debt'!AM48</f>
        <v>0</v>
      </c>
      <c r="AN21" s="40">
        <f>'Capital &amp; Debt'!AN48</f>
        <v>0</v>
      </c>
      <c r="AO21" s="40">
        <f>'Capital &amp; Debt'!AO48</f>
        <v>0</v>
      </c>
      <c r="AP21" s="40">
        <f>'Capital &amp; Debt'!AP48</f>
        <v>0</v>
      </c>
      <c r="AQ21" s="40">
        <f>'Capital &amp; Debt'!AQ48</f>
        <v>0</v>
      </c>
      <c r="AR21" s="40">
        <f>'Capital &amp; Debt'!AR48</f>
        <v>0</v>
      </c>
      <c r="AS21" s="40">
        <f>'Capital &amp; Debt'!AS48</f>
        <v>0</v>
      </c>
      <c r="AT21" s="40">
        <f>'Capital &amp; Debt'!AT48</f>
        <v>0</v>
      </c>
      <c r="AU21" s="40">
        <f>'Capital &amp; Debt'!AU48</f>
        <v>0</v>
      </c>
      <c r="AV21" s="40">
        <f>'Capital &amp; Debt'!AV48</f>
        <v>0</v>
      </c>
      <c r="AW21" s="40">
        <f>'Capital &amp; Debt'!AW48</f>
        <v>0</v>
      </c>
      <c r="AX21" s="40">
        <f>'Capital &amp; Debt'!AX48</f>
        <v>0</v>
      </c>
      <c r="AY21" s="40">
        <f>'Capital &amp; Debt'!AY48</f>
        <v>0</v>
      </c>
      <c r="AZ21" s="40">
        <f>'Capital &amp; Debt'!AZ48</f>
        <v>0</v>
      </c>
      <c r="BA21" s="40">
        <f>'Capital &amp; Debt'!BA48</f>
        <v>0</v>
      </c>
    </row>
    <row r="22" spans="1:53" x14ac:dyDescent="0.3">
      <c r="A22" t="s">
        <v>332</v>
      </c>
      <c r="D22" s="62">
        <f>-'Capital &amp; Debt'!D31</f>
        <v>0</v>
      </c>
      <c r="E22" s="62">
        <f ca="1">-'Capital &amp; Debt'!E31</f>
        <v>-1332.5</v>
      </c>
      <c r="F22" s="62">
        <f ca="1">-'Capital &amp; Debt'!F31</f>
        <v>-11635.917773437501</v>
      </c>
      <c r="G22" s="62">
        <f ca="1">-'Capital &amp; Debt'!G31</f>
        <v>-29133.924444412227</v>
      </c>
      <c r="H22" s="62">
        <f ca="1">-'Capital &amp; Debt'!H31</f>
        <v>-46516.286441941491</v>
      </c>
      <c r="I22" s="62">
        <f ca="1">-'Capital &amp; Debt'!I31</f>
        <v>-65790.539630385305</v>
      </c>
      <c r="J22" s="62">
        <f ca="1">-'Capital &amp; Debt'!J31</f>
        <v>-86279.758469088585</v>
      </c>
      <c r="K22" s="62">
        <f ca="1">-'Capital &amp; Debt'!K31</f>
        <v>-108420.31978358625</v>
      </c>
      <c r="L22" s="62">
        <f ca="1">-'Capital &amp; Debt'!L31</f>
        <v>-130917.53613868037</v>
      </c>
      <c r="M22" s="62">
        <f ca="1">-'Capital &amp; Debt'!M31</f>
        <v>-154856.7427468962</v>
      </c>
      <c r="N22" s="62">
        <f ca="1">-'Capital &amp; Debt'!N31</f>
        <v>-180311.31983591721</v>
      </c>
      <c r="O22" s="62">
        <f ca="1">-'Capital &amp; Debt'!O31</f>
        <v>-184819.10283181514</v>
      </c>
      <c r="P22" s="62">
        <f ca="1">-'Capital &amp; Debt'!P31</f>
        <v>-189439.58040261053</v>
      </c>
      <c r="Q22" s="62">
        <f ca="1">-'Capital &amp; Debt'!Q31</f>
        <v>-194175.5699126758</v>
      </c>
      <c r="R22" s="62">
        <f ca="1">-'Capital &amp; Debt'!R31</f>
        <v>-199029.9591604927</v>
      </c>
      <c r="S22" s="62">
        <f ca="1">-'Capital &amp; Debt'!S31</f>
        <v>-204005.708139505</v>
      </c>
      <c r="T22" s="62">
        <f ca="1">-'Capital &amp; Debt'!T31</f>
        <v>-209105.85084299266</v>
      </c>
      <c r="U22" s="62">
        <f ca="1">-'Capital &amp; Debt'!U31</f>
        <v>-214333.49711406743</v>
      </c>
      <c r="V22" s="62">
        <f ca="1">-'Capital &amp; Debt'!V31</f>
        <v>-219691.83454191915</v>
      </c>
      <c r="W22" s="62">
        <f ca="1">-'Capital &amp; Debt'!W31</f>
        <v>-225184.13040546712</v>
      </c>
      <c r="X22" s="62">
        <f ca="1">-'Capital &amp; Debt'!X31</f>
        <v>-230813.7336656038</v>
      </c>
      <c r="Y22" s="62">
        <f ca="1">-'Capital &amp; Debt'!Y31</f>
        <v>-236584.07700724388</v>
      </c>
      <c r="Z22" s="62">
        <f ca="1">-'Capital &amp; Debt'!Z31</f>
        <v>-242498.67893242498</v>
      </c>
      <c r="AA22" s="62">
        <f ca="1">-'Capital &amp; Debt'!AA31</f>
        <v>-248561.14590573558</v>
      </c>
      <c r="AB22" s="62">
        <f ca="1">-'Capital &amp; Debt'!AB31</f>
        <v>-254775.17455337895</v>
      </c>
      <c r="AC22" s="62">
        <f ca="1">-'Capital &amp; Debt'!AC31</f>
        <v>-245475.88068218064</v>
      </c>
      <c r="AD22" s="62">
        <f ca="1">-'Capital &amp; Debt'!AD31</f>
        <v>-236516.01103728107</v>
      </c>
      <c r="AE22" s="62">
        <f ca="1">-'Capital &amp; Debt'!AE31</f>
        <v>-227883.17663442032</v>
      </c>
      <c r="AF22" s="62">
        <f ca="1">-'Capital &amp; Debt'!AF31</f>
        <v>-219565.44068726397</v>
      </c>
      <c r="AG22" s="62">
        <f ca="1">-'Capital &amp; Debt'!AG31</f>
        <v>-211551.3021021788</v>
      </c>
      <c r="AH22" s="62">
        <f ca="1">-'Capital &amp; Debt'!AH31</f>
        <v>-203829.67957544929</v>
      </c>
      <c r="AI22" s="62">
        <f ca="1">-'Capital &amp; Debt'!AI31</f>
        <v>-196389.89627094538</v>
      </c>
      <c r="AJ22" s="62">
        <f ca="1">-'Capital &amp; Debt'!AJ31</f>
        <v>-189221.66505705588</v>
      </c>
      <c r="AK22" s="62">
        <f ca="1">-'Capital &amp; Debt'!AK31</f>
        <v>-182315.07428247333</v>
      </c>
      <c r="AL22" s="62">
        <f ca="1">-'Capital &amp; Debt'!AL31</f>
        <v>-175660.57407116305</v>
      </c>
      <c r="AM22" s="62">
        <f ca="1">-'Capital &amp; Debt'!AM31</f>
        <v>-169248.96311756561</v>
      </c>
      <c r="AN22" s="62">
        <f ca="1">-'Capital &amp; Debt'!AN31</f>
        <v>-163071.37596377448</v>
      </c>
      <c r="AO22" s="62">
        <f ca="1">-'Capital &amp; Debt'!AO31</f>
        <v>-157119.2707410967</v>
      </c>
      <c r="AP22" s="62">
        <f ca="1">-'Capital &amp; Debt'!AP31</f>
        <v>-151384.41735904667</v>
      </c>
      <c r="AQ22" s="62">
        <f ca="1">-'Capital &amp; Debt'!AQ31</f>
        <v>-145858.88612544147</v>
      </c>
      <c r="AR22" s="62">
        <f ca="1">-'Capital &amp; Debt'!AR31</f>
        <v>-140535.03678186284</v>
      </c>
      <c r="AS22" s="62">
        <f ca="1">-'Capital &amp; Debt'!AS31</f>
        <v>-135405.50793932483</v>
      </c>
      <c r="AT22" s="62">
        <f ca="1">-'Capital &amp; Debt'!AT31</f>
        <v>-130463.20689953948</v>
      </c>
      <c r="AU22" s="62">
        <f ca="1">-'Capital &amp; Debt'!AU31</f>
        <v>-125701.29984770629</v>
      </c>
      <c r="AV22" s="62">
        <f ca="1">-'Capital &amp; Debt'!AV31</f>
        <v>-121113.20240326501</v>
      </c>
      <c r="AW22" s="62">
        <f ca="1">-'Capital &amp; Debt'!AW31</f>
        <v>-116692.57051554584</v>
      </c>
      <c r="AX22" s="62">
        <f ca="1">-'Capital &amp; Debt'!AX31</f>
        <v>-112433.2916917284</v>
      </c>
      <c r="AY22" s="62">
        <f ca="1">-'Capital &amp; Debt'!AY31</f>
        <v>-108329.47654498031</v>
      </c>
      <c r="AZ22" s="62">
        <f ca="1">-'Capital &amp; Debt'!AZ31</f>
        <v>-104375.45065108853</v>
      </c>
      <c r="BA22" s="62">
        <f ca="1">-'Capital &amp; Debt'!BA31</f>
        <v>-100565.7467023238</v>
      </c>
    </row>
    <row r="23" spans="1:53" x14ac:dyDescent="0.3">
      <c r="A23" s="3" t="s">
        <v>232</v>
      </c>
      <c r="B23" s="3" t="s">
        <v>48</v>
      </c>
      <c r="C23" s="3"/>
      <c r="D23" s="41">
        <f t="shared" ref="D23:AI23" ca="1" si="6">D19+D20+D21+D22</f>
        <v>254324.375</v>
      </c>
      <c r="E23" s="41">
        <f t="shared" ca="1" si="6"/>
        <v>92322.082470703113</v>
      </c>
      <c r="F23" s="41">
        <f t="shared" ca="1" si="6"/>
        <v>63170.931606227881</v>
      </c>
      <c r="G23" s="41">
        <f t="shared" ca="1" si="6"/>
        <v>27022.163264598759</v>
      </c>
      <c r="H23" s="41">
        <f t="shared" ca="1" si="6"/>
        <v>1278.9368376928833</v>
      </c>
      <c r="I23" s="41">
        <f t="shared" ca="1" si="6"/>
        <v>-29412.060880099729</v>
      </c>
      <c r="J23" s="41">
        <f t="shared" ca="1" si="6"/>
        <v>-62267.965771662246</v>
      </c>
      <c r="K23" s="41">
        <f t="shared" ca="1" si="6"/>
        <v>-97263.855853915215</v>
      </c>
      <c r="L23" s="41">
        <f t="shared" ca="1" si="6"/>
        <v>-131824.89661382715</v>
      </c>
      <c r="M23" s="41">
        <f t="shared" ca="1" si="6"/>
        <v>-169650.80463978703</v>
      </c>
      <c r="N23" s="41">
        <f t="shared" ca="1" si="6"/>
        <v>-188686.72932521196</v>
      </c>
      <c r="O23" s="41">
        <f t="shared" ca="1" si="6"/>
        <v>-172278.88310075254</v>
      </c>
      <c r="P23" s="41">
        <f t="shared" ca="1" si="6"/>
        <v>-177277.15104102704</v>
      </c>
      <c r="Q23" s="41">
        <f t="shared" ca="1" si="6"/>
        <v>-181969.61227642759</v>
      </c>
      <c r="R23" s="41">
        <f t="shared" ca="1" si="6"/>
        <v>-186784.28563401458</v>
      </c>
      <c r="S23" s="41">
        <f t="shared" ca="1" si="6"/>
        <v>-191731.83311728516</v>
      </c>
      <c r="T23" s="41">
        <f t="shared" ca="1" si="6"/>
        <v>-196815.24575036508</v>
      </c>
      <c r="U23" s="41">
        <f t="shared" ca="1" si="6"/>
        <v>-201818.5879787032</v>
      </c>
      <c r="V23" s="41">
        <f t="shared" ca="1" si="6"/>
        <v>-206960.95656688322</v>
      </c>
      <c r="W23" s="41">
        <f t="shared" ca="1" si="6"/>
        <v>-212234.55973527208</v>
      </c>
      <c r="X23" s="41">
        <f t="shared" ca="1" si="6"/>
        <v>-217642.77128004434</v>
      </c>
      <c r="Y23" s="41">
        <f t="shared" ca="1" si="6"/>
        <v>-223189.06787723757</v>
      </c>
      <c r="Z23" s="41">
        <f t="shared" ca="1" si="6"/>
        <v>-221954.49194477056</v>
      </c>
      <c r="AA23" s="41">
        <f t="shared" ca="1" si="6"/>
        <v>-213059.33960213643</v>
      </c>
      <c r="AB23" s="41">
        <f t="shared" ca="1" si="6"/>
        <v>-218948.05920663907</v>
      </c>
      <c r="AC23" s="41">
        <f t="shared" ca="1" si="6"/>
        <v>-168721.89443486882</v>
      </c>
      <c r="AD23" s="41">
        <f t="shared" ca="1" si="6"/>
        <v>-111151.43104556442</v>
      </c>
      <c r="AE23" s="41">
        <f t="shared" ca="1" si="6"/>
        <v>-46662.483158746414</v>
      </c>
      <c r="AF23" s="41">
        <f t="shared" ca="1" si="6"/>
        <v>1001.4255324869882</v>
      </c>
      <c r="AG23" s="41">
        <f t="shared" ca="1" si="6"/>
        <v>58691.317986747366</v>
      </c>
      <c r="AH23" s="41">
        <f t="shared" ca="1" si="6"/>
        <v>123925.7667128366</v>
      </c>
      <c r="AI23" s="41">
        <f t="shared" ca="1" si="6"/>
        <v>182583.50736851397</v>
      </c>
      <c r="AJ23" s="41">
        <f t="shared" ref="AJ23:BA23" ca="1" si="7">AJ19+AJ20+AJ21+AJ22</f>
        <v>259857.00215078384</v>
      </c>
      <c r="AK23" s="41">
        <f t="shared" ca="1" si="7"/>
        <v>325292.88769031956</v>
      </c>
      <c r="AL23" s="41">
        <f t="shared" ca="1" si="7"/>
        <v>385316.41741456138</v>
      </c>
      <c r="AM23" s="41">
        <f t="shared" ca="1" si="7"/>
        <v>466192.03222333512</v>
      </c>
      <c r="AN23" s="41">
        <f t="shared" ca="1" si="7"/>
        <v>533785.97692545992</v>
      </c>
      <c r="AO23" s="41">
        <f t="shared" ca="1" si="7"/>
        <v>596871.23889826983</v>
      </c>
      <c r="AP23" s="41">
        <f t="shared" ca="1" si="7"/>
        <v>682675.71209350973</v>
      </c>
      <c r="AQ23" s="41">
        <f t="shared" ca="1" si="7"/>
        <v>769964.33232948743</v>
      </c>
      <c r="AR23" s="41">
        <f t="shared" ca="1" si="7"/>
        <v>859556.21832521143</v>
      </c>
      <c r="AS23" s="41">
        <f t="shared" ca="1" si="7"/>
        <v>951605.07694158971</v>
      </c>
      <c r="AT23" s="41">
        <f t="shared" ca="1" si="7"/>
        <v>1047100.7303652879</v>
      </c>
      <c r="AU23" s="41">
        <f t="shared" ca="1" si="7"/>
        <v>1146110.5593393226</v>
      </c>
      <c r="AV23" s="41">
        <f t="shared" ca="1" si="7"/>
        <v>1248125.610196946</v>
      </c>
      <c r="AW23" s="41">
        <f t="shared" ca="1" si="7"/>
        <v>1353314.7733400688</v>
      </c>
      <c r="AX23" s="41">
        <f t="shared" ca="1" si="7"/>
        <v>1485144.2535578052</v>
      </c>
      <c r="AY23" s="41">
        <f t="shared" ca="1" si="7"/>
        <v>1624281.1372112031</v>
      </c>
      <c r="AZ23" s="41">
        <f t="shared" ca="1" si="7"/>
        <v>1741314.2975194596</v>
      </c>
      <c r="BA23" s="41">
        <f t="shared" ca="1" si="7"/>
        <v>1862279.0058579172</v>
      </c>
    </row>
    <row r="24" spans="1:53" x14ac:dyDescent="0.3">
      <c r="A24" t="s">
        <v>233</v>
      </c>
      <c r="B24" t="s">
        <v>48</v>
      </c>
      <c r="D24" s="40">
        <f ca="1">-'Capital &amp; Debt'!D28</f>
        <v>0</v>
      </c>
      <c r="E24" s="40">
        <f ca="1">-'Capital &amp; Debt'!E28</f>
        <v>0</v>
      </c>
      <c r="F24" s="40">
        <f ca="1">-'Capital &amp; Debt'!F28</f>
        <v>-2307.1828124999997</v>
      </c>
      <c r="G24" s="40">
        <f ca="1">-'Capital &amp; Debt'!G28</f>
        <v>-6164.1237630615233</v>
      </c>
      <c r="H24" s="40">
        <f ca="1">-'Capital &amp; Debt'!H28</f>
        <v>-1278.9368376928833</v>
      </c>
      <c r="I24" s="40">
        <f ca="1">-'Capital &amp; Debt'!I28</f>
        <v>0</v>
      </c>
      <c r="J24" s="40">
        <f ca="1">-'Capital &amp; Debt'!J28</f>
        <v>0</v>
      </c>
      <c r="K24" s="40">
        <f ca="1">-'Capital &amp; Debt'!K28</f>
        <v>0</v>
      </c>
      <c r="L24" s="40">
        <f ca="1">-'Capital &amp; Debt'!L28</f>
        <v>0</v>
      </c>
      <c r="M24" s="40">
        <f ca="1">-'Capital &amp; Debt'!M28</f>
        <v>0</v>
      </c>
      <c r="N24" s="40">
        <f ca="1">-'Capital &amp; Debt'!N28</f>
        <v>0</v>
      </c>
      <c r="O24" s="40">
        <f ca="1">-'Capital &amp; Debt'!O28</f>
        <v>0</v>
      </c>
      <c r="P24" s="40">
        <f ca="1">-'Capital &amp; Debt'!P28</f>
        <v>0</v>
      </c>
      <c r="Q24" s="40">
        <f ca="1">-'Capital &amp; Debt'!Q28</f>
        <v>0</v>
      </c>
      <c r="R24" s="40">
        <f ca="1">-'Capital &amp; Debt'!R28</f>
        <v>0</v>
      </c>
      <c r="S24" s="40">
        <f ca="1">-'Capital &amp; Debt'!S28</f>
        <v>0</v>
      </c>
      <c r="T24" s="40">
        <f ca="1">-'Capital &amp; Debt'!T28</f>
        <v>0</v>
      </c>
      <c r="U24" s="40">
        <f ca="1">-'Capital &amp; Debt'!U28</f>
        <v>0</v>
      </c>
      <c r="V24" s="40">
        <f ca="1">-'Capital &amp; Debt'!V28</f>
        <v>0</v>
      </c>
      <c r="W24" s="40">
        <f ca="1">-'Capital &amp; Debt'!W28</f>
        <v>0</v>
      </c>
      <c r="X24" s="40">
        <f ca="1">-'Capital &amp; Debt'!X28</f>
        <v>0</v>
      </c>
      <c r="Y24" s="40">
        <f ca="1">-'Capital &amp; Debt'!Y28</f>
        <v>0</v>
      </c>
      <c r="Z24" s="40">
        <f ca="1">-'Capital &amp; Debt'!Z28</f>
        <v>0</v>
      </c>
      <c r="AA24" s="40">
        <f ca="1">-'Capital &amp; Debt'!AA28</f>
        <v>0</v>
      </c>
      <c r="AB24" s="40">
        <f ca="1">-'Capital &amp; Debt'!AB28</f>
        <v>0</v>
      </c>
      <c r="AC24" s="40">
        <f ca="1">-'Capital &amp; Debt'!AC28</f>
        <v>0</v>
      </c>
      <c r="AD24" s="40">
        <f ca="1">-'Capital &amp; Debt'!AD28</f>
        <v>0</v>
      </c>
      <c r="AE24" s="40">
        <f ca="1">-'Capital &amp; Debt'!AE28</f>
        <v>0</v>
      </c>
      <c r="AF24" s="40">
        <f ca="1">-'Capital &amp; Debt'!AF28</f>
        <v>-1001.4255324869882</v>
      </c>
      <c r="AG24" s="40">
        <f ca="1">-'Capital &amp; Debt'!AG28</f>
        <v>-58691.317986747366</v>
      </c>
      <c r="AH24" s="40">
        <f ca="1">-'Capital &amp; Debt'!AH28</f>
        <v>-123925.7667128366</v>
      </c>
      <c r="AI24" s="40">
        <f ca="1">-'Capital &amp; Debt'!AI28</f>
        <v>-149791.0199749296</v>
      </c>
      <c r="AJ24" s="40">
        <f ca="1">-'Capital &amp; Debt'!AJ28</f>
        <v>-157391.50027770185</v>
      </c>
      <c r="AK24" s="40">
        <f ca="1">-'Capital &amp; Debt'!AK28</f>
        <v>-165387.74810533947</v>
      </c>
      <c r="AL24" s="40">
        <f ca="1">-'Capital &amp; Debt'!AL28</f>
        <v>-174274.71416064227</v>
      </c>
      <c r="AM24" s="40">
        <f ca="1">-'Capital &amp; Debt'!AM28</f>
        <v>-183991.45209697052</v>
      </c>
      <c r="AN24" s="40">
        <f ca="1">-'Capital &amp; Debt'!AN28</f>
        <v>-194294.41063084698</v>
      </c>
      <c r="AO24" s="40">
        <f ca="1">-'Capital &amp; Debt'!AO28</f>
        <v>-205577.20257417599</v>
      </c>
      <c r="AP24" s="40">
        <f ca="1">-'Capital &amp; Debt'!AP28</f>
        <v>-217762.16110651343</v>
      </c>
      <c r="AQ24" s="40">
        <f ca="1">-'Capital &amp; Debt'!AQ28</f>
        <v>-230573.33116011668</v>
      </c>
      <c r="AR24" s="40">
        <f ca="1">-'Capital &amp; Debt'!AR28</f>
        <v>-244450.16443947976</v>
      </c>
      <c r="AS24" s="40">
        <f ca="1">-'Capital &amp; Debt'!AS28</f>
        <v>-259434.78219532041</v>
      </c>
      <c r="AT24" s="40">
        <f ca="1">-'Capital &amp; Debt'!AT28</f>
        <v>-275560.69772606</v>
      </c>
      <c r="AU24" s="40">
        <f ca="1">-'Capital &amp; Debt'!AU28</f>
        <v>-292362.91846799309</v>
      </c>
      <c r="AV24" s="40">
        <f ca="1">-'Capital &amp; Debt'!AV28</f>
        <v>-309437.85240795574</v>
      </c>
      <c r="AW24" s="40">
        <f ca="1">-'Capital &amp; Debt'!AW28</f>
        <v>-326777.40969641029</v>
      </c>
      <c r="AX24" s="40">
        <f ca="1">-'Capital &amp; Debt'!AX28</f>
        <v>-344372.98864417907</v>
      </c>
      <c r="AY24" s="40">
        <f ca="1">-'Capital &amp; Debt'!AY28</f>
        <v>-362215.65614612499</v>
      </c>
      <c r="AZ24" s="40">
        <f ca="1">-'Capital &amp; Debt'!AZ28</f>
        <v>-380306.12626964395</v>
      </c>
      <c r="BA24" s="40">
        <f ca="1">-'Capital &amp; Debt'!BA28</f>
        <v>-398653.54092668556</v>
      </c>
    </row>
    <row r="25" spans="1:53" x14ac:dyDescent="0.3">
      <c r="A25" t="s">
        <v>234</v>
      </c>
      <c r="B25" t="s">
        <v>48</v>
      </c>
      <c r="D25" s="40">
        <f>-IF(ct_exempt_toggle=1,0,MAX(0,D23+D24)*ct_rate)</f>
        <v>0</v>
      </c>
      <c r="E25" s="40">
        <f>-IF(ct_exempt_toggle=1,0,MAX(0,E23+E24)*ct_rate)</f>
        <v>0</v>
      </c>
      <c r="F25" s="40">
        <f>-IF(ct_exempt_toggle=1,0,MAX(0,F23+F24)*ct_rate)</f>
        <v>0</v>
      </c>
      <c r="G25" s="40">
        <f>-IF(ct_exempt_toggle=1,0,MAX(0,G23+G24)*ct_rate)</f>
        <v>0</v>
      </c>
      <c r="H25" s="40">
        <f>-IF(ct_exempt_toggle=1,0,MAX(0,H23+H24)*ct_rate)</f>
        <v>0</v>
      </c>
      <c r="I25" s="40">
        <f>-IF(ct_exempt_toggle=1,0,MAX(0,I23+I24)*ct_rate)</f>
        <v>0</v>
      </c>
      <c r="J25" s="40">
        <f>-IF(ct_exempt_toggle=1,0,MAX(0,J23+J24)*ct_rate)</f>
        <v>0</v>
      </c>
      <c r="K25" s="40">
        <f>-IF(ct_exempt_toggle=1,0,MAX(0,K23+K24)*ct_rate)</f>
        <v>0</v>
      </c>
      <c r="L25" s="40">
        <f>-IF(ct_exempt_toggle=1,0,MAX(0,L23+L24)*ct_rate)</f>
        <v>0</v>
      </c>
      <c r="M25" s="40">
        <f>-IF(ct_exempt_toggle=1,0,MAX(0,M23+M24)*ct_rate)</f>
        <v>0</v>
      </c>
      <c r="N25" s="40">
        <f>-IF(ct_exempt_toggle=1,0,MAX(0,N23+N24)*ct_rate)</f>
        <v>0</v>
      </c>
      <c r="O25" s="40">
        <f>-IF(ct_exempt_toggle=1,0,MAX(0,O23+O24)*ct_rate)</f>
        <v>0</v>
      </c>
      <c r="P25" s="40">
        <f>-IF(ct_exempt_toggle=1,0,MAX(0,P23+P24)*ct_rate)</f>
        <v>0</v>
      </c>
      <c r="Q25" s="40">
        <f>-IF(ct_exempt_toggle=1,0,MAX(0,Q23+Q24)*ct_rate)</f>
        <v>0</v>
      </c>
      <c r="R25" s="40">
        <f>-IF(ct_exempt_toggle=1,0,MAX(0,R23+R24)*ct_rate)</f>
        <v>0</v>
      </c>
      <c r="S25" s="40">
        <f>-IF(ct_exempt_toggle=1,0,MAX(0,S23+S24)*ct_rate)</f>
        <v>0</v>
      </c>
      <c r="T25" s="40">
        <f>-IF(ct_exempt_toggle=1,0,MAX(0,T23+T24)*ct_rate)</f>
        <v>0</v>
      </c>
      <c r="U25" s="40">
        <f>-IF(ct_exempt_toggle=1,0,MAX(0,U23+U24)*ct_rate)</f>
        <v>0</v>
      </c>
      <c r="V25" s="40">
        <f>-IF(ct_exempt_toggle=1,0,MAX(0,V23+V24)*ct_rate)</f>
        <v>0</v>
      </c>
      <c r="W25" s="40">
        <f>-IF(ct_exempt_toggle=1,0,MAX(0,W23+W24)*ct_rate)</f>
        <v>0</v>
      </c>
      <c r="X25" s="40">
        <f>-IF(ct_exempt_toggle=1,0,MAX(0,X23+X24)*ct_rate)</f>
        <v>0</v>
      </c>
      <c r="Y25" s="40">
        <f>-IF(ct_exempt_toggle=1,0,MAX(0,Y23+Y24)*ct_rate)</f>
        <v>0</v>
      </c>
      <c r="Z25" s="40">
        <f>-IF(ct_exempt_toggle=1,0,MAX(0,Z23+Z24)*ct_rate)</f>
        <v>0</v>
      </c>
      <c r="AA25" s="40">
        <f>-IF(ct_exempt_toggle=1,0,MAX(0,AA23+AA24)*ct_rate)</f>
        <v>0</v>
      </c>
      <c r="AB25" s="40">
        <f>-IF(ct_exempt_toggle=1,0,MAX(0,AB23+AB24)*ct_rate)</f>
        <v>0</v>
      </c>
      <c r="AC25" s="40">
        <f>-IF(ct_exempt_toggle=1,0,MAX(0,AC23+AC24)*ct_rate)</f>
        <v>0</v>
      </c>
      <c r="AD25" s="40">
        <f>-IF(ct_exempt_toggle=1,0,MAX(0,AD23+AD24)*ct_rate)</f>
        <v>0</v>
      </c>
      <c r="AE25" s="40">
        <f>-IF(ct_exempt_toggle=1,0,MAX(0,AE23+AE24)*ct_rate)</f>
        <v>0</v>
      </c>
      <c r="AF25" s="40">
        <f>-IF(ct_exempt_toggle=1,0,MAX(0,AF23+AF24)*ct_rate)</f>
        <v>0</v>
      </c>
      <c r="AG25" s="40">
        <f>-IF(ct_exempt_toggle=1,0,MAX(0,AG23+AG24)*ct_rate)</f>
        <v>0</v>
      </c>
      <c r="AH25" s="40">
        <f>-IF(ct_exempt_toggle=1,0,MAX(0,AH23+AH24)*ct_rate)</f>
        <v>0</v>
      </c>
      <c r="AI25" s="40">
        <f>-IF(ct_exempt_toggle=1,0,MAX(0,AI23+AI24)*ct_rate)</f>
        <v>0</v>
      </c>
      <c r="AJ25" s="40">
        <f>-IF(ct_exempt_toggle=1,0,MAX(0,AJ23+AJ24)*ct_rate)</f>
        <v>0</v>
      </c>
      <c r="AK25" s="40">
        <f>-IF(ct_exempt_toggle=1,0,MAX(0,AK23+AK24)*ct_rate)</f>
        <v>0</v>
      </c>
      <c r="AL25" s="40">
        <f>-IF(ct_exempt_toggle=1,0,MAX(0,AL23+AL24)*ct_rate)</f>
        <v>0</v>
      </c>
      <c r="AM25" s="40">
        <f>-IF(ct_exempt_toggle=1,0,MAX(0,AM23+AM24)*ct_rate)</f>
        <v>0</v>
      </c>
      <c r="AN25" s="40">
        <f>-IF(ct_exempt_toggle=1,0,MAX(0,AN23+AN24)*ct_rate)</f>
        <v>0</v>
      </c>
      <c r="AO25" s="40">
        <f>-IF(ct_exempt_toggle=1,0,MAX(0,AO23+AO24)*ct_rate)</f>
        <v>0</v>
      </c>
      <c r="AP25" s="40">
        <f>-IF(ct_exempt_toggle=1,0,MAX(0,AP23+AP24)*ct_rate)</f>
        <v>0</v>
      </c>
      <c r="AQ25" s="40">
        <f>-IF(ct_exempt_toggle=1,0,MAX(0,AQ23+AQ24)*ct_rate)</f>
        <v>0</v>
      </c>
      <c r="AR25" s="40">
        <f>-IF(ct_exempt_toggle=1,0,MAX(0,AR23+AR24)*ct_rate)</f>
        <v>0</v>
      </c>
      <c r="AS25" s="40">
        <f>-IF(ct_exempt_toggle=1,0,MAX(0,AS23+AS24)*ct_rate)</f>
        <v>0</v>
      </c>
      <c r="AT25" s="40">
        <f>-IF(ct_exempt_toggle=1,0,MAX(0,AT23+AT24)*ct_rate)</f>
        <v>0</v>
      </c>
      <c r="AU25" s="40">
        <f>-IF(ct_exempt_toggle=1,0,MAX(0,AU23+AU24)*ct_rate)</f>
        <v>0</v>
      </c>
      <c r="AV25" s="40">
        <f>-IF(ct_exempt_toggle=1,0,MAX(0,AV23+AV24)*ct_rate)</f>
        <v>0</v>
      </c>
      <c r="AW25" s="40">
        <f>-IF(ct_exempt_toggle=1,0,MAX(0,AW23+AW24)*ct_rate)</f>
        <v>0</v>
      </c>
      <c r="AX25" s="40">
        <f>-IF(ct_exempt_toggle=1,0,MAX(0,AX23+AX24)*ct_rate)</f>
        <v>0</v>
      </c>
      <c r="AY25" s="40">
        <f>-IF(ct_exempt_toggle=1,0,MAX(0,AY23+AY24)*ct_rate)</f>
        <v>0</v>
      </c>
      <c r="AZ25" s="40">
        <f>-IF(ct_exempt_toggle=1,0,MAX(0,AZ23+AZ24)*ct_rate)</f>
        <v>0</v>
      </c>
      <c r="BA25" s="40">
        <f>-IF(ct_exempt_toggle=1,0,MAX(0,BA23+BA24)*ct_rate)</f>
        <v>0</v>
      </c>
    </row>
    <row r="26" spans="1:53" x14ac:dyDescent="0.3">
      <c r="A26" s="3" t="s">
        <v>235</v>
      </c>
      <c r="B26" s="3" t="s">
        <v>48</v>
      </c>
      <c r="C26" s="3"/>
      <c r="D26" s="41">
        <f t="shared" ref="D26:AI26" ca="1" si="8">D23+D24+D25</f>
        <v>254324.375</v>
      </c>
      <c r="E26" s="41">
        <f t="shared" ca="1" si="8"/>
        <v>92322.082470703113</v>
      </c>
      <c r="F26" s="41">
        <f t="shared" ca="1" si="8"/>
        <v>60863.748793727878</v>
      </c>
      <c r="G26" s="41">
        <f t="shared" ca="1" si="8"/>
        <v>20858.039501537234</v>
      </c>
      <c r="H26" s="41">
        <f t="shared" ca="1" si="8"/>
        <v>0</v>
      </c>
      <c r="I26" s="41">
        <f t="shared" ca="1" si="8"/>
        <v>-29412.060880099729</v>
      </c>
      <c r="J26" s="41">
        <f t="shared" ca="1" si="8"/>
        <v>-62267.965771662246</v>
      </c>
      <c r="K26" s="41">
        <f t="shared" ca="1" si="8"/>
        <v>-97263.855853915215</v>
      </c>
      <c r="L26" s="41">
        <f t="shared" ca="1" si="8"/>
        <v>-131824.89661382715</v>
      </c>
      <c r="M26" s="41">
        <f t="shared" ca="1" si="8"/>
        <v>-169650.80463978703</v>
      </c>
      <c r="N26" s="41">
        <f t="shared" ca="1" si="8"/>
        <v>-188686.72932521196</v>
      </c>
      <c r="O26" s="41">
        <f t="shared" ca="1" si="8"/>
        <v>-172278.88310075254</v>
      </c>
      <c r="P26" s="41">
        <f t="shared" ca="1" si="8"/>
        <v>-177277.15104102704</v>
      </c>
      <c r="Q26" s="41">
        <f t="shared" ca="1" si="8"/>
        <v>-181969.61227642759</v>
      </c>
      <c r="R26" s="41">
        <f t="shared" ca="1" si="8"/>
        <v>-186784.28563401458</v>
      </c>
      <c r="S26" s="41">
        <f t="shared" ca="1" si="8"/>
        <v>-191731.83311728516</v>
      </c>
      <c r="T26" s="41">
        <f t="shared" ca="1" si="8"/>
        <v>-196815.24575036508</v>
      </c>
      <c r="U26" s="41">
        <f t="shared" ca="1" si="8"/>
        <v>-201818.5879787032</v>
      </c>
      <c r="V26" s="41">
        <f t="shared" ca="1" si="8"/>
        <v>-206960.95656688322</v>
      </c>
      <c r="W26" s="41">
        <f t="shared" ca="1" si="8"/>
        <v>-212234.55973527208</v>
      </c>
      <c r="X26" s="41">
        <f t="shared" ca="1" si="8"/>
        <v>-217642.77128004434</v>
      </c>
      <c r="Y26" s="41">
        <f t="shared" ca="1" si="8"/>
        <v>-223189.06787723757</v>
      </c>
      <c r="Z26" s="41">
        <f t="shared" ca="1" si="8"/>
        <v>-221954.49194477056</v>
      </c>
      <c r="AA26" s="41">
        <f t="shared" ca="1" si="8"/>
        <v>-213059.33960213643</v>
      </c>
      <c r="AB26" s="41">
        <f t="shared" ca="1" si="8"/>
        <v>-218948.05920663907</v>
      </c>
      <c r="AC26" s="41">
        <f t="shared" ca="1" si="8"/>
        <v>-168721.89443486882</v>
      </c>
      <c r="AD26" s="41">
        <f t="shared" ca="1" si="8"/>
        <v>-111151.43104556442</v>
      </c>
      <c r="AE26" s="41">
        <f t="shared" ca="1" si="8"/>
        <v>-46662.483158746414</v>
      </c>
      <c r="AF26" s="41">
        <f t="shared" ca="1" si="8"/>
        <v>0</v>
      </c>
      <c r="AG26" s="41">
        <f t="shared" ca="1" si="8"/>
        <v>0</v>
      </c>
      <c r="AH26" s="41">
        <f t="shared" ca="1" si="8"/>
        <v>0</v>
      </c>
      <c r="AI26" s="41">
        <f t="shared" ca="1" si="8"/>
        <v>32792.487393584364</v>
      </c>
      <c r="AJ26" s="41">
        <f t="shared" ref="AJ26:BA26" ca="1" si="9">AJ23+AJ24+AJ25</f>
        <v>102465.50187308199</v>
      </c>
      <c r="AK26" s="41">
        <f t="shared" ca="1" si="9"/>
        <v>159905.13958498009</v>
      </c>
      <c r="AL26" s="41">
        <f t="shared" ca="1" si="9"/>
        <v>211041.70325391911</v>
      </c>
      <c r="AM26" s="41">
        <f t="shared" ca="1" si="9"/>
        <v>282200.5801263646</v>
      </c>
      <c r="AN26" s="41">
        <f t="shared" ca="1" si="9"/>
        <v>339491.56629461295</v>
      </c>
      <c r="AO26" s="41">
        <f t="shared" ca="1" si="9"/>
        <v>391294.03632409382</v>
      </c>
      <c r="AP26" s="41">
        <f t="shared" ca="1" si="9"/>
        <v>464913.55098699627</v>
      </c>
      <c r="AQ26" s="41">
        <f t="shared" ca="1" si="9"/>
        <v>539391.00116937072</v>
      </c>
      <c r="AR26" s="41">
        <f t="shared" ca="1" si="9"/>
        <v>615106.05388573161</v>
      </c>
      <c r="AS26" s="41">
        <f t="shared" ca="1" si="9"/>
        <v>692170.29474626924</v>
      </c>
      <c r="AT26" s="41">
        <f t="shared" ca="1" si="9"/>
        <v>771540.03263922781</v>
      </c>
      <c r="AU26" s="41">
        <f t="shared" ca="1" si="9"/>
        <v>853747.64087132947</v>
      </c>
      <c r="AV26" s="41">
        <f t="shared" ca="1" si="9"/>
        <v>938687.75778899016</v>
      </c>
      <c r="AW26" s="41">
        <f t="shared" ca="1" si="9"/>
        <v>1026537.3636436585</v>
      </c>
      <c r="AX26" s="41">
        <f t="shared" ca="1" si="9"/>
        <v>1140771.264913626</v>
      </c>
      <c r="AY26" s="41">
        <f t="shared" ca="1" si="9"/>
        <v>1262065.4810650782</v>
      </c>
      <c r="AZ26" s="41">
        <f t="shared" ca="1" si="9"/>
        <v>1361008.1712498157</v>
      </c>
      <c r="BA26" s="41">
        <f t="shared" ca="1" si="9"/>
        <v>1463625.4649312317</v>
      </c>
    </row>
    <row r="27" spans="1:53" x14ac:dyDescent="0.3">
      <c r="A27" t="s">
        <v>236</v>
      </c>
      <c r="B27" t="s">
        <v>48</v>
      </c>
      <c r="D27" s="40">
        <f ca="1">D26</f>
        <v>254324.375</v>
      </c>
      <c r="E27" s="40">
        <f t="shared" ref="E27:AJ27" ca="1" si="10">D27+E26</f>
        <v>346646.45747070311</v>
      </c>
      <c r="F27" s="40">
        <f t="shared" ca="1" si="10"/>
        <v>407510.20626443101</v>
      </c>
      <c r="G27" s="40">
        <f t="shared" ca="1" si="10"/>
        <v>428368.24576596823</v>
      </c>
      <c r="H27" s="40">
        <f t="shared" ca="1" si="10"/>
        <v>428368.24576596823</v>
      </c>
      <c r="I27" s="40">
        <f t="shared" ca="1" si="10"/>
        <v>398956.18488586851</v>
      </c>
      <c r="J27" s="40">
        <f t="shared" ca="1" si="10"/>
        <v>336688.21911420627</v>
      </c>
      <c r="K27" s="40">
        <f t="shared" ca="1" si="10"/>
        <v>239424.36326029105</v>
      </c>
      <c r="L27" s="40">
        <f t="shared" ca="1" si="10"/>
        <v>107599.4666464639</v>
      </c>
      <c r="M27" s="40">
        <f t="shared" ca="1" si="10"/>
        <v>-62051.337993323134</v>
      </c>
      <c r="N27" s="40">
        <f t="shared" ca="1" si="10"/>
        <v>-250738.06731853509</v>
      </c>
      <c r="O27" s="40">
        <f t="shared" ca="1" si="10"/>
        <v>-423016.95041928766</v>
      </c>
      <c r="P27" s="40">
        <f t="shared" ca="1" si="10"/>
        <v>-600294.10146031471</v>
      </c>
      <c r="Q27" s="40">
        <f t="shared" ca="1" si="10"/>
        <v>-782263.71373674227</v>
      </c>
      <c r="R27" s="40">
        <f t="shared" ca="1" si="10"/>
        <v>-969047.99937075679</v>
      </c>
      <c r="S27" s="40">
        <f t="shared" ca="1" si="10"/>
        <v>-1160779.8324880418</v>
      </c>
      <c r="T27" s="40">
        <f t="shared" ca="1" si="10"/>
        <v>-1357595.0782384069</v>
      </c>
      <c r="U27" s="40">
        <f t="shared" ca="1" si="10"/>
        <v>-1559413.6662171101</v>
      </c>
      <c r="V27" s="40">
        <f t="shared" ca="1" si="10"/>
        <v>-1766374.6227839934</v>
      </c>
      <c r="W27" s="40">
        <f t="shared" ca="1" si="10"/>
        <v>-1978609.1825192655</v>
      </c>
      <c r="X27" s="40">
        <f t="shared" ca="1" si="10"/>
        <v>-2196251.9537993097</v>
      </c>
      <c r="Y27" s="40">
        <f t="shared" ca="1" si="10"/>
        <v>-2419441.0216765474</v>
      </c>
      <c r="Z27" s="40">
        <f t="shared" ca="1" si="10"/>
        <v>-2641395.5136213182</v>
      </c>
      <c r="AA27" s="40">
        <f t="shared" ca="1" si="10"/>
        <v>-2854454.8532234547</v>
      </c>
      <c r="AB27" s="40">
        <f t="shared" ca="1" si="10"/>
        <v>-3073402.9124300936</v>
      </c>
      <c r="AC27" s="40">
        <f t="shared" ca="1" si="10"/>
        <v>-3242124.8068649624</v>
      </c>
      <c r="AD27" s="40">
        <f t="shared" ca="1" si="10"/>
        <v>-3353276.2379105268</v>
      </c>
      <c r="AE27" s="40">
        <f t="shared" ca="1" si="10"/>
        <v>-3399938.7210692731</v>
      </c>
      <c r="AF27" s="40">
        <f t="shared" ca="1" si="10"/>
        <v>-3399938.7210692731</v>
      </c>
      <c r="AG27" s="40">
        <f t="shared" ca="1" si="10"/>
        <v>-3399938.7210692731</v>
      </c>
      <c r="AH27" s="40">
        <f t="shared" ca="1" si="10"/>
        <v>-3399938.7210692731</v>
      </c>
      <c r="AI27" s="40">
        <f t="shared" ca="1" si="10"/>
        <v>-3367146.2336756885</v>
      </c>
      <c r="AJ27" s="40">
        <f t="shared" ca="1" si="10"/>
        <v>-3264680.7318026065</v>
      </c>
      <c r="AK27" s="40">
        <f t="shared" ref="AK27:BA27" ca="1" si="11">AJ27+AK26</f>
        <v>-3104775.5922176265</v>
      </c>
      <c r="AL27" s="40">
        <f t="shared" ca="1" si="11"/>
        <v>-2893733.8889637073</v>
      </c>
      <c r="AM27" s="40">
        <f t="shared" ca="1" si="11"/>
        <v>-2611533.3088373425</v>
      </c>
      <c r="AN27" s="40">
        <f t="shared" ca="1" si="11"/>
        <v>-2272041.7425427297</v>
      </c>
      <c r="AO27" s="40">
        <f t="shared" ca="1" si="11"/>
        <v>-1880747.7062186359</v>
      </c>
      <c r="AP27" s="40">
        <f t="shared" ca="1" si="11"/>
        <v>-1415834.1552316397</v>
      </c>
      <c r="AQ27" s="40">
        <f t="shared" ca="1" si="11"/>
        <v>-876443.15406226902</v>
      </c>
      <c r="AR27" s="40">
        <f t="shared" ca="1" si="11"/>
        <v>-261337.10017653741</v>
      </c>
      <c r="AS27" s="40">
        <f t="shared" ca="1" si="11"/>
        <v>430833.19456973183</v>
      </c>
      <c r="AT27" s="40">
        <f t="shared" ca="1" si="11"/>
        <v>1202373.2272089596</v>
      </c>
      <c r="AU27" s="40">
        <f t="shared" ca="1" si="11"/>
        <v>2056120.8680802891</v>
      </c>
      <c r="AV27" s="40">
        <f t="shared" ca="1" si="11"/>
        <v>2994808.6258692793</v>
      </c>
      <c r="AW27" s="40">
        <f t="shared" ca="1" si="11"/>
        <v>4021345.9895129376</v>
      </c>
      <c r="AX27" s="40">
        <f t="shared" ca="1" si="11"/>
        <v>5162117.2544265632</v>
      </c>
      <c r="AY27" s="40">
        <f t="shared" ca="1" si="11"/>
        <v>6424182.7354916409</v>
      </c>
      <c r="AZ27" s="40">
        <f t="shared" ca="1" si="11"/>
        <v>7785190.9067414571</v>
      </c>
      <c r="BA27" s="40">
        <f t="shared" ca="1" si="11"/>
        <v>9248816.3716726881</v>
      </c>
    </row>
    <row r="29" spans="1:53" x14ac:dyDescent="0.3">
      <c r="A29" s="37" t="s">
        <v>237</v>
      </c>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row>
    <row r="30" spans="1:53" x14ac:dyDescent="0.3">
      <c r="A30" t="s">
        <v>238</v>
      </c>
      <c r="B30" t="s">
        <v>48</v>
      </c>
      <c r="D30" s="40">
        <f ca="1">'Asset Register'!D61</f>
        <v>280000</v>
      </c>
      <c r="E30" s="40">
        <f ca="1">'Asset Register'!E61</f>
        <v>869400</v>
      </c>
      <c r="F30" s="40">
        <f ca="1">'Asset Register'!F61</f>
        <v>1799657.9999999998</v>
      </c>
      <c r="G30" s="40">
        <f ca="1">'Asset Register'!G61</f>
        <v>2793969.0449999999</v>
      </c>
      <c r="H30" s="40">
        <f ca="1">'Asset Register'!H61</f>
        <v>3855677.2820999995</v>
      </c>
      <c r="I30" s="40">
        <f ca="1">'Asset Register'!I61</f>
        <v>4988282.4837168735</v>
      </c>
      <c r="J30" s="40">
        <f ca="1">'Asset Register'!J61</f>
        <v>6195446.8447763566</v>
      </c>
      <c r="K30" s="40">
        <f ca="1">'Asset Register'!K61</f>
        <v>7481002.0650674496</v>
      </c>
      <c r="L30" s="40">
        <f ca="1">'Asset Register'!L61</f>
        <v>8848956.7283940688</v>
      </c>
      <c r="M30" s="40">
        <f ca="1">'Asset Register'!M61</f>
        <v>10303503.990623841</v>
      </c>
      <c r="N30" s="40">
        <f ca="1">'Asset Register'!N61</f>
        <v>11059094.28326959</v>
      </c>
      <c r="O30" s="40">
        <f ca="1">'Asset Register'!O61</f>
        <v>11446162.583184026</v>
      </c>
      <c r="P30" s="40">
        <f ca="1">'Asset Register'!P61</f>
        <v>11846778.273595465</v>
      </c>
      <c r="Q30" s="40">
        <f ca="1">'Asset Register'!Q61</f>
        <v>12261415.513171304</v>
      </c>
      <c r="R30" s="40">
        <f ca="1">'Asset Register'!R61</f>
        <v>12690565.056132298</v>
      </c>
      <c r="S30" s="40">
        <f ca="1">'Asset Register'!S61</f>
        <v>13134734.833096929</v>
      </c>
      <c r="T30" s="40">
        <f ca="1">'Asset Register'!T61</f>
        <v>13594450.552255319</v>
      </c>
      <c r="U30" s="40">
        <f ca="1">'Asset Register'!U61</f>
        <v>14070256.321584258</v>
      </c>
      <c r="V30" s="40">
        <f ca="1">'Asset Register'!V61</f>
        <v>14562715.292839706</v>
      </c>
      <c r="W30" s="40">
        <f ca="1">'Asset Register'!W61</f>
        <v>15072410.328089094</v>
      </c>
      <c r="X30" s="40">
        <f ca="1">'Asset Register'!X61</f>
        <v>15599944.689572208</v>
      </c>
      <c r="Y30" s="40">
        <f ca="1">'Asset Register'!Y61</f>
        <v>16145942.753707234</v>
      </c>
      <c r="Z30" s="40">
        <f ca="1">'Asset Register'!Z61</f>
        <v>17307873.991161525</v>
      </c>
      <c r="AA30" s="40">
        <f ca="1">'Asset Register'!AA61</f>
        <v>17913649.580852173</v>
      </c>
      <c r="AB30" s="40">
        <f ca="1">'Asset Register'!AB61</f>
        <v>18540627.316181999</v>
      </c>
      <c r="AC30" s="40">
        <f ca="1">'Asset Register'!AC61</f>
        <v>19189549.272248365</v>
      </c>
      <c r="AD30" s="40">
        <f ca="1">'Asset Register'!AD61</f>
        <v>20546051.893217642</v>
      </c>
      <c r="AE30" s="40">
        <f ca="1">'Asset Register'!AE61</f>
        <v>21265163.709480256</v>
      </c>
      <c r="AF30" s="40">
        <f ca="1">'Asset Register'!AF61</f>
        <v>22009444.439312071</v>
      </c>
      <c r="AG30" s="40">
        <f ca="1">'Asset Register'!AG61</f>
        <v>23539100.827844255</v>
      </c>
      <c r="AH30" s="40">
        <f ca="1">'Asset Register'!AH61</f>
        <v>24362969.356818803</v>
      </c>
      <c r="AI30" s="40">
        <f ca="1">'Asset Register'!AI61</f>
        <v>26029082.099930286</v>
      </c>
      <c r="AJ30" s="40">
        <f ca="1">'Asset Register'!AJ61</f>
        <v>27781978.097597472</v>
      </c>
      <c r="AK30" s="40">
        <f ca="1">'Asset Register'!AK61</f>
        <v>28754347.331013374</v>
      </c>
      <c r="AL30" s="40">
        <f ca="1">'Asset Register'!AL61</f>
        <v>30662590.381162442</v>
      </c>
      <c r="AM30" s="40">
        <f ca="1">'Asset Register'!AM61</f>
        <v>32669186.369341429</v>
      </c>
      <c r="AN30" s="40">
        <f ca="1">'Asset Register'!AN61</f>
        <v>33812607.892268404</v>
      </c>
      <c r="AO30" s="40">
        <f ca="1">'Asset Register'!AO61</f>
        <v>35995936.287597723</v>
      </c>
      <c r="AP30" s="40">
        <f ca="1">'Asset Register'!AP61</f>
        <v>38290677.225932077</v>
      </c>
      <c r="AQ30" s="40">
        <f ca="1">'Asset Register'!AQ61</f>
        <v>40701955.007997513</v>
      </c>
      <c r="AR30" s="40">
        <f ca="1">'Asset Register'!AR61</f>
        <v>43235116.155205756</v>
      </c>
      <c r="AS30" s="40">
        <f ca="1">'Asset Register'!AS61</f>
        <v>45895738.687833838</v>
      </c>
      <c r="AT30" s="40">
        <f ca="1">'Asset Register'!AT61</f>
        <v>48689641.780455679</v>
      </c>
      <c r="AU30" s="40">
        <f ca="1">'Asset Register'!AU61</f>
        <v>51622895.809668534</v>
      </c>
      <c r="AV30" s="40">
        <f ca="1">'Asset Register'!AV61</f>
        <v>54701832.809745185</v>
      </c>
      <c r="AW30" s="40">
        <f ca="1">'Asset Register'!AW61</f>
        <v>57933057.352460392</v>
      </c>
      <c r="AX30" s="40">
        <f ca="1">'Asset Register'!AX61</f>
        <v>62686201.376150817</v>
      </c>
      <c r="AY30" s="40">
        <f ca="1">'Asset Register'!AY61</f>
        <v>66290657.955279455</v>
      </c>
      <c r="AZ30" s="40">
        <f ca="1">'Asset Register'!AZ61</f>
        <v>70070635.898261458</v>
      </c>
      <c r="BA30" s="40">
        <f ca="1">'Asset Register'!BA61</f>
        <v>74034006.241256818</v>
      </c>
    </row>
    <row r="31" spans="1:53" x14ac:dyDescent="0.3">
      <c r="A31" t="s">
        <v>239</v>
      </c>
      <c r="B31" t="s">
        <v>48</v>
      </c>
      <c r="D31" s="40">
        <f ca="1">'Asset Register'!D135</f>
        <v>800</v>
      </c>
      <c r="E31" s="40">
        <f ca="1">'Asset Register'!E135</f>
        <v>3260</v>
      </c>
      <c r="F31" s="40">
        <f ca="1">'Asset Register'!F135</f>
        <v>8303</v>
      </c>
      <c r="G31" s="40">
        <f ca="1">'Asset Register'!G135</f>
        <v>16056.612500000001</v>
      </c>
      <c r="H31" s="40">
        <f ca="1">'Asset Register'!H135</f>
        <v>26653.216250000001</v>
      </c>
      <c r="I31" s="40">
        <f ca="1">'Asset Register'!I135</f>
        <v>40230.114804687495</v>
      </c>
      <c r="J31" s="40">
        <f ca="1">'Asset Register'!J135</f>
        <v>56929.700026953113</v>
      </c>
      <c r="K31" s="40">
        <f ca="1">'Asset Register'!K135</f>
        <v>76899.620688579074</v>
      </c>
      <c r="L31" s="40">
        <f ca="1">'Asset Register'!L135</f>
        <v>100292.9563207695</v>
      </c>
      <c r="M31" s="40">
        <f ca="1">'Asset Register'!M135</f>
        <v>127268.39647163908</v>
      </c>
      <c r="N31" s="40">
        <f ca="1">'Asset Register'!N135</f>
        <v>155942.29026163748</v>
      </c>
      <c r="O31" s="40">
        <f ca="1">'Asset Register'!O135</f>
        <v>185333.03139638581</v>
      </c>
      <c r="P31" s="40">
        <f ca="1">'Asset Register'!P135</f>
        <v>215458.54105950287</v>
      </c>
      <c r="Q31" s="40">
        <f ca="1">'Asset Register'!Q135</f>
        <v>246337.18846419785</v>
      </c>
      <c r="R31" s="40">
        <f ca="1">'Asset Register'!R135</f>
        <v>277987.80205401022</v>
      </c>
      <c r="S31" s="40">
        <f ca="1">'Asset Register'!S135</f>
        <v>310429.68098356784</v>
      </c>
      <c r="T31" s="40">
        <f ca="1">'Asset Register'!T135</f>
        <v>343682.60688636446</v>
      </c>
      <c r="U31" s="40">
        <f ca="1">'Asset Register'!U135</f>
        <v>377766.85593673098</v>
      </c>
      <c r="V31" s="40">
        <f ca="1">'Asset Register'!V135</f>
        <v>412703.21121335664</v>
      </c>
      <c r="W31" s="40">
        <f ca="1">'Asset Register'!W135</f>
        <v>448512.97537189792</v>
      </c>
      <c r="X31" s="40">
        <f ca="1">'Asset Register'!X135</f>
        <v>485217.98363440274</v>
      </c>
      <c r="Y31" s="40">
        <f ca="1">'Asset Register'!Y135</f>
        <v>522840.6171034702</v>
      </c>
      <c r="Z31" s="40">
        <f ca="1">'Asset Register'!Z135</f>
        <v>562781.07352732844</v>
      </c>
      <c r="AA31" s="40">
        <f ca="1">'Asset Register'!AA135</f>
        <v>603720.04136178305</v>
      </c>
      <c r="AB31" s="40">
        <f ca="1">'Asset Register'!AB135</f>
        <v>645682.48339209915</v>
      </c>
      <c r="AC31" s="40">
        <f ca="1">'Asset Register'!AC135</f>
        <v>688693.98647317314</v>
      </c>
      <c r="AD31" s="40">
        <f ca="1">'Asset Register'!AD135</f>
        <v>734301.01129189809</v>
      </c>
      <c r="AE31" s="40">
        <f ca="1">'Asset Register'!AE135</f>
        <v>781048.21173109114</v>
      </c>
      <c r="AF31" s="40">
        <f ca="1">'Asset Register'!AF135</f>
        <v>828964.09218126396</v>
      </c>
      <c r="AG31" s="40">
        <f ca="1">'Asset Register'!AG135</f>
        <v>879714.995558072</v>
      </c>
      <c r="AH31" s="40">
        <f ca="1">'Asset Register'!AH135</f>
        <v>931734.6715193002</v>
      </c>
      <c r="AI31" s="40">
        <f ca="1">'Asset Register'!AI135</f>
        <v>986774.84479440621</v>
      </c>
      <c r="AJ31" s="40">
        <f ca="1">'Asset Register'!AJ135</f>
        <v>1044954.0279516081</v>
      </c>
      <c r="AK31" s="40">
        <f ca="1">'Asset Register'!AK135</f>
        <v>1104587.69068774</v>
      </c>
      <c r="AL31" s="40">
        <f ca="1">'Asset Register'!AL135</f>
        <v>1167564.4526984734</v>
      </c>
      <c r="AM31" s="40">
        <f ca="1">'Asset Register'!AM135</f>
        <v>1234014.1979083279</v>
      </c>
      <c r="AN31" s="40">
        <f ca="1">'Asset Register'!AN135</f>
        <v>1302125.186748429</v>
      </c>
      <c r="AO31" s="40">
        <f ca="1">'Asset Register'!AO135</f>
        <v>1373933.6292684213</v>
      </c>
      <c r="AP31" s="40">
        <f ca="1">'Asset Register'!AP135</f>
        <v>1449581.8287842742</v>
      </c>
      <c r="AQ31" s="40">
        <f ca="1">'Asset Register'!AQ135</f>
        <v>1529216.8928692057</v>
      </c>
      <c r="AR31" s="40">
        <f ca="1">'Asset Register'!AR135</f>
        <v>1612990.8846269727</v>
      </c>
      <c r="AS31" s="40">
        <f ca="1">'Asset Register'!AS135</f>
        <v>1701060.9785261636</v>
      </c>
      <c r="AT31" s="40">
        <f ca="1">'Asset Register'!AT135</f>
        <v>1793589.6209290009</v>
      </c>
      <c r="AU31" s="40">
        <f ca="1">'Asset Register'!AU135</f>
        <v>1890744.69545198</v>
      </c>
      <c r="AV31" s="40">
        <f ca="1">'Asset Register'!AV135</f>
        <v>1992699.6932996064</v>
      </c>
      <c r="AW31" s="40">
        <f ca="1">'Asset Register'!AW135</f>
        <v>2099633.8887165356</v>
      </c>
      <c r="AX31" s="40">
        <f ca="1">'Asset Register'!AX135</f>
        <v>2214223.6003962671</v>
      </c>
      <c r="AY31" s="40">
        <f ca="1">'Asset Register'!AY135</f>
        <v>2334231.4125738991</v>
      </c>
      <c r="AZ31" s="40">
        <f ca="1">'Asset Register'!AZ135</f>
        <v>2459856.6117045269</v>
      </c>
      <c r="BA31" s="40">
        <f ca="1">'Asset Register'!BA135</f>
        <v>2591305.0622531888</v>
      </c>
    </row>
    <row r="32" spans="1:53" x14ac:dyDescent="0.3">
      <c r="A32" t="s">
        <v>240</v>
      </c>
      <c r="B32" t="s">
        <v>48</v>
      </c>
      <c r="D32" s="40">
        <f t="shared" ref="D32:AI32" ca="1" si="12">D65</f>
        <v>26824.375</v>
      </c>
      <c r="E32" s="40">
        <f t="shared" ca="1" si="12"/>
        <v>26129.262158203113</v>
      </c>
      <c r="F32" s="40">
        <f t="shared" ca="1" si="12"/>
        <v>10605.97614297102</v>
      </c>
      <c r="G32" s="40">
        <f t="shared" ca="1" si="12"/>
        <v>-14514.878046141717</v>
      </c>
      <c r="H32" s="40">
        <f t="shared" ca="1" si="12"/>
        <v>-23275.537432712274</v>
      </c>
      <c r="I32" s="40">
        <f t="shared" ca="1" si="12"/>
        <v>-27162.479034554788</v>
      </c>
      <c r="J32" s="40">
        <f t="shared" ca="1" si="12"/>
        <v>-23343.824067585563</v>
      </c>
      <c r="K32" s="40">
        <f t="shared" ca="1" si="12"/>
        <v>-62488.727635740041</v>
      </c>
      <c r="L32" s="40">
        <f t="shared" ca="1" si="12"/>
        <v>-115347.99220129132</v>
      </c>
      <c r="M32" s="40">
        <f t="shared" ca="1" si="12"/>
        <v>-170626.02291606166</v>
      </c>
      <c r="N32" s="40">
        <f t="shared" ca="1" si="12"/>
        <v>-317425.33328612219</v>
      </c>
      <c r="O32" s="40">
        <f t="shared" ca="1" si="12"/>
        <v>-250808.81169438013</v>
      </c>
      <c r="P32" s="40">
        <f t="shared" ca="1" si="12"/>
        <v>-173808.05807388973</v>
      </c>
      <c r="Q32" s="40">
        <f t="shared" ca="1" si="12"/>
        <v>-94304.423787103035</v>
      </c>
      <c r="R32" s="40">
        <f t="shared" ca="1" si="12"/>
        <v>-12358.542692436138</v>
      </c>
      <c r="S32" s="40">
        <f t="shared" ca="1" si="12"/>
        <v>72117.904604430893</v>
      </c>
      <c r="T32" s="40">
        <f t="shared" ca="1" si="12"/>
        <v>163597.15593106713</v>
      </c>
      <c r="U32" s="40">
        <f t="shared" ca="1" si="12"/>
        <v>258130.12040037801</v>
      </c>
      <c r="V32" s="40">
        <f t="shared" ca="1" si="12"/>
        <v>356041.28623375943</v>
      </c>
      <c r="W32" s="40">
        <f t="shared" ca="1" si="12"/>
        <v>457451.53862987389</v>
      </c>
      <c r="X32" s="40">
        <f t="shared" ca="1" si="12"/>
        <v>562485.75520874024</v>
      </c>
      <c r="Y32" s="40">
        <f t="shared" ca="1" si="12"/>
        <v>671185.63039411162</v>
      </c>
      <c r="Z32" s="40">
        <f t="shared" ca="1" si="12"/>
        <v>192492.34211194422</v>
      </c>
      <c r="AA32" s="40">
        <f t="shared" ca="1" si="12"/>
        <v>331065.89356024261</v>
      </c>
      <c r="AB32" s="40">
        <f t="shared" ca="1" si="12"/>
        <v>482764.50695753889</v>
      </c>
      <c r="AC32" s="40">
        <f t="shared" ca="1" si="12"/>
        <v>679636.83754380164</v>
      </c>
      <c r="AD32" s="40">
        <f t="shared" ca="1" si="12"/>
        <v>253286.43186413613</v>
      </c>
      <c r="AE32" s="40">
        <f t="shared" ca="1" si="12"/>
        <v>584259.10158614698</v>
      </c>
      <c r="AF32" s="40">
        <f t="shared" ca="1" si="12"/>
        <v>978111.57499822741</v>
      </c>
      <c r="AG32" s="40">
        <f t="shared" ca="1" si="12"/>
        <v>617391.00439548225</v>
      </c>
      <c r="AH32" s="40">
        <f t="shared" ca="1" si="12"/>
        <v>1011408.8754308277</v>
      </c>
      <c r="AI32" s="40">
        <f t="shared" ca="1" si="12"/>
        <v>625491.6136231717</v>
      </c>
      <c r="AJ32" s="40">
        <f t="shared" ref="AJ32:BA32" ca="1" si="13">AJ65</f>
        <v>283663.0674810753</v>
      </c>
      <c r="AK32" s="40">
        <f t="shared" ca="1" si="13"/>
        <v>862481.8204558224</v>
      </c>
      <c r="AL32" s="40">
        <f t="shared" ca="1" si="13"/>
        <v>608257.706750846</v>
      </c>
      <c r="AM32" s="40">
        <f t="shared" ca="1" si="13"/>
        <v>403284.13107580948</v>
      </c>
      <c r="AN32" s="40">
        <f t="shared" ca="1" si="13"/>
        <v>1213829.1492717296</v>
      </c>
      <c r="AO32" s="40">
        <f t="shared" ca="1" si="13"/>
        <v>1096712.1791282389</v>
      </c>
      <c r="AP32" s="40">
        <f t="shared" ca="1" si="13"/>
        <v>1029517.7814767694</v>
      </c>
      <c r="AQ32" s="40">
        <f t="shared" ca="1" si="13"/>
        <v>1026589.6348409238</v>
      </c>
      <c r="AR32" s="40">
        <f t="shared" ca="1" si="13"/>
        <v>1089351.2703504201</v>
      </c>
      <c r="AS32" s="40">
        <f t="shared" ca="1" si="13"/>
        <v>1218994.0296322971</v>
      </c>
      <c r="AT32" s="40">
        <f t="shared" ca="1" si="13"/>
        <v>1400990.4129516319</v>
      </c>
      <c r="AU32" s="40">
        <f t="shared" ca="1" si="13"/>
        <v>1623332.1769162412</v>
      </c>
      <c r="AV32" s="40">
        <f t="shared" ca="1" si="13"/>
        <v>1887027.7354710945</v>
      </c>
      <c r="AW32" s="40">
        <f t="shared" ca="1" si="13"/>
        <v>2193182.3780982317</v>
      </c>
      <c r="AX32" s="40">
        <f t="shared" ca="1" si="13"/>
        <v>1201065.7900676671</v>
      </c>
      <c r="AY32" s="40">
        <f t="shared" ca="1" si="13"/>
        <v>1644029.0753206639</v>
      </c>
      <c r="AZ32" s="40">
        <f t="shared" ca="1" si="13"/>
        <v>2135563.0721118827</v>
      </c>
      <c r="BA32" s="40">
        <f t="shared" ca="1" si="13"/>
        <v>2677875.3401039341</v>
      </c>
    </row>
    <row r="33" spans="1:53" x14ac:dyDescent="0.3">
      <c r="A33" s="3" t="s">
        <v>241</v>
      </c>
      <c r="B33" s="3" t="s">
        <v>48</v>
      </c>
      <c r="C33" s="3"/>
      <c r="D33" s="41">
        <f t="shared" ref="D33:AI33" ca="1" si="14">SUM(D30:D32)</f>
        <v>307624.375</v>
      </c>
      <c r="E33" s="41">
        <f t="shared" ca="1" si="14"/>
        <v>898789.26215820317</v>
      </c>
      <c r="F33" s="41">
        <f t="shared" ca="1" si="14"/>
        <v>1818566.9761429708</v>
      </c>
      <c r="G33" s="41">
        <f t="shared" ca="1" si="14"/>
        <v>2795510.7794538578</v>
      </c>
      <c r="H33" s="41">
        <f t="shared" ca="1" si="14"/>
        <v>3859054.960917287</v>
      </c>
      <c r="I33" s="41">
        <f t="shared" ca="1" si="14"/>
        <v>5001350.1194870062</v>
      </c>
      <c r="J33" s="41">
        <f t="shared" ca="1" si="14"/>
        <v>6229032.7207357241</v>
      </c>
      <c r="K33" s="41">
        <f t="shared" ca="1" si="14"/>
        <v>7495412.9581202883</v>
      </c>
      <c r="L33" s="41">
        <f t="shared" ca="1" si="14"/>
        <v>8833901.6925135478</v>
      </c>
      <c r="M33" s="41">
        <f t="shared" ca="1" si="14"/>
        <v>10260146.364179417</v>
      </c>
      <c r="N33" s="41">
        <f t="shared" ca="1" si="14"/>
        <v>10897611.240245106</v>
      </c>
      <c r="O33" s="41">
        <f t="shared" ca="1" si="14"/>
        <v>11380686.802886032</v>
      </c>
      <c r="P33" s="41">
        <f t="shared" ca="1" si="14"/>
        <v>11888428.756581079</v>
      </c>
      <c r="Q33" s="41">
        <f t="shared" ca="1" si="14"/>
        <v>12413448.2778484</v>
      </c>
      <c r="R33" s="41">
        <f t="shared" ca="1" si="14"/>
        <v>12956194.315493872</v>
      </c>
      <c r="S33" s="41">
        <f t="shared" ca="1" si="14"/>
        <v>13517282.418684928</v>
      </c>
      <c r="T33" s="41">
        <f t="shared" ca="1" si="14"/>
        <v>14101730.315072751</v>
      </c>
      <c r="U33" s="41">
        <f t="shared" ca="1" si="14"/>
        <v>14706153.297921367</v>
      </c>
      <c r="V33" s="41">
        <f t="shared" ca="1" si="14"/>
        <v>15331459.79028682</v>
      </c>
      <c r="W33" s="41">
        <f t="shared" ca="1" si="14"/>
        <v>15978374.842090866</v>
      </c>
      <c r="X33" s="41">
        <f t="shared" ca="1" si="14"/>
        <v>16647648.428415351</v>
      </c>
      <c r="Y33" s="41">
        <f t="shared" ca="1" si="14"/>
        <v>17339969.001204815</v>
      </c>
      <c r="Z33" s="41">
        <f t="shared" ca="1" si="14"/>
        <v>18063147.406800799</v>
      </c>
      <c r="AA33" s="41">
        <f t="shared" ca="1" si="14"/>
        <v>18848435.515774198</v>
      </c>
      <c r="AB33" s="41">
        <f t="shared" ca="1" si="14"/>
        <v>19669074.306531638</v>
      </c>
      <c r="AC33" s="41">
        <f t="shared" ca="1" si="14"/>
        <v>20557880.096265338</v>
      </c>
      <c r="AD33" s="41">
        <f t="shared" ca="1" si="14"/>
        <v>21533639.336373676</v>
      </c>
      <c r="AE33" s="41">
        <f t="shared" ca="1" si="14"/>
        <v>22630471.022797495</v>
      </c>
      <c r="AF33" s="41">
        <f t="shared" ca="1" si="14"/>
        <v>23816520.106491562</v>
      </c>
      <c r="AG33" s="41">
        <f t="shared" ca="1" si="14"/>
        <v>25036206.827797808</v>
      </c>
      <c r="AH33" s="41">
        <f t="shared" ca="1" si="14"/>
        <v>26306112.903768931</v>
      </c>
      <c r="AI33" s="41">
        <f t="shared" ca="1" si="14"/>
        <v>27641348.558347866</v>
      </c>
      <c r="AJ33" s="41">
        <f t="shared" ref="AJ33:BA33" ca="1" si="15">SUM(AJ30:AJ32)</f>
        <v>29110595.193030156</v>
      </c>
      <c r="AK33" s="41">
        <f t="shared" ca="1" si="15"/>
        <v>30721416.842156935</v>
      </c>
      <c r="AL33" s="41">
        <f t="shared" ca="1" si="15"/>
        <v>32438412.540611763</v>
      </c>
      <c r="AM33" s="41">
        <f t="shared" ca="1" si="15"/>
        <v>34306484.698325567</v>
      </c>
      <c r="AN33" s="41">
        <f t="shared" ca="1" si="15"/>
        <v>36328562.228288561</v>
      </c>
      <c r="AO33" s="41">
        <f t="shared" ca="1" si="15"/>
        <v>38466582.095994383</v>
      </c>
      <c r="AP33" s="41">
        <f t="shared" ca="1" si="15"/>
        <v>40769776.836193115</v>
      </c>
      <c r="AQ33" s="41">
        <f t="shared" ca="1" si="15"/>
        <v>43257761.535707638</v>
      </c>
      <c r="AR33" s="41">
        <f t="shared" ca="1" si="15"/>
        <v>45937458.310183145</v>
      </c>
      <c r="AS33" s="41">
        <f t="shared" ca="1" si="15"/>
        <v>48815793.695992298</v>
      </c>
      <c r="AT33" s="41">
        <f t="shared" ca="1" si="15"/>
        <v>51884221.814336315</v>
      </c>
      <c r="AU33" s="41">
        <f t="shared" ca="1" si="15"/>
        <v>55136972.682036757</v>
      </c>
      <c r="AV33" s="41">
        <f t="shared" ca="1" si="15"/>
        <v>58581560.238515884</v>
      </c>
      <c r="AW33" s="41">
        <f t="shared" ca="1" si="15"/>
        <v>62225873.61927516</v>
      </c>
      <c r="AX33" s="41">
        <f t="shared" ca="1" si="15"/>
        <v>66101490.76661475</v>
      </c>
      <c r="AY33" s="41">
        <f t="shared" ca="1" si="15"/>
        <v>70268918.443174019</v>
      </c>
      <c r="AZ33" s="41">
        <f t="shared" ca="1" si="15"/>
        <v>74666055.582077876</v>
      </c>
      <c r="BA33" s="41">
        <f t="shared" ca="1" si="15"/>
        <v>79303186.643613949</v>
      </c>
    </row>
    <row r="35" spans="1:53" x14ac:dyDescent="0.3">
      <c r="A35" t="s">
        <v>242</v>
      </c>
      <c r="B35" t="s">
        <v>48</v>
      </c>
      <c r="D35" s="40">
        <f ca="1">'Capital &amp; Debt'!D43</f>
        <v>53300</v>
      </c>
      <c r="E35" s="40">
        <f ca="1">'Capital &amp; Debt'!E43</f>
        <v>465436.7109375</v>
      </c>
      <c r="F35" s="40">
        <f ca="1">'Capital &amp; Debt'!F43</f>
        <v>1165356.977776489</v>
      </c>
      <c r="G35" s="40">
        <f ca="1">'Capital &amp; Debt'!G43</f>
        <v>1860651.4576776596</v>
      </c>
      <c r="H35" s="40">
        <f ca="1">'Capital &amp; Debt'!H43</f>
        <v>2631621.5852154121</v>
      </c>
      <c r="I35" s="40">
        <f ca="1">'Capital &amp; Debt'!I43</f>
        <v>3451190.3387635429</v>
      </c>
      <c r="J35" s="40">
        <f ca="1">'Capital &amp; Debt'!J43</f>
        <v>4336812.7913434496</v>
      </c>
      <c r="K35" s="40">
        <f ca="1">'Capital &amp; Debt'!K43</f>
        <v>5236701.4455472147</v>
      </c>
      <c r="L35" s="40">
        <f ca="1">'Capital &amp; Debt'!L43</f>
        <v>6194269.7098758481</v>
      </c>
      <c r="M35" s="40">
        <f ca="1">'Capital &amp; Debt'!M43</f>
        <v>7212452.7934366884</v>
      </c>
      <c r="N35" s="40">
        <f ca="1">'Capital &amp; Debt'!N43</f>
        <v>7392764.1132726055</v>
      </c>
      <c r="O35" s="40">
        <f ca="1">'Capital &amp; Debt'!O43</f>
        <v>7577583.2161044208</v>
      </c>
      <c r="P35" s="40">
        <f ca="1">'Capital &amp; Debt'!P43</f>
        <v>7767022.7965070317</v>
      </c>
      <c r="Q35" s="40">
        <f ca="1">'Capital &amp; Debt'!Q43</f>
        <v>7961198.3664197074</v>
      </c>
      <c r="R35" s="40">
        <f ca="1">'Capital &amp; Debt'!R43</f>
        <v>8160228.3255802002</v>
      </c>
      <c r="S35" s="40">
        <f ca="1">'Capital &amp; Debt'!S43</f>
        <v>8364234.0337197054</v>
      </c>
      <c r="T35" s="40">
        <f ca="1">'Capital &amp; Debt'!T43</f>
        <v>8573339.8845626973</v>
      </c>
      <c r="U35" s="40">
        <f ca="1">'Capital &amp; Debt'!U43</f>
        <v>8787673.3816767652</v>
      </c>
      <c r="V35" s="40">
        <f ca="1">'Capital &amp; Debt'!V43</f>
        <v>9007365.2162186839</v>
      </c>
      <c r="W35" s="40">
        <f ca="1">'Capital &amp; Debt'!W43</f>
        <v>9232549.3466241509</v>
      </c>
      <c r="X35" s="40">
        <f ca="1">'Capital &amp; Debt'!X43</f>
        <v>9463363.080289755</v>
      </c>
      <c r="Y35" s="40">
        <f ca="1">'Capital &amp; Debt'!Y43</f>
        <v>9699947.1572969984</v>
      </c>
      <c r="Z35" s="40">
        <f ca="1">'Capital &amp; Debt'!Z43</f>
        <v>9942445.8362294231</v>
      </c>
      <c r="AA35" s="40">
        <f ca="1">'Capital &amp; Debt'!AA43</f>
        <v>10191006.982135158</v>
      </c>
      <c r="AB35" s="40">
        <f ca="1">'Capital &amp; Debt'!AB43</f>
        <v>9819035.2272872254</v>
      </c>
      <c r="AC35" s="40">
        <f ca="1">'Capital &amp; Debt'!AC43</f>
        <v>9460640.4414912425</v>
      </c>
      <c r="AD35" s="40">
        <f ca="1">'Capital &amp; Debt'!AD43</f>
        <v>9115327.0653768126</v>
      </c>
      <c r="AE35" s="40">
        <f ca="1">'Capital &amp; Debt'!AE43</f>
        <v>8782617.6274905577</v>
      </c>
      <c r="AF35" s="40">
        <f ca="1">'Capital &amp; Debt'!AF43</f>
        <v>8462052.084087152</v>
      </c>
      <c r="AG35" s="40">
        <f ca="1">'Capital &amp; Debt'!AG43</f>
        <v>8153187.183017971</v>
      </c>
      <c r="AH35" s="40">
        <f ca="1">'Capital &amp; Debt'!AH43</f>
        <v>7855595.8508378146</v>
      </c>
      <c r="AI35" s="40">
        <f ca="1">'Capital &amp; Debt'!AI43</f>
        <v>7568866.6022822345</v>
      </c>
      <c r="AJ35" s="40">
        <f ca="1">'Capital &amp; Debt'!AJ43</f>
        <v>7292602.971298933</v>
      </c>
      <c r="AK35" s="40">
        <f ca="1">'Capital &amp; Debt'!AK43</f>
        <v>7026422.9628465213</v>
      </c>
      <c r="AL35" s="40">
        <f ca="1">'Capital &amp; Debt'!AL43</f>
        <v>6769958.5247026235</v>
      </c>
      <c r="AM35" s="40">
        <f ca="1">'Capital &amp; Debt'!AM43</f>
        <v>6522855.0385509785</v>
      </c>
      <c r="AN35" s="40">
        <f ca="1">'Capital &amp; Debt'!AN43</f>
        <v>6284770.8296438679</v>
      </c>
      <c r="AO35" s="40">
        <f ca="1">'Capital &amp; Debt'!AO43</f>
        <v>6055376.6943618665</v>
      </c>
      <c r="AP35" s="40">
        <f ca="1">'Capital &amp; Debt'!AP43</f>
        <v>5834355.4450176582</v>
      </c>
      <c r="AQ35" s="40">
        <f ca="1">'Capital &amp; Debt'!AQ43</f>
        <v>5621401.4712745138</v>
      </c>
      <c r="AR35" s="40">
        <f ca="1">'Capital &amp; Debt'!AR43</f>
        <v>5416220.3175729932</v>
      </c>
      <c r="AS35" s="40">
        <f ca="1">'Capital &amp; Debt'!AS43</f>
        <v>5218528.275981579</v>
      </c>
      <c r="AT35" s="40">
        <f ca="1">'Capital &amp; Debt'!AT43</f>
        <v>5028051.9939082516</v>
      </c>
      <c r="AU35" s="40">
        <f ca="1">'Capital &amp; Debt'!AU43</f>
        <v>4844528.0961306002</v>
      </c>
      <c r="AV35" s="40">
        <f ca="1">'Capital &amp; Debt'!AV43</f>
        <v>4667702.8206218332</v>
      </c>
      <c r="AW35" s="40">
        <f ca="1">'Capital &amp; Debt'!AW43</f>
        <v>4497331.6676691361</v>
      </c>
      <c r="AX35" s="40">
        <f ca="1">'Capital &amp; Debt'!AX43</f>
        <v>4333179.0617992124</v>
      </c>
      <c r="AY35" s="40">
        <f ca="1">'Capital &amp; Debt'!AY43</f>
        <v>4175018.0260435408</v>
      </c>
      <c r="AZ35" s="40">
        <f ca="1">'Capital &amp; Debt'!AZ43</f>
        <v>4022629.8680929518</v>
      </c>
      <c r="BA35" s="40">
        <f ca="1">'Capital &amp; Debt'!BA43</f>
        <v>3875803.8779075588</v>
      </c>
    </row>
    <row r="36" spans="1:53" x14ac:dyDescent="0.3">
      <c r="A36" t="s">
        <v>243</v>
      </c>
      <c r="B36" t="s">
        <v>48</v>
      </c>
      <c r="D36" s="40">
        <f>'Capital &amp; Debt'!D50</f>
        <v>0</v>
      </c>
      <c r="E36" s="40">
        <f>'Capital &amp; Debt'!E50</f>
        <v>0</v>
      </c>
      <c r="F36" s="40">
        <f>'Capital &amp; Debt'!F50</f>
        <v>0</v>
      </c>
      <c r="G36" s="40">
        <f>'Capital &amp; Debt'!G50</f>
        <v>0</v>
      </c>
      <c r="H36" s="40">
        <f>'Capital &amp; Debt'!H50</f>
        <v>0</v>
      </c>
      <c r="I36" s="40">
        <f>'Capital &amp; Debt'!I50</f>
        <v>0</v>
      </c>
      <c r="J36" s="40">
        <f>'Capital &amp; Debt'!J50</f>
        <v>0</v>
      </c>
      <c r="K36" s="40">
        <f>'Capital &amp; Debt'!K50</f>
        <v>0</v>
      </c>
      <c r="L36" s="40">
        <f>'Capital &amp; Debt'!L50</f>
        <v>0</v>
      </c>
      <c r="M36" s="40">
        <f>'Capital &amp; Debt'!M50</f>
        <v>0</v>
      </c>
      <c r="N36" s="40">
        <f>'Capital &amp; Debt'!N50</f>
        <v>0</v>
      </c>
      <c r="O36" s="40">
        <f>'Capital &amp; Debt'!O50</f>
        <v>0</v>
      </c>
      <c r="P36" s="40">
        <f>'Capital &amp; Debt'!P50</f>
        <v>0</v>
      </c>
      <c r="Q36" s="40">
        <f>'Capital &amp; Debt'!Q50</f>
        <v>0</v>
      </c>
      <c r="R36" s="40">
        <f>'Capital &amp; Debt'!R50</f>
        <v>0</v>
      </c>
      <c r="S36" s="40">
        <f>'Capital &amp; Debt'!S50</f>
        <v>0</v>
      </c>
      <c r="T36" s="40">
        <f>'Capital &amp; Debt'!T50</f>
        <v>0</v>
      </c>
      <c r="U36" s="40">
        <f>'Capital &amp; Debt'!U50</f>
        <v>0</v>
      </c>
      <c r="V36" s="40">
        <f>'Capital &amp; Debt'!V50</f>
        <v>0</v>
      </c>
      <c r="W36" s="40">
        <f>'Capital &amp; Debt'!W50</f>
        <v>0</v>
      </c>
      <c r="X36" s="40">
        <f>'Capital &amp; Debt'!X50</f>
        <v>0</v>
      </c>
      <c r="Y36" s="40">
        <f>'Capital &amp; Debt'!Y50</f>
        <v>0</v>
      </c>
      <c r="Z36" s="40">
        <f>'Capital &amp; Debt'!Z50</f>
        <v>0</v>
      </c>
      <c r="AA36" s="40">
        <f>'Capital &amp; Debt'!AA50</f>
        <v>0</v>
      </c>
      <c r="AB36" s="40">
        <f>'Capital &amp; Debt'!AB50</f>
        <v>0</v>
      </c>
      <c r="AC36" s="40">
        <f>'Capital &amp; Debt'!AC50</f>
        <v>0</v>
      </c>
      <c r="AD36" s="40">
        <f>'Capital &amp; Debt'!AD50</f>
        <v>0</v>
      </c>
      <c r="AE36" s="40">
        <f>'Capital &amp; Debt'!AE50</f>
        <v>0</v>
      </c>
      <c r="AF36" s="40">
        <f>'Capital &amp; Debt'!AF50</f>
        <v>0</v>
      </c>
      <c r="AG36" s="40">
        <f>'Capital &amp; Debt'!AG50</f>
        <v>0</v>
      </c>
      <c r="AH36" s="40">
        <f>'Capital &amp; Debt'!AH50</f>
        <v>0</v>
      </c>
      <c r="AI36" s="40">
        <f>'Capital &amp; Debt'!AI50</f>
        <v>0</v>
      </c>
      <c r="AJ36" s="40">
        <f>'Capital &amp; Debt'!AJ50</f>
        <v>0</v>
      </c>
      <c r="AK36" s="40">
        <f>'Capital &amp; Debt'!AK50</f>
        <v>0</v>
      </c>
      <c r="AL36" s="40">
        <f>'Capital &amp; Debt'!AL50</f>
        <v>0</v>
      </c>
      <c r="AM36" s="40">
        <f>'Capital &amp; Debt'!AM50</f>
        <v>0</v>
      </c>
      <c r="AN36" s="40">
        <f>'Capital &amp; Debt'!AN50</f>
        <v>0</v>
      </c>
      <c r="AO36" s="40">
        <f>'Capital &amp; Debt'!AO50</f>
        <v>0</v>
      </c>
      <c r="AP36" s="40">
        <f>'Capital &amp; Debt'!AP50</f>
        <v>0</v>
      </c>
      <c r="AQ36" s="40">
        <f>'Capital &amp; Debt'!AQ50</f>
        <v>0</v>
      </c>
      <c r="AR36" s="40">
        <f>'Capital &amp; Debt'!AR50</f>
        <v>0</v>
      </c>
      <c r="AS36" s="40">
        <f>'Capital &amp; Debt'!AS50</f>
        <v>0</v>
      </c>
      <c r="AT36" s="40">
        <f>'Capital &amp; Debt'!AT50</f>
        <v>0</v>
      </c>
      <c r="AU36" s="40">
        <f>'Capital &amp; Debt'!AU50</f>
        <v>0</v>
      </c>
      <c r="AV36" s="40">
        <f>'Capital &amp; Debt'!AV50</f>
        <v>0</v>
      </c>
      <c r="AW36" s="40">
        <f>'Capital &amp; Debt'!AW50</f>
        <v>0</v>
      </c>
      <c r="AX36" s="40">
        <f>'Capital &amp; Debt'!AX50</f>
        <v>0</v>
      </c>
      <c r="AY36" s="40">
        <f>'Capital &amp; Debt'!AY50</f>
        <v>0</v>
      </c>
      <c r="AZ36" s="40">
        <f>'Capital &amp; Debt'!AZ50</f>
        <v>0</v>
      </c>
      <c r="BA36" s="40">
        <f>'Capital &amp; Debt'!BA50</f>
        <v>0</v>
      </c>
    </row>
    <row r="37" spans="1:53" x14ac:dyDescent="0.3">
      <c r="A37" t="s">
        <v>244</v>
      </c>
      <c r="B37" t="s">
        <v>48</v>
      </c>
      <c r="D37" s="40">
        <f ca="1">'Capital &amp; Debt'!D26</f>
        <v>0</v>
      </c>
      <c r="E37" s="40">
        <f ca="1">'Capital &amp; Debt'!E26</f>
        <v>76906.09375</v>
      </c>
      <c r="F37" s="40">
        <f ca="1">'Capital &amp; Debt'!F26</f>
        <v>205470.79210205079</v>
      </c>
      <c r="G37" s="40">
        <f ca="1">'Capital &amp; Debt'!G26</f>
        <v>403274.04601023003</v>
      </c>
      <c r="H37" s="40">
        <f ca="1">'Capital &amp; Debt'!H26</f>
        <v>598059.18336090702</v>
      </c>
      <c r="I37" s="40">
        <f ca="1">'Capital &amp; Debt'!I26</f>
        <v>815248.94438909506</v>
      </c>
      <c r="J37" s="40">
        <f ca="1">'Capital &amp; Debt'!J26</f>
        <v>1044987.1718994778</v>
      </c>
      <c r="K37" s="40">
        <f ca="1">'Capital &amp; Debt'!K26</f>
        <v>1291901.9713670206</v>
      </c>
      <c r="L37" s="40">
        <f ca="1">'Capital &amp; Debt'!L26</f>
        <v>1542812.2657681124</v>
      </c>
      <c r="M37" s="40">
        <f ca="1">'Capital &amp; Debt'!M26</f>
        <v>1810811.1730191407</v>
      </c>
      <c r="N37" s="40">
        <f ca="1">'Capital &amp; Debt'!N26</f>
        <v>2096028.8189022872</v>
      </c>
      <c r="O37" s="40">
        <f ca="1">'Capital &amp; Debt'!O26</f>
        <v>2179495.8618977149</v>
      </c>
      <c r="P37" s="40">
        <f ca="1">'Capital &amp; Debt'!P26</f>
        <v>2274459.6958197388</v>
      </c>
      <c r="Q37" s="40">
        <f ca="1">'Capital &amp; Debt'!Q26</f>
        <v>2372636.0198749723</v>
      </c>
      <c r="R37" s="40">
        <f ca="1">'Capital &amp; Debt'!R26</f>
        <v>2473986.8410329735</v>
      </c>
      <c r="S37" s="40">
        <f ca="1">'Capital &amp; Debt'!S26</f>
        <v>2578631.2922371784</v>
      </c>
      <c r="T37" s="40">
        <f ca="1">'Capital &amp; Debt'!T26</f>
        <v>2691072.8643739838</v>
      </c>
      <c r="U37" s="40">
        <f ca="1">'Capital &amp; Debt'!U26</f>
        <v>2807175.1687582969</v>
      </c>
      <c r="V37" s="40">
        <f ca="1">'Capital &amp; Debt'!V26</f>
        <v>2927291.811893268</v>
      </c>
      <c r="W37" s="40">
        <f ca="1">'Capital &amp; Debt'!W26</f>
        <v>3051562.2577777286</v>
      </c>
      <c r="X37" s="40">
        <f ca="1">'Capital &amp; Debt'!X26</f>
        <v>3180130.5202335403</v>
      </c>
      <c r="Y37" s="40">
        <f ca="1">'Capital &amp; Debt'!Y26</f>
        <v>3313058.019757973</v>
      </c>
      <c r="Z37" s="40">
        <f ca="1">'Capital &amp; Debt'!Z26</f>
        <v>3450584.2419865443</v>
      </c>
      <c r="AA37" s="40">
        <f ca="1">'Capital &amp; Debt'!AA26</f>
        <v>3594594.9549656981</v>
      </c>
      <c r="AB37" s="40">
        <f ca="1">'Capital &amp; Debt'!AB26</f>
        <v>3752428.8950465703</v>
      </c>
      <c r="AC37" s="40">
        <f ca="1">'Capital &amp; Debt'!AC26</f>
        <v>3915558.7424665955</v>
      </c>
      <c r="AD37" s="40">
        <f ca="1">'Capital &amp; Debt'!AD26</f>
        <v>4094319.1780545264</v>
      </c>
      <c r="AE37" s="40">
        <f ca="1">'Capital &amp; Debt'!AE26</f>
        <v>4290818.3547400562</v>
      </c>
      <c r="AF37" s="40">
        <f ca="1">'Capital &amp; Debt'!AF26</f>
        <v>4513021.2679150458</v>
      </c>
      <c r="AG37" s="40">
        <f ca="1">'Capital &amp; Debt'!AG26</f>
        <v>4750826.1317431964</v>
      </c>
      <c r="AH37" s="40">
        <f ca="1">'Capital &amp; Debt'!AH26</f>
        <v>4993033.9991643205</v>
      </c>
      <c r="AI37" s="40">
        <f ca="1">'Capital &amp; Debt'!AI26</f>
        <v>5246383.3425900619</v>
      </c>
      <c r="AJ37" s="40">
        <f ca="1">'Capital &amp; Debt'!AJ26</f>
        <v>5512924.9368446497</v>
      </c>
      <c r="AK37" s="40">
        <f ca="1">'Capital &amp; Debt'!AK26</f>
        <v>5809157.1386880754</v>
      </c>
      <c r="AL37" s="40">
        <f ca="1">'Capital &amp; Debt'!AL26</f>
        <v>6133048.4032323509</v>
      </c>
      <c r="AM37" s="40">
        <f ca="1">'Capital &amp; Debt'!AM26</f>
        <v>6476480.3543615658</v>
      </c>
      <c r="AN37" s="40">
        <f ca="1">'Capital &amp; Debt'!AN26</f>
        <v>6852573.4191391999</v>
      </c>
      <c r="AO37" s="40">
        <f ca="1">'Capital &amp; Debt'!AO26</f>
        <v>7258738.7035504477</v>
      </c>
      <c r="AP37" s="40">
        <f ca="1">'Capital &amp; Debt'!AP26</f>
        <v>7685777.7053372227</v>
      </c>
      <c r="AQ37" s="40">
        <f ca="1">'Capital &amp; Debt'!AQ26</f>
        <v>8148338.8146493258</v>
      </c>
      <c r="AR37" s="40">
        <f ca="1">'Capital &amp; Debt'!AR26</f>
        <v>8647826.073177347</v>
      </c>
      <c r="AS37" s="40">
        <f ca="1">'Capital &amp; Debt'!AS26</f>
        <v>9185356.5908686668</v>
      </c>
      <c r="AT37" s="40">
        <f ca="1">'Capital &amp; Debt'!AT26</f>
        <v>9745430.6155997701</v>
      </c>
      <c r="AU37" s="40">
        <f ca="1">'Capital &amp; Debt'!AU26</f>
        <v>10314595.080265192</v>
      </c>
      <c r="AV37" s="40">
        <f ca="1">'Capital &amp; Debt'!AV26</f>
        <v>10892580.323213676</v>
      </c>
      <c r="AW37" s="40">
        <f ca="1">'Capital &amp; Debt'!AW26</f>
        <v>11479099.621472636</v>
      </c>
      <c r="AX37" s="40">
        <f ca="1">'Capital &amp; Debt'!AX26</f>
        <v>12073855.204870833</v>
      </c>
      <c r="AY37" s="40">
        <f ca="1">'Capital &amp; Debt'!AY26</f>
        <v>12676870.875654798</v>
      </c>
      <c r="AZ37" s="40">
        <f ca="1">'Capital &amp; Debt'!AZ26</f>
        <v>13288451.364222853</v>
      </c>
      <c r="BA37" s="40">
        <f ca="1">'Capital &amp; Debt'!BA26</f>
        <v>13908918.95768627</v>
      </c>
    </row>
    <row r="38" spans="1:53" x14ac:dyDescent="0.3">
      <c r="A38" s="3" t="s">
        <v>245</v>
      </c>
      <c r="B38" s="3" t="s">
        <v>48</v>
      </c>
      <c r="C38" s="3"/>
      <c r="D38" s="41">
        <f t="shared" ref="D38:AI38" ca="1" si="16">SUM(D35:D37)</f>
        <v>53300</v>
      </c>
      <c r="E38" s="41">
        <f t="shared" ca="1" si="16"/>
        <v>542342.8046875</v>
      </c>
      <c r="F38" s="41">
        <f t="shared" ca="1" si="16"/>
        <v>1370827.7698785397</v>
      </c>
      <c r="G38" s="41">
        <f t="shared" ca="1" si="16"/>
        <v>2263925.5036878898</v>
      </c>
      <c r="H38" s="41">
        <f t="shared" ca="1" si="16"/>
        <v>3229680.7685763193</v>
      </c>
      <c r="I38" s="41">
        <f t="shared" ca="1" si="16"/>
        <v>4266439.283152638</v>
      </c>
      <c r="J38" s="41">
        <f t="shared" ca="1" si="16"/>
        <v>5381799.9632429276</v>
      </c>
      <c r="K38" s="41">
        <f t="shared" ca="1" si="16"/>
        <v>6528603.4169142358</v>
      </c>
      <c r="L38" s="41">
        <f t="shared" ca="1" si="16"/>
        <v>7737081.9756439608</v>
      </c>
      <c r="M38" s="41">
        <f t="shared" ca="1" si="16"/>
        <v>9023263.9664558284</v>
      </c>
      <c r="N38" s="41">
        <f t="shared" ca="1" si="16"/>
        <v>9488792.9321748931</v>
      </c>
      <c r="O38" s="41">
        <f t="shared" ca="1" si="16"/>
        <v>9757079.0780021362</v>
      </c>
      <c r="P38" s="41">
        <f t="shared" ca="1" si="16"/>
        <v>10041482.49232677</v>
      </c>
      <c r="Q38" s="41">
        <f t="shared" ca="1" si="16"/>
        <v>10333834.38629468</v>
      </c>
      <c r="R38" s="41">
        <f t="shared" ca="1" si="16"/>
        <v>10634215.166613173</v>
      </c>
      <c r="S38" s="41">
        <f t="shared" ca="1" si="16"/>
        <v>10942865.325956885</v>
      </c>
      <c r="T38" s="41">
        <f t="shared" ca="1" si="16"/>
        <v>11264412.748936681</v>
      </c>
      <c r="U38" s="41">
        <f t="shared" ca="1" si="16"/>
        <v>11594848.550435062</v>
      </c>
      <c r="V38" s="41">
        <f t="shared" ca="1" si="16"/>
        <v>11934657.028111951</v>
      </c>
      <c r="W38" s="41">
        <f t="shared" ca="1" si="16"/>
        <v>12284111.604401879</v>
      </c>
      <c r="X38" s="41">
        <f t="shared" ca="1" si="16"/>
        <v>12643493.600523295</v>
      </c>
      <c r="Y38" s="41">
        <f t="shared" ca="1" si="16"/>
        <v>13013005.177054971</v>
      </c>
      <c r="Z38" s="41">
        <f t="shared" ca="1" si="16"/>
        <v>13393030.078215968</v>
      </c>
      <c r="AA38" s="41">
        <f t="shared" ca="1" si="16"/>
        <v>13785601.937100856</v>
      </c>
      <c r="AB38" s="41">
        <f t="shared" ca="1" si="16"/>
        <v>13571464.122333795</v>
      </c>
      <c r="AC38" s="41">
        <f t="shared" ca="1" si="16"/>
        <v>13376199.183957838</v>
      </c>
      <c r="AD38" s="41">
        <f t="shared" ca="1" si="16"/>
        <v>13209646.243431339</v>
      </c>
      <c r="AE38" s="41">
        <f t="shared" ca="1" si="16"/>
        <v>13073435.982230615</v>
      </c>
      <c r="AF38" s="41">
        <f t="shared" ca="1" si="16"/>
        <v>12975073.352002198</v>
      </c>
      <c r="AG38" s="41">
        <f t="shared" ca="1" si="16"/>
        <v>12904013.314761167</v>
      </c>
      <c r="AH38" s="41">
        <f t="shared" ca="1" si="16"/>
        <v>12848629.850002136</v>
      </c>
      <c r="AI38" s="41">
        <f t="shared" ca="1" si="16"/>
        <v>12815249.944872297</v>
      </c>
      <c r="AJ38" s="41">
        <f t="shared" ref="AJ38:BA38" ca="1" si="17">SUM(AJ35:AJ37)</f>
        <v>12805527.908143584</v>
      </c>
      <c r="AK38" s="41">
        <f t="shared" ca="1" si="17"/>
        <v>12835580.101534598</v>
      </c>
      <c r="AL38" s="41">
        <f t="shared" ca="1" si="17"/>
        <v>12903006.927934974</v>
      </c>
      <c r="AM38" s="41">
        <f t="shared" ca="1" si="17"/>
        <v>12999335.392912544</v>
      </c>
      <c r="AN38" s="41">
        <f t="shared" ca="1" si="17"/>
        <v>13137344.248783067</v>
      </c>
      <c r="AO38" s="41">
        <f t="shared" ca="1" si="17"/>
        <v>13314115.397912314</v>
      </c>
      <c r="AP38" s="41">
        <f t="shared" ca="1" si="17"/>
        <v>13520133.150354881</v>
      </c>
      <c r="AQ38" s="41">
        <f t="shared" ca="1" si="17"/>
        <v>13769740.285923839</v>
      </c>
      <c r="AR38" s="41">
        <f t="shared" ca="1" si="17"/>
        <v>14064046.390750341</v>
      </c>
      <c r="AS38" s="41">
        <f t="shared" ca="1" si="17"/>
        <v>14403884.866850246</v>
      </c>
      <c r="AT38" s="41">
        <f t="shared" ca="1" si="17"/>
        <v>14773482.609508023</v>
      </c>
      <c r="AU38" s="41">
        <f t="shared" ca="1" si="17"/>
        <v>15159123.176395793</v>
      </c>
      <c r="AV38" s="41">
        <f t="shared" ca="1" si="17"/>
        <v>15560283.143835509</v>
      </c>
      <c r="AW38" s="41">
        <f t="shared" ca="1" si="17"/>
        <v>15976431.289141772</v>
      </c>
      <c r="AX38" s="41">
        <f t="shared" ca="1" si="17"/>
        <v>16407034.266670045</v>
      </c>
      <c r="AY38" s="41">
        <f t="shared" ca="1" si="17"/>
        <v>16851888.90169834</v>
      </c>
      <c r="AZ38" s="41">
        <f t="shared" ca="1" si="17"/>
        <v>17311081.232315805</v>
      </c>
      <c r="BA38" s="41">
        <f t="shared" ca="1" si="17"/>
        <v>17784722.835593827</v>
      </c>
    </row>
    <row r="40" spans="1:53" x14ac:dyDescent="0.3">
      <c r="A40" t="s">
        <v>236</v>
      </c>
      <c r="B40" t="s">
        <v>48</v>
      </c>
      <c r="D40" s="40">
        <f t="shared" ref="D40:AI40" ca="1" si="18">D27</f>
        <v>254324.375</v>
      </c>
      <c r="E40" s="40">
        <f t="shared" ca="1" si="18"/>
        <v>346646.45747070311</v>
      </c>
      <c r="F40" s="40">
        <f t="shared" ca="1" si="18"/>
        <v>407510.20626443101</v>
      </c>
      <c r="G40" s="40">
        <f t="shared" ca="1" si="18"/>
        <v>428368.24576596823</v>
      </c>
      <c r="H40" s="40">
        <f t="shared" ca="1" si="18"/>
        <v>428368.24576596823</v>
      </c>
      <c r="I40" s="40">
        <f t="shared" ca="1" si="18"/>
        <v>398956.18488586851</v>
      </c>
      <c r="J40" s="40">
        <f t="shared" ca="1" si="18"/>
        <v>336688.21911420627</v>
      </c>
      <c r="K40" s="40">
        <f t="shared" ca="1" si="18"/>
        <v>239424.36326029105</v>
      </c>
      <c r="L40" s="40">
        <f t="shared" ca="1" si="18"/>
        <v>107599.4666464639</v>
      </c>
      <c r="M40" s="40">
        <f t="shared" ca="1" si="18"/>
        <v>-62051.337993323134</v>
      </c>
      <c r="N40" s="40">
        <f t="shared" ca="1" si="18"/>
        <v>-250738.06731853509</v>
      </c>
      <c r="O40" s="40">
        <f t="shared" ca="1" si="18"/>
        <v>-423016.95041928766</v>
      </c>
      <c r="P40" s="40">
        <f t="shared" ca="1" si="18"/>
        <v>-600294.10146031471</v>
      </c>
      <c r="Q40" s="40">
        <f t="shared" ca="1" si="18"/>
        <v>-782263.71373674227</v>
      </c>
      <c r="R40" s="40">
        <f t="shared" ca="1" si="18"/>
        <v>-969047.99937075679</v>
      </c>
      <c r="S40" s="40">
        <f t="shared" ca="1" si="18"/>
        <v>-1160779.8324880418</v>
      </c>
      <c r="T40" s="40">
        <f t="shared" ca="1" si="18"/>
        <v>-1357595.0782384069</v>
      </c>
      <c r="U40" s="40">
        <f t="shared" ca="1" si="18"/>
        <v>-1559413.6662171101</v>
      </c>
      <c r="V40" s="40">
        <f t="shared" ca="1" si="18"/>
        <v>-1766374.6227839934</v>
      </c>
      <c r="W40" s="40">
        <f t="shared" ca="1" si="18"/>
        <v>-1978609.1825192655</v>
      </c>
      <c r="X40" s="40">
        <f t="shared" ca="1" si="18"/>
        <v>-2196251.9537993097</v>
      </c>
      <c r="Y40" s="40">
        <f t="shared" ca="1" si="18"/>
        <v>-2419441.0216765474</v>
      </c>
      <c r="Z40" s="40">
        <f t="shared" ca="1" si="18"/>
        <v>-2641395.5136213182</v>
      </c>
      <c r="AA40" s="40">
        <f t="shared" ca="1" si="18"/>
        <v>-2854454.8532234547</v>
      </c>
      <c r="AB40" s="40">
        <f t="shared" ca="1" si="18"/>
        <v>-3073402.9124300936</v>
      </c>
      <c r="AC40" s="40">
        <f t="shared" ca="1" si="18"/>
        <v>-3242124.8068649624</v>
      </c>
      <c r="AD40" s="40">
        <f t="shared" ca="1" si="18"/>
        <v>-3353276.2379105268</v>
      </c>
      <c r="AE40" s="40">
        <f t="shared" ca="1" si="18"/>
        <v>-3399938.7210692731</v>
      </c>
      <c r="AF40" s="40">
        <f t="shared" ca="1" si="18"/>
        <v>-3399938.7210692731</v>
      </c>
      <c r="AG40" s="40">
        <f t="shared" ca="1" si="18"/>
        <v>-3399938.7210692731</v>
      </c>
      <c r="AH40" s="40">
        <f t="shared" ca="1" si="18"/>
        <v>-3399938.7210692731</v>
      </c>
      <c r="AI40" s="40">
        <f t="shared" ca="1" si="18"/>
        <v>-3367146.2336756885</v>
      </c>
      <c r="AJ40" s="40">
        <f t="shared" ref="AJ40:BA40" ca="1" si="19">AJ27</f>
        <v>-3264680.7318026065</v>
      </c>
      <c r="AK40" s="40">
        <f t="shared" ca="1" si="19"/>
        <v>-3104775.5922176265</v>
      </c>
      <c r="AL40" s="40">
        <f t="shared" ca="1" si="19"/>
        <v>-2893733.8889637073</v>
      </c>
      <c r="AM40" s="40">
        <f t="shared" ca="1" si="19"/>
        <v>-2611533.3088373425</v>
      </c>
      <c r="AN40" s="40">
        <f t="shared" ca="1" si="19"/>
        <v>-2272041.7425427297</v>
      </c>
      <c r="AO40" s="40">
        <f t="shared" ca="1" si="19"/>
        <v>-1880747.7062186359</v>
      </c>
      <c r="AP40" s="40">
        <f t="shared" ca="1" si="19"/>
        <v>-1415834.1552316397</v>
      </c>
      <c r="AQ40" s="40">
        <f t="shared" ca="1" si="19"/>
        <v>-876443.15406226902</v>
      </c>
      <c r="AR40" s="40">
        <f t="shared" ca="1" si="19"/>
        <v>-261337.10017653741</v>
      </c>
      <c r="AS40" s="40">
        <f t="shared" ca="1" si="19"/>
        <v>430833.19456973183</v>
      </c>
      <c r="AT40" s="40">
        <f t="shared" ca="1" si="19"/>
        <v>1202373.2272089596</v>
      </c>
      <c r="AU40" s="40">
        <f t="shared" ca="1" si="19"/>
        <v>2056120.8680802891</v>
      </c>
      <c r="AV40" s="40">
        <f t="shared" ca="1" si="19"/>
        <v>2994808.6258692793</v>
      </c>
      <c r="AW40" s="40">
        <f t="shared" ca="1" si="19"/>
        <v>4021345.9895129376</v>
      </c>
      <c r="AX40" s="40">
        <f t="shared" ca="1" si="19"/>
        <v>5162117.2544265632</v>
      </c>
      <c r="AY40" s="40">
        <f t="shared" ca="1" si="19"/>
        <v>6424182.7354916409</v>
      </c>
      <c r="AZ40" s="40">
        <f t="shared" ca="1" si="19"/>
        <v>7785190.9067414571</v>
      </c>
      <c r="BA40" s="40">
        <f t="shared" ca="1" si="19"/>
        <v>9248816.3716726881</v>
      </c>
    </row>
    <row r="41" spans="1:53" x14ac:dyDescent="0.3">
      <c r="A41" t="s">
        <v>246</v>
      </c>
      <c r="B41" t="s">
        <v>48</v>
      </c>
      <c r="D41" s="40">
        <f ca="1">'Asset Register'!D63</f>
        <v>0</v>
      </c>
      <c r="E41" s="40">
        <f ca="1">D41+'Asset Register'!E63</f>
        <v>9800</v>
      </c>
      <c r="F41" s="40">
        <f ca="1">E41+'Asset Register'!F63</f>
        <v>40229</v>
      </c>
      <c r="G41" s="40">
        <f ca="1">F41+'Asset Register'!G63</f>
        <v>103217.03000000026</v>
      </c>
      <c r="H41" s="40">
        <f ca="1">G41+'Asset Register'!H63</f>
        <v>201005.94657499995</v>
      </c>
      <c r="I41" s="40">
        <f ca="1">H41+'Asset Register'!I63</f>
        <v>335954.65144849941</v>
      </c>
      <c r="J41" s="40">
        <f ca="1">I41+'Asset Register'!J63</f>
        <v>510544.53837859002</v>
      </c>
      <c r="K41" s="40">
        <f ca="1">J41+'Asset Register'!K63</f>
        <v>727385.17794576171</v>
      </c>
      <c r="L41" s="40">
        <f ca="1">K41+'Asset Register'!L63</f>
        <v>989220.25022312254</v>
      </c>
      <c r="M41" s="40">
        <f ca="1">L41+'Asset Register'!M63</f>
        <v>1298933.7357169124</v>
      </c>
      <c r="N41" s="40">
        <f ca="1">M41+'Asset Register'!N63</f>
        <v>1659556.3753887473</v>
      </c>
      <c r="O41" s="40">
        <f ca="1">N41+'Asset Register'!O63</f>
        <v>2046624.6753031837</v>
      </c>
      <c r="P41" s="40">
        <f ca="1">O41+'Asset Register'!P63</f>
        <v>2447240.3657146227</v>
      </c>
      <c r="Q41" s="40">
        <f ca="1">P41+'Asset Register'!Q63</f>
        <v>2861877.6052904613</v>
      </c>
      <c r="R41" s="40">
        <f ca="1">Q41+'Asset Register'!R63</f>
        <v>3291027.1482514553</v>
      </c>
      <c r="S41" s="40">
        <f ca="1">R41+'Asset Register'!S63</f>
        <v>3735196.9252160862</v>
      </c>
      <c r="T41" s="40">
        <f ca="1">S41+'Asset Register'!T63</f>
        <v>4194912.6443744767</v>
      </c>
      <c r="U41" s="40">
        <f ca="1">T41+'Asset Register'!U63</f>
        <v>4670718.4137034155</v>
      </c>
      <c r="V41" s="40">
        <f ca="1">U41+'Asset Register'!V63</f>
        <v>5163177.3849588633</v>
      </c>
      <c r="W41" s="40">
        <f ca="1">V41+'Asset Register'!W63</f>
        <v>5672872.4202082511</v>
      </c>
      <c r="X41" s="40">
        <f ca="1">W41+'Asset Register'!X63</f>
        <v>6200406.7816913649</v>
      </c>
      <c r="Y41" s="40">
        <f ca="1">X41+'Asset Register'!Y63</f>
        <v>6746404.8458263911</v>
      </c>
      <c r="Z41" s="40">
        <f ca="1">Y41+'Asset Register'!Z63</f>
        <v>7311512.8422061475</v>
      </c>
      <c r="AA41" s="40">
        <f ca="1">Z41+'Asset Register'!AA63</f>
        <v>7917288.4318967955</v>
      </c>
      <c r="AB41" s="40">
        <f ca="1">AA41+'Asset Register'!AB63</f>
        <v>8544266.16722662</v>
      </c>
      <c r="AC41" s="40">
        <f ca="1">AB41+'Asset Register'!AC63</f>
        <v>9193188.1232929863</v>
      </c>
      <c r="AD41" s="40">
        <f ca="1">AC41+'Asset Register'!AD63</f>
        <v>9864822.3478216752</v>
      </c>
      <c r="AE41" s="40">
        <f ca="1">AD41+'Asset Register'!AE63</f>
        <v>10583934.164084289</v>
      </c>
      <c r="AF41" s="40">
        <f ca="1">AE41+'Asset Register'!AF63</f>
        <v>11328214.893916104</v>
      </c>
      <c r="AG41" s="40">
        <f ca="1">AF41+'Asset Register'!AG63</f>
        <v>12098545.449292023</v>
      </c>
      <c r="AH41" s="40">
        <f ca="1">AG41+'Asset Register'!AH63</f>
        <v>12922413.978266571</v>
      </c>
      <c r="AI41" s="40">
        <f ca="1">AH41+'Asset Register'!AI63</f>
        <v>13775117.905755233</v>
      </c>
      <c r="AJ41" s="40">
        <f ca="1">AI41+'Asset Register'!AJ63</f>
        <v>14686135.779252799</v>
      </c>
      <c r="AK41" s="40">
        <f ca="1">AJ41+'Asset Register'!AK63</f>
        <v>15658505.012668701</v>
      </c>
      <c r="AL41" s="40">
        <f ca="1">AK41+'Asset Register'!AL63</f>
        <v>16664907.169254169</v>
      </c>
      <c r="AM41" s="40">
        <f ca="1">AL41+'Asset Register'!AM63</f>
        <v>17738097.832594831</v>
      </c>
      <c r="AN41" s="40">
        <f ca="1">AM41+'Asset Register'!AN63</f>
        <v>18881519.355521806</v>
      </c>
      <c r="AO41" s="40">
        <f ca="1">AN41+'Asset Register'!AO63</f>
        <v>20064960.631751187</v>
      </c>
      <c r="AP41" s="40">
        <f ca="1">AO41+'Asset Register'!AP63</f>
        <v>21324818.401817106</v>
      </c>
      <c r="AQ41" s="40">
        <f ca="1">AP41+'Asset Register'!AQ63</f>
        <v>22664992.104724713</v>
      </c>
      <c r="AR41" s="40">
        <f ca="1">AQ41+'Asset Register'!AR63</f>
        <v>24089560.530004602</v>
      </c>
      <c r="AS41" s="40">
        <f ca="1">AR41+'Asset Register'!AS63</f>
        <v>25602789.595436838</v>
      </c>
      <c r="AT41" s="40">
        <f ca="1">AS41+'Asset Register'!AT63</f>
        <v>27209140.449510977</v>
      </c>
      <c r="AU41" s="40">
        <f ca="1">AT41+'Asset Register'!AU63</f>
        <v>28913277.911826961</v>
      </c>
      <c r="AV41" s="40">
        <f ca="1">AU41+'Asset Register'!AV63</f>
        <v>30720079.265165351</v>
      </c>
      <c r="AW41" s="40">
        <f ca="1">AV41+'Asset Register'!AW63</f>
        <v>32634643.413506459</v>
      </c>
      <c r="AX41" s="40">
        <f ca="1">AW41+'Asset Register'!AX63</f>
        <v>34662300.420842499</v>
      </c>
      <c r="AY41" s="40">
        <f ca="1">AX41+'Asset Register'!AY63</f>
        <v>36856317.469007745</v>
      </c>
      <c r="AZ41" s="40">
        <f ca="1">AY41+'Asset Register'!AZ63</f>
        <v>39176490.497442633</v>
      </c>
      <c r="BA41" s="40">
        <f ca="1">AZ41+'Asset Register'!BA63</f>
        <v>41628962.75388173</v>
      </c>
    </row>
    <row r="42" spans="1:53" x14ac:dyDescent="0.3">
      <c r="A42" t="s">
        <v>333</v>
      </c>
      <c r="B42" t="s">
        <v>48</v>
      </c>
      <c r="D42" s="40">
        <f>-'Capital &amp; Debt'!D41</f>
        <v>0</v>
      </c>
      <c r="E42" s="40">
        <f>D42-'Capital &amp; Debt'!E41</f>
        <v>0</v>
      </c>
      <c r="F42" s="40">
        <f>E42-'Capital &amp; Debt'!F41</f>
        <v>0</v>
      </c>
      <c r="G42" s="40">
        <f>F42-'Capital &amp; Debt'!G41</f>
        <v>0</v>
      </c>
      <c r="H42" s="40">
        <f>G42-'Capital &amp; Debt'!H41</f>
        <v>0</v>
      </c>
      <c r="I42" s="40">
        <f>H42-'Capital &amp; Debt'!I41</f>
        <v>0</v>
      </c>
      <c r="J42" s="40">
        <f>I42-'Capital &amp; Debt'!J41</f>
        <v>0</v>
      </c>
      <c r="K42" s="40">
        <f>J42-'Capital &amp; Debt'!K41</f>
        <v>0</v>
      </c>
      <c r="L42" s="40">
        <f>K42-'Capital &amp; Debt'!L41</f>
        <v>0</v>
      </c>
      <c r="M42" s="40">
        <f>L42-'Capital &amp; Debt'!M41</f>
        <v>0</v>
      </c>
      <c r="N42" s="40">
        <f>M42-'Capital &amp; Debt'!N41</f>
        <v>0</v>
      </c>
      <c r="O42" s="40">
        <f>N42-'Capital &amp; Debt'!O41</f>
        <v>0</v>
      </c>
      <c r="P42" s="40">
        <f>O42-'Capital &amp; Debt'!P41</f>
        <v>0</v>
      </c>
      <c r="Q42" s="40">
        <f>P42-'Capital &amp; Debt'!Q41</f>
        <v>0</v>
      </c>
      <c r="R42" s="40">
        <f>Q42-'Capital &amp; Debt'!R41</f>
        <v>0</v>
      </c>
      <c r="S42" s="40">
        <f>R42-'Capital &amp; Debt'!S41</f>
        <v>0</v>
      </c>
      <c r="T42" s="40">
        <f>S42-'Capital &amp; Debt'!T41</f>
        <v>0</v>
      </c>
      <c r="U42" s="40">
        <f>T42-'Capital &amp; Debt'!U41</f>
        <v>0</v>
      </c>
      <c r="V42" s="40">
        <f>U42-'Capital &amp; Debt'!V41</f>
        <v>0</v>
      </c>
      <c r="W42" s="40">
        <f>V42-'Capital &amp; Debt'!W41</f>
        <v>0</v>
      </c>
      <c r="X42" s="40">
        <f>W42-'Capital &amp; Debt'!X41</f>
        <v>0</v>
      </c>
      <c r="Y42" s="40">
        <f>X42-'Capital &amp; Debt'!Y41</f>
        <v>0</v>
      </c>
      <c r="Z42" s="40">
        <f>Y42-'Capital &amp; Debt'!Z41</f>
        <v>0</v>
      </c>
      <c r="AA42" s="40">
        <f>Z42-'Capital &amp; Debt'!AA41</f>
        <v>0</v>
      </c>
      <c r="AB42" s="40">
        <f ca="1">AA42-'Capital &amp; Debt'!AB41</f>
        <v>626746.92940131226</v>
      </c>
      <c r="AC42" s="40">
        <f ca="1">AB42-'Capital &amp; Debt'!AC41</f>
        <v>1230617.5958794765</v>
      </c>
      <c r="AD42" s="40">
        <f ca="1">AC42-'Capital &amp; Debt'!AD41</f>
        <v>1812446.9830311879</v>
      </c>
      <c r="AE42" s="40">
        <f ca="1">AD42-'Capital &amp; Debt'!AE41</f>
        <v>2373039.5975518618</v>
      </c>
      <c r="AF42" s="40">
        <f ca="1">AE42-'Capital &amp; Debt'!AF41</f>
        <v>2913170.5816425309</v>
      </c>
      <c r="AG42" s="40">
        <f ca="1">AF42-'Capital &amp; Debt'!AG41</f>
        <v>3433586.7848138907</v>
      </c>
      <c r="AH42" s="40">
        <f ca="1">AG42-'Capital &amp; Debt'!AH41</f>
        <v>3935007.7965694959</v>
      </c>
      <c r="AI42" s="40">
        <f ca="1">AH42-'Capital &amp; Debt'!AI41</f>
        <v>4418126.9413960213</v>
      </c>
      <c r="AJ42" s="40">
        <f ca="1">AI42-'Capital &amp; Debt'!AJ41</f>
        <v>4883612.2374363784</v>
      </c>
      <c r="AK42" s="40">
        <f ca="1">AJ42-'Capital &amp; Debt'!AK41</f>
        <v>5332107.3201712631</v>
      </c>
      <c r="AL42" s="40">
        <f ca="1">AK42-'Capital &amp; Debt'!AL41</f>
        <v>5764232.3323863242</v>
      </c>
      <c r="AM42" s="40">
        <f ca="1">AL42-'Capital &amp; Debt'!AM41</f>
        <v>6180584.7816555351</v>
      </c>
      <c r="AN42" s="40">
        <f ca="1">AM42-'Capital &amp; Debt'!AN41</f>
        <v>6581740.3665264202</v>
      </c>
      <c r="AO42" s="40">
        <f ca="1">AN42-'Capital &amp; Debt'!AO41</f>
        <v>6968253.7725495184</v>
      </c>
      <c r="AP42" s="40">
        <f ca="1">AO42-'Capital &amp; Debt'!AP41</f>
        <v>7340659.4392527733</v>
      </c>
      <c r="AQ42" s="40">
        <f ca="1">AP42-'Capital &amp; Debt'!AQ41</f>
        <v>7699472.2991213594</v>
      </c>
      <c r="AR42" s="40">
        <f ca="1">AQ42-'Capital &amp; Debt'!AR41</f>
        <v>8045188.4896047423</v>
      </c>
      <c r="AS42" s="40">
        <f ca="1">AR42-'Capital &amp; Debt'!AS41</f>
        <v>8378286.0391354812</v>
      </c>
      <c r="AT42" s="40">
        <f ca="1">AS42-'Capital &amp; Debt'!AT41</f>
        <v>8699225.5281083491</v>
      </c>
      <c r="AU42" s="40">
        <f ca="1">AT42-'Capital &amp; Debt'!AU41</f>
        <v>9008450.7257337067</v>
      </c>
      <c r="AV42" s="40">
        <f ca="1">AU42-'Capital &amp; Debt'!AV41</f>
        <v>9306389.2036457378</v>
      </c>
      <c r="AW42" s="40">
        <f ca="1">AV42-'Capital &amp; Debt'!AW41</f>
        <v>9593452.9271139801</v>
      </c>
      <c r="AX42" s="40">
        <f ca="1">AW42-'Capital &amp; Debt'!AX41</f>
        <v>9870038.8246756326</v>
      </c>
      <c r="AY42" s="40">
        <f ca="1">AX42-'Capital &amp; Debt'!AY41</f>
        <v>10136529.336976284</v>
      </c>
      <c r="AZ42" s="40">
        <f ca="1">AY42-'Capital &amp; Debt'!AZ41</f>
        <v>10393292.945577962</v>
      </c>
      <c r="BA42" s="40">
        <f ca="1">AZ42-'Capital &amp; Debt'!BA41</f>
        <v>10640684.682465678</v>
      </c>
    </row>
    <row r="43" spans="1:53" x14ac:dyDescent="0.3">
      <c r="A43" s="3" t="s">
        <v>247</v>
      </c>
      <c r="B43" s="3" t="s">
        <v>48</v>
      </c>
      <c r="C43" s="3"/>
      <c r="D43" s="41">
        <f t="shared" ref="D43:AI43" ca="1" si="20">SUM(D40:D42)</f>
        <v>254324.375</v>
      </c>
      <c r="E43" s="41">
        <f t="shared" ca="1" si="20"/>
        <v>356446.45747070311</v>
      </c>
      <c r="F43" s="41">
        <f t="shared" ca="1" si="20"/>
        <v>447739.20626443101</v>
      </c>
      <c r="G43" s="41">
        <f t="shared" ca="1" si="20"/>
        <v>531585.27576596849</v>
      </c>
      <c r="H43" s="41">
        <f t="shared" ca="1" si="20"/>
        <v>629374.19234096818</v>
      </c>
      <c r="I43" s="41">
        <f t="shared" ca="1" si="20"/>
        <v>734910.83633436798</v>
      </c>
      <c r="J43" s="41">
        <f t="shared" ca="1" si="20"/>
        <v>847232.75749279629</v>
      </c>
      <c r="K43" s="41">
        <f t="shared" ca="1" si="20"/>
        <v>966809.54120605276</v>
      </c>
      <c r="L43" s="41">
        <f t="shared" ca="1" si="20"/>
        <v>1096819.7168695864</v>
      </c>
      <c r="M43" s="41">
        <f t="shared" ca="1" si="20"/>
        <v>1236882.3977235893</v>
      </c>
      <c r="N43" s="41">
        <f t="shared" ca="1" si="20"/>
        <v>1408818.3080702121</v>
      </c>
      <c r="O43" s="41">
        <f t="shared" ca="1" si="20"/>
        <v>1623607.7248838961</v>
      </c>
      <c r="P43" s="41">
        <f t="shared" ca="1" si="20"/>
        <v>1846946.2642543078</v>
      </c>
      <c r="Q43" s="41">
        <f t="shared" ca="1" si="20"/>
        <v>2079613.8915537191</v>
      </c>
      <c r="R43" s="41">
        <f t="shared" ca="1" si="20"/>
        <v>2321979.1488806987</v>
      </c>
      <c r="S43" s="41">
        <f t="shared" ca="1" si="20"/>
        <v>2574417.0927280444</v>
      </c>
      <c r="T43" s="41">
        <f t="shared" ca="1" si="20"/>
        <v>2837317.5661360696</v>
      </c>
      <c r="U43" s="41">
        <f t="shared" ca="1" si="20"/>
        <v>3111304.7474863054</v>
      </c>
      <c r="V43" s="41">
        <f t="shared" ca="1" si="20"/>
        <v>3396802.7621748699</v>
      </c>
      <c r="W43" s="41">
        <f t="shared" ca="1" si="20"/>
        <v>3694263.2376889857</v>
      </c>
      <c r="X43" s="41">
        <f t="shared" ca="1" si="20"/>
        <v>4004154.8278920553</v>
      </c>
      <c r="Y43" s="41">
        <f t="shared" ca="1" si="20"/>
        <v>4326963.8241498433</v>
      </c>
      <c r="Z43" s="41">
        <f t="shared" ca="1" si="20"/>
        <v>4670117.3285848293</v>
      </c>
      <c r="AA43" s="41">
        <f t="shared" ca="1" si="20"/>
        <v>5062833.5786733404</v>
      </c>
      <c r="AB43" s="41">
        <f t="shared" ca="1" si="20"/>
        <v>6097610.1841978384</v>
      </c>
      <c r="AC43" s="41">
        <f t="shared" ca="1" si="20"/>
        <v>7181680.9123075008</v>
      </c>
      <c r="AD43" s="41">
        <f t="shared" ca="1" si="20"/>
        <v>8323993.0929423366</v>
      </c>
      <c r="AE43" s="41">
        <f t="shared" ca="1" si="20"/>
        <v>9557035.0405668784</v>
      </c>
      <c r="AF43" s="41">
        <f t="shared" ca="1" si="20"/>
        <v>10841446.754489362</v>
      </c>
      <c r="AG43" s="41">
        <f t="shared" ca="1" si="20"/>
        <v>12132193.51303664</v>
      </c>
      <c r="AH43" s="41">
        <f t="shared" ca="1" si="20"/>
        <v>13457483.053766795</v>
      </c>
      <c r="AI43" s="41">
        <f t="shared" ca="1" si="20"/>
        <v>14826098.613475565</v>
      </c>
      <c r="AJ43" s="41">
        <f t="shared" ref="AJ43:BA43" ca="1" si="21">SUM(AJ40:AJ42)</f>
        <v>16305067.284886571</v>
      </c>
      <c r="AK43" s="41">
        <f t="shared" ca="1" si="21"/>
        <v>17885836.740622338</v>
      </c>
      <c r="AL43" s="41">
        <f t="shared" ca="1" si="21"/>
        <v>19535405.612676784</v>
      </c>
      <c r="AM43" s="41">
        <f t="shared" ca="1" si="21"/>
        <v>21307149.305413023</v>
      </c>
      <c r="AN43" s="41">
        <f t="shared" ca="1" si="21"/>
        <v>23191217.979505498</v>
      </c>
      <c r="AO43" s="41">
        <f t="shared" ca="1" si="21"/>
        <v>25152466.698082067</v>
      </c>
      <c r="AP43" s="41">
        <f t="shared" ca="1" si="21"/>
        <v>27249643.685838237</v>
      </c>
      <c r="AQ43" s="41">
        <f t="shared" ca="1" si="21"/>
        <v>29488021.249783807</v>
      </c>
      <c r="AR43" s="41">
        <f t="shared" ca="1" si="21"/>
        <v>31873411.919432804</v>
      </c>
      <c r="AS43" s="41">
        <f t="shared" ca="1" si="21"/>
        <v>34411908.829142049</v>
      </c>
      <c r="AT43" s="41">
        <f t="shared" ca="1" si="21"/>
        <v>37110739.204828285</v>
      </c>
      <c r="AU43" s="41">
        <f t="shared" ca="1" si="21"/>
        <v>39977849.505640954</v>
      </c>
      <c r="AV43" s="41">
        <f t="shared" ca="1" si="21"/>
        <v>43021277.094680369</v>
      </c>
      <c r="AW43" s="41">
        <f t="shared" ca="1" si="21"/>
        <v>46249442.330133379</v>
      </c>
      <c r="AX43" s="41">
        <f t="shared" ca="1" si="21"/>
        <v>49694456.499944694</v>
      </c>
      <c r="AY43" s="41">
        <f t="shared" ca="1" si="21"/>
        <v>53417029.541475669</v>
      </c>
      <c r="AZ43" s="41">
        <f t="shared" ca="1" si="21"/>
        <v>57354974.349762052</v>
      </c>
      <c r="BA43" s="41">
        <f t="shared" ca="1" si="21"/>
        <v>61518463.8080201</v>
      </c>
    </row>
    <row r="44" spans="1:53" x14ac:dyDescent="0.3">
      <c r="A44" s="3" t="s">
        <v>248</v>
      </c>
      <c r="B44" s="3" t="s">
        <v>48</v>
      </c>
      <c r="C44" s="3"/>
      <c r="D44" s="41">
        <f t="shared" ref="D44:AI44" ca="1" si="22">D38+D43</f>
        <v>307624.375</v>
      </c>
      <c r="E44" s="41">
        <f t="shared" ca="1" si="22"/>
        <v>898789.26215820317</v>
      </c>
      <c r="F44" s="41">
        <f t="shared" ca="1" si="22"/>
        <v>1818566.9761429708</v>
      </c>
      <c r="G44" s="41">
        <f t="shared" ca="1" si="22"/>
        <v>2795510.7794538583</v>
      </c>
      <c r="H44" s="41">
        <f t="shared" ca="1" si="22"/>
        <v>3859054.9609172875</v>
      </c>
      <c r="I44" s="41">
        <f t="shared" ca="1" si="22"/>
        <v>5001350.1194870062</v>
      </c>
      <c r="J44" s="41">
        <f t="shared" ca="1" si="22"/>
        <v>6229032.7207357241</v>
      </c>
      <c r="K44" s="41">
        <f t="shared" ca="1" si="22"/>
        <v>7495412.9581202883</v>
      </c>
      <c r="L44" s="41">
        <f t="shared" ca="1" si="22"/>
        <v>8833901.6925135478</v>
      </c>
      <c r="M44" s="41">
        <f t="shared" ca="1" si="22"/>
        <v>10260146.364179417</v>
      </c>
      <c r="N44" s="41">
        <f t="shared" ca="1" si="22"/>
        <v>10897611.240245106</v>
      </c>
      <c r="O44" s="41">
        <f t="shared" ca="1" si="22"/>
        <v>11380686.802886032</v>
      </c>
      <c r="P44" s="41">
        <f t="shared" ca="1" si="22"/>
        <v>11888428.756581077</v>
      </c>
      <c r="Q44" s="41">
        <f t="shared" ca="1" si="22"/>
        <v>12413448.277848398</v>
      </c>
      <c r="R44" s="41">
        <f t="shared" ca="1" si="22"/>
        <v>12956194.315493871</v>
      </c>
      <c r="S44" s="41">
        <f t="shared" ca="1" si="22"/>
        <v>13517282.41868493</v>
      </c>
      <c r="T44" s="41">
        <f t="shared" ca="1" si="22"/>
        <v>14101730.315072751</v>
      </c>
      <c r="U44" s="41">
        <f t="shared" ca="1" si="22"/>
        <v>14706153.297921367</v>
      </c>
      <c r="V44" s="41">
        <f t="shared" ca="1" si="22"/>
        <v>15331459.79028682</v>
      </c>
      <c r="W44" s="41">
        <f t="shared" ca="1" si="22"/>
        <v>15978374.842090864</v>
      </c>
      <c r="X44" s="41">
        <f t="shared" ca="1" si="22"/>
        <v>16647648.428415351</v>
      </c>
      <c r="Y44" s="41">
        <f t="shared" ca="1" si="22"/>
        <v>17339969.001204815</v>
      </c>
      <c r="Z44" s="41">
        <f t="shared" ca="1" si="22"/>
        <v>18063147.406800799</v>
      </c>
      <c r="AA44" s="41">
        <f t="shared" ca="1" si="22"/>
        <v>18848435.515774198</v>
      </c>
      <c r="AB44" s="41">
        <f t="shared" ca="1" si="22"/>
        <v>19669074.306531634</v>
      </c>
      <c r="AC44" s="41">
        <f t="shared" ca="1" si="22"/>
        <v>20557880.096265338</v>
      </c>
      <c r="AD44" s="41">
        <f t="shared" ca="1" si="22"/>
        <v>21533639.336373676</v>
      </c>
      <c r="AE44" s="41">
        <f t="shared" ca="1" si="22"/>
        <v>22630471.022797495</v>
      </c>
      <c r="AF44" s="41">
        <f t="shared" ca="1" si="22"/>
        <v>23816520.106491558</v>
      </c>
      <c r="AG44" s="41">
        <f t="shared" ca="1" si="22"/>
        <v>25036206.827797808</v>
      </c>
      <c r="AH44" s="41">
        <f t="shared" ca="1" si="22"/>
        <v>26306112.903768931</v>
      </c>
      <c r="AI44" s="41">
        <f t="shared" ca="1" si="22"/>
        <v>27641348.558347862</v>
      </c>
      <c r="AJ44" s="41">
        <f t="shared" ref="AJ44:BA44" ca="1" si="23">AJ38+AJ43</f>
        <v>29110595.193030156</v>
      </c>
      <c r="AK44" s="41">
        <f t="shared" ca="1" si="23"/>
        <v>30721416.842156935</v>
      </c>
      <c r="AL44" s="41">
        <f t="shared" ca="1" si="23"/>
        <v>32438412.540611759</v>
      </c>
      <c r="AM44" s="41">
        <f t="shared" ca="1" si="23"/>
        <v>34306484.698325567</v>
      </c>
      <c r="AN44" s="41">
        <f t="shared" ca="1" si="23"/>
        <v>36328562.228288561</v>
      </c>
      <c r="AO44" s="41">
        <f t="shared" ca="1" si="23"/>
        <v>38466582.095994383</v>
      </c>
      <c r="AP44" s="41">
        <f t="shared" ca="1" si="23"/>
        <v>40769776.836193115</v>
      </c>
      <c r="AQ44" s="41">
        <f t="shared" ca="1" si="23"/>
        <v>43257761.535707645</v>
      </c>
      <c r="AR44" s="41">
        <f t="shared" ca="1" si="23"/>
        <v>45937458.310183145</v>
      </c>
      <c r="AS44" s="41">
        <f t="shared" ca="1" si="23"/>
        <v>48815793.695992291</v>
      </c>
      <c r="AT44" s="41">
        <f t="shared" ca="1" si="23"/>
        <v>51884221.814336307</v>
      </c>
      <c r="AU44" s="41">
        <f t="shared" ca="1" si="23"/>
        <v>55136972.682036743</v>
      </c>
      <c r="AV44" s="41">
        <f t="shared" ca="1" si="23"/>
        <v>58581560.238515876</v>
      </c>
      <c r="AW44" s="41">
        <f t="shared" ca="1" si="23"/>
        <v>62225873.619275153</v>
      </c>
      <c r="AX44" s="41">
        <f t="shared" ca="1" si="23"/>
        <v>66101490.766614735</v>
      </c>
      <c r="AY44" s="41">
        <f t="shared" ca="1" si="23"/>
        <v>70268918.443174005</v>
      </c>
      <c r="AZ44" s="41">
        <f t="shared" ca="1" si="23"/>
        <v>74666055.582077861</v>
      </c>
      <c r="BA44" s="41">
        <f t="shared" ca="1" si="23"/>
        <v>79303186.643613935</v>
      </c>
    </row>
    <row r="46" spans="1:53" x14ac:dyDescent="0.3">
      <c r="A46" s="43" t="s">
        <v>249</v>
      </c>
      <c r="B46" s="43" t="s">
        <v>250</v>
      </c>
      <c r="C46" s="43"/>
      <c r="D46" s="44">
        <f t="shared" ref="D46:AI46" ca="1" si="24">D33-D44</f>
        <v>0</v>
      </c>
      <c r="E46" s="44">
        <f t="shared" ca="1" si="24"/>
        <v>0</v>
      </c>
      <c r="F46" s="44">
        <f t="shared" ca="1" si="24"/>
        <v>0</v>
      </c>
      <c r="G46" s="44">
        <f t="shared" ca="1" si="24"/>
        <v>0</v>
      </c>
      <c r="H46" s="44">
        <f t="shared" ca="1" si="24"/>
        <v>0</v>
      </c>
      <c r="I46" s="44">
        <f t="shared" ca="1" si="24"/>
        <v>0</v>
      </c>
      <c r="J46" s="44">
        <f t="shared" ca="1" si="24"/>
        <v>0</v>
      </c>
      <c r="K46" s="44">
        <f t="shared" ca="1" si="24"/>
        <v>0</v>
      </c>
      <c r="L46" s="44">
        <f t="shared" ca="1" si="24"/>
        <v>0</v>
      </c>
      <c r="M46" s="44">
        <f t="shared" ca="1" si="24"/>
        <v>0</v>
      </c>
      <c r="N46" s="44">
        <f t="shared" ca="1" si="24"/>
        <v>0</v>
      </c>
      <c r="O46" s="44">
        <f t="shared" ca="1" si="24"/>
        <v>0</v>
      </c>
      <c r="P46" s="44">
        <f t="shared" ca="1" si="24"/>
        <v>0</v>
      </c>
      <c r="Q46" s="44">
        <f t="shared" ca="1" si="24"/>
        <v>0</v>
      </c>
      <c r="R46" s="44">
        <f t="shared" ca="1" si="24"/>
        <v>0</v>
      </c>
      <c r="S46" s="44">
        <f t="shared" ca="1" si="24"/>
        <v>0</v>
      </c>
      <c r="T46" s="44">
        <f t="shared" ca="1" si="24"/>
        <v>0</v>
      </c>
      <c r="U46" s="44">
        <f t="shared" ca="1" si="24"/>
        <v>0</v>
      </c>
      <c r="V46" s="44">
        <f t="shared" ca="1" si="24"/>
        <v>0</v>
      </c>
      <c r="W46" s="44">
        <f t="shared" ca="1" si="24"/>
        <v>0</v>
      </c>
      <c r="X46" s="44">
        <f t="shared" ca="1" si="24"/>
        <v>0</v>
      </c>
      <c r="Y46" s="44">
        <f t="shared" ca="1" si="24"/>
        <v>0</v>
      </c>
      <c r="Z46" s="44">
        <f t="shared" ca="1" si="24"/>
        <v>0</v>
      </c>
      <c r="AA46" s="44">
        <f t="shared" ca="1" si="24"/>
        <v>0</v>
      </c>
      <c r="AB46" s="44">
        <f t="shared" ca="1" si="24"/>
        <v>0</v>
      </c>
      <c r="AC46" s="44">
        <f t="shared" ca="1" si="24"/>
        <v>0</v>
      </c>
      <c r="AD46" s="44">
        <f t="shared" ca="1" si="24"/>
        <v>0</v>
      </c>
      <c r="AE46" s="44">
        <f t="shared" ca="1" si="24"/>
        <v>0</v>
      </c>
      <c r="AF46" s="44">
        <f t="shared" ca="1" si="24"/>
        <v>0</v>
      </c>
      <c r="AG46" s="44">
        <f t="shared" ca="1" si="24"/>
        <v>0</v>
      </c>
      <c r="AH46" s="44">
        <f t="shared" ca="1" si="24"/>
        <v>0</v>
      </c>
      <c r="AI46" s="44">
        <f t="shared" ca="1" si="24"/>
        <v>0</v>
      </c>
      <c r="AJ46" s="44">
        <f t="shared" ref="AJ46:BA46" ca="1" si="25">AJ33-AJ44</f>
        <v>0</v>
      </c>
      <c r="AK46" s="44">
        <f t="shared" ca="1" si="25"/>
        <v>0</v>
      </c>
      <c r="AL46" s="44">
        <f t="shared" ca="1" si="25"/>
        <v>0</v>
      </c>
      <c r="AM46" s="44">
        <f t="shared" ca="1" si="25"/>
        <v>0</v>
      </c>
      <c r="AN46" s="44">
        <f t="shared" ca="1" si="25"/>
        <v>0</v>
      </c>
      <c r="AO46" s="44">
        <f t="shared" ca="1" si="25"/>
        <v>0</v>
      </c>
      <c r="AP46" s="44">
        <f t="shared" ca="1" si="25"/>
        <v>0</v>
      </c>
      <c r="AQ46" s="44">
        <f t="shared" ca="1" si="25"/>
        <v>0</v>
      </c>
      <c r="AR46" s="44">
        <f t="shared" ca="1" si="25"/>
        <v>0</v>
      </c>
      <c r="AS46" s="44">
        <f t="shared" ca="1" si="25"/>
        <v>0</v>
      </c>
      <c r="AT46" s="44">
        <f t="shared" ca="1" si="25"/>
        <v>0</v>
      </c>
      <c r="AU46" s="44">
        <f t="shared" ca="1" si="25"/>
        <v>0</v>
      </c>
      <c r="AV46" s="44">
        <f t="shared" ca="1" si="25"/>
        <v>0</v>
      </c>
      <c r="AW46" s="44">
        <f t="shared" ca="1" si="25"/>
        <v>0</v>
      </c>
      <c r="AX46" s="44">
        <f t="shared" ca="1" si="25"/>
        <v>0</v>
      </c>
      <c r="AY46" s="44">
        <f t="shared" ca="1" si="25"/>
        <v>0</v>
      </c>
      <c r="AZ46" s="44">
        <f t="shared" ca="1" si="25"/>
        <v>0</v>
      </c>
      <c r="BA46" s="44">
        <f t="shared" ca="1" si="25"/>
        <v>0</v>
      </c>
    </row>
    <row r="48" spans="1:53" x14ac:dyDescent="0.3">
      <c r="A48" s="37" t="s">
        <v>251</v>
      </c>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row>
    <row r="49" spans="1:53" x14ac:dyDescent="0.3">
      <c r="A49" t="s">
        <v>229</v>
      </c>
      <c r="B49" t="s">
        <v>48</v>
      </c>
      <c r="D49" s="40">
        <f t="shared" ref="D49:AI49" ca="1" si="26">D19</f>
        <v>255990</v>
      </c>
      <c r="E49" s="40">
        <f t="shared" ca="1" si="26"/>
        <v>109906.74531249999</v>
      </c>
      <c r="F49" s="40">
        <f t="shared" ca="1" si="26"/>
        <v>126132.77458239745</v>
      </c>
      <c r="G49" s="40">
        <f t="shared" ca="1" si="26"/>
        <v>151629.28645584101</v>
      </c>
      <c r="H49" s="40">
        <f t="shared" ca="1" si="26"/>
        <v>189632.38982135354</v>
      </c>
      <c r="I49" s="40">
        <f t="shared" ca="1" si="26"/>
        <v>228522.30573807747</v>
      </c>
      <c r="J49" s="40">
        <f t="shared" ca="1" si="26"/>
        <v>270083.13296542887</v>
      </c>
      <c r="K49" s="40">
        <f t="shared" ca="1" si="26"/>
        <v>313716.91882574133</v>
      </c>
      <c r="L49" s="40">
        <f t="shared" ca="1" si="26"/>
        <v>360401.66113615769</v>
      </c>
      <c r="M49" s="40">
        <f t="shared" ca="1" si="26"/>
        <v>409005.28954646643</v>
      </c>
      <c r="N49" s="40">
        <f t="shared" ca="1" si="26"/>
        <v>453672.34759024309</v>
      </c>
      <c r="O49" s="40">
        <f t="shared" ca="1" si="26"/>
        <v>486139.17073758889</v>
      </c>
      <c r="P49" s="40">
        <f t="shared" ca="1" si="26"/>
        <v>497601.35414327297</v>
      </c>
      <c r="Q49" s="40">
        <f t="shared" ca="1" si="26"/>
        <v>509780.85553747992</v>
      </c>
      <c r="R49" s="40">
        <f t="shared" ca="1" si="26"/>
        <v>522259.94387524063</v>
      </c>
      <c r="S49" s="40">
        <f t="shared" ca="1" si="26"/>
        <v>535038.50212970143</v>
      </c>
      <c r="T49" s="40">
        <f t="shared" ca="1" si="26"/>
        <v>548124.34787779616</v>
      </c>
      <c r="U49" s="40">
        <f t="shared" ca="1" si="26"/>
        <v>561744.49549016205</v>
      </c>
      <c r="V49" s="40">
        <f t="shared" ca="1" si="26"/>
        <v>575691.20398870367</v>
      </c>
      <c r="W49" s="40">
        <f t="shared" ca="1" si="26"/>
        <v>589983.90483420447</v>
      </c>
      <c r="X49" s="40">
        <f t="shared" ca="1" si="26"/>
        <v>604631.15490366914</v>
      </c>
      <c r="Y49" s="40">
        <f t="shared" ca="1" si="26"/>
        <v>619641.70646106871</v>
      </c>
      <c r="Z49" s="40">
        <f t="shared" ca="1" si="26"/>
        <v>641947.05175199336</v>
      </c>
      <c r="AA49" s="40">
        <f t="shared" ca="1" si="26"/>
        <v>672439.74268704653</v>
      </c>
      <c r="AB49" s="40">
        <f t="shared" ca="1" si="26"/>
        <v>688688.50013977347</v>
      </c>
      <c r="AC49" s="40">
        <f t="shared" ca="1" si="26"/>
        <v>705785.93049539975</v>
      </c>
      <c r="AD49" s="40">
        <f t="shared" ca="1" si="26"/>
        <v>731436.85827474936</v>
      </c>
      <c r="AE49" s="40">
        <f t="shared" ca="1" si="26"/>
        <v>765171.33360137593</v>
      </c>
      <c r="AF49" s="40">
        <f t="shared" ca="1" si="26"/>
        <v>783203.30798086477</v>
      </c>
      <c r="AG49" s="40">
        <f t="shared" ca="1" si="26"/>
        <v>812342.83172575932</v>
      </c>
      <c r="AH49" s="40">
        <f t="shared" ca="1" si="26"/>
        <v>850069.00020037463</v>
      </c>
      <c r="AI49" s="40">
        <f t="shared" ca="1" si="26"/>
        <v>882222.51283375686</v>
      </c>
      <c r="AJ49" s="40">
        <f t="shared" ref="AJ49:BA49" ca="1" si="27">AJ19</f>
        <v>933959.18391654536</v>
      </c>
      <c r="AK49" s="40">
        <f t="shared" ca="1" si="27"/>
        <v>974790.33982163074</v>
      </c>
      <c r="AL49" s="40">
        <f t="shared" ca="1" si="27"/>
        <v>1011107.2125430797</v>
      </c>
      <c r="AM49" s="40">
        <f t="shared" ca="1" si="27"/>
        <v>1069141.4633296626</v>
      </c>
      <c r="AN49" s="40">
        <f t="shared" ca="1" si="27"/>
        <v>1114727.7537964066</v>
      </c>
      <c r="AO49" s="40">
        <f t="shared" ca="1" si="27"/>
        <v>1156608.6409134269</v>
      </c>
      <c r="AP49" s="40">
        <f t="shared" ca="1" si="27"/>
        <v>1221982.6989351134</v>
      </c>
      <c r="AQ49" s="40">
        <f t="shared" ca="1" si="27"/>
        <v>1289586.6141513726</v>
      </c>
      <c r="AR49" s="40">
        <f t="shared" ca="1" si="27"/>
        <v>1360212.2868605978</v>
      </c>
      <c r="AS49" s="40">
        <f t="shared" ca="1" si="27"/>
        <v>1433987.1989754343</v>
      </c>
      <c r="AT49" s="40">
        <f t="shared" ca="1" si="27"/>
        <v>1511875.9049448972</v>
      </c>
      <c r="AU49" s="40">
        <f t="shared" ca="1" si="27"/>
        <v>1593921.4400467761</v>
      </c>
      <c r="AV49" s="40">
        <f t="shared" ca="1" si="27"/>
        <v>1679591.3937585775</v>
      </c>
      <c r="AW49" s="40">
        <f t="shared" ca="1" si="27"/>
        <v>1769032.0558017008</v>
      </c>
      <c r="AX49" s="40">
        <f t="shared" ca="1" si="27"/>
        <v>1885687.8552095876</v>
      </c>
      <c r="AY49" s="40">
        <f t="shared" ca="1" si="27"/>
        <v>2010204.8974026956</v>
      </c>
      <c r="AZ49" s="40">
        <f t="shared" ca="1" si="27"/>
        <v>2113151.8404639624</v>
      </c>
      <c r="BA49" s="40">
        <f t="shared" ca="1" si="27"/>
        <v>2220544.4784849458</v>
      </c>
    </row>
    <row r="50" spans="1:53" x14ac:dyDescent="0.3">
      <c r="A50" t="s">
        <v>207</v>
      </c>
      <c r="B50" t="s">
        <v>48</v>
      </c>
      <c r="D50" s="40">
        <f t="shared" ref="D50:AI50" ca="1" si="28">D20+D21</f>
        <v>-1665.625</v>
      </c>
      <c r="E50" s="40">
        <f t="shared" ca="1" si="28"/>
        <v>-16252.162841796875</v>
      </c>
      <c r="F50" s="40">
        <f t="shared" ca="1" si="28"/>
        <v>-51325.925202732076</v>
      </c>
      <c r="G50" s="40">
        <f t="shared" ca="1" si="28"/>
        <v>-95473.198746830021</v>
      </c>
      <c r="H50" s="40">
        <f t="shared" ca="1" si="28"/>
        <v>-141837.16654171917</v>
      </c>
      <c r="I50" s="40">
        <f t="shared" ca="1" si="28"/>
        <v>-192143.82698779189</v>
      </c>
      <c r="J50" s="40">
        <f t="shared" ca="1" si="28"/>
        <v>-246071.34026800253</v>
      </c>
      <c r="K50" s="40">
        <f t="shared" ca="1" si="28"/>
        <v>-302560.4548960703</v>
      </c>
      <c r="L50" s="40">
        <f t="shared" ca="1" si="28"/>
        <v>-361309.02161130449</v>
      </c>
      <c r="M50" s="40">
        <f t="shared" ca="1" si="28"/>
        <v>-423799.35143935727</v>
      </c>
      <c r="N50" s="40">
        <f t="shared" ca="1" si="28"/>
        <v>-462047.75707953784</v>
      </c>
      <c r="O50" s="40">
        <f t="shared" ca="1" si="28"/>
        <v>-473598.9510065263</v>
      </c>
      <c r="P50" s="40">
        <f t="shared" ca="1" si="28"/>
        <v>-485438.92478168948</v>
      </c>
      <c r="Q50" s="40">
        <f t="shared" ca="1" si="28"/>
        <v>-497574.89790123171</v>
      </c>
      <c r="R50" s="40">
        <f t="shared" ca="1" si="28"/>
        <v>-510014.27034876251</v>
      </c>
      <c r="S50" s="40">
        <f t="shared" ca="1" si="28"/>
        <v>-522764.62710748159</v>
      </c>
      <c r="T50" s="40">
        <f t="shared" ca="1" si="28"/>
        <v>-535833.74278516858</v>
      </c>
      <c r="U50" s="40">
        <f t="shared" ca="1" si="28"/>
        <v>-549229.58635479782</v>
      </c>
      <c r="V50" s="40">
        <f t="shared" ca="1" si="28"/>
        <v>-562960.32601366774</v>
      </c>
      <c r="W50" s="40">
        <f t="shared" ca="1" si="28"/>
        <v>-577034.33416400943</v>
      </c>
      <c r="X50" s="40">
        <f t="shared" ca="1" si="28"/>
        <v>-591460.19251810969</v>
      </c>
      <c r="Y50" s="40">
        <f t="shared" ca="1" si="28"/>
        <v>-606246.6973310624</v>
      </c>
      <c r="Z50" s="40">
        <f t="shared" ca="1" si="28"/>
        <v>-621402.86476433894</v>
      </c>
      <c r="AA50" s="40">
        <f t="shared" ca="1" si="28"/>
        <v>-636937.93638344738</v>
      </c>
      <c r="AB50" s="40">
        <f t="shared" ca="1" si="28"/>
        <v>-652861.38479303359</v>
      </c>
      <c r="AC50" s="40">
        <f t="shared" ca="1" si="28"/>
        <v>-629031.94424808794</v>
      </c>
      <c r="AD50" s="40">
        <f t="shared" ca="1" si="28"/>
        <v>-606072.27828303271</v>
      </c>
      <c r="AE50" s="40">
        <f t="shared" ca="1" si="28"/>
        <v>-583950.64012570202</v>
      </c>
      <c r="AF50" s="40">
        <f t="shared" ca="1" si="28"/>
        <v>-562636.44176111382</v>
      </c>
      <c r="AG50" s="40">
        <f t="shared" ca="1" si="28"/>
        <v>-542100.21163683315</v>
      </c>
      <c r="AH50" s="40">
        <f t="shared" ca="1" si="28"/>
        <v>-522313.55391208874</v>
      </c>
      <c r="AI50" s="40">
        <f t="shared" ca="1" si="28"/>
        <v>-503249.10919429752</v>
      </c>
      <c r="AJ50" s="40">
        <f t="shared" ref="AJ50:BA50" ca="1" si="29">AJ20+AJ21</f>
        <v>-484880.51670870563</v>
      </c>
      <c r="AK50" s="40">
        <f t="shared" ca="1" si="29"/>
        <v>-467182.37784883787</v>
      </c>
      <c r="AL50" s="40">
        <f t="shared" ca="1" si="29"/>
        <v>-450130.22105735529</v>
      </c>
      <c r="AM50" s="40">
        <f t="shared" ca="1" si="29"/>
        <v>-433700.46798876184</v>
      </c>
      <c r="AN50" s="40">
        <f t="shared" ca="1" si="29"/>
        <v>-417870.40090717206</v>
      </c>
      <c r="AO50" s="40">
        <f t="shared" ca="1" si="29"/>
        <v>-402618.13127406029</v>
      </c>
      <c r="AP50" s="40">
        <f t="shared" ca="1" si="29"/>
        <v>-387922.56948255707</v>
      </c>
      <c r="AQ50" s="40">
        <f t="shared" ca="1" si="29"/>
        <v>-373763.39569644374</v>
      </c>
      <c r="AR50" s="40">
        <f t="shared" ca="1" si="29"/>
        <v>-360121.03175352351</v>
      </c>
      <c r="AS50" s="40">
        <f t="shared" ca="1" si="29"/>
        <v>-346976.61409451987</v>
      </c>
      <c r="AT50" s="40">
        <f t="shared" ca="1" si="29"/>
        <v>-334311.96768006991</v>
      </c>
      <c r="AU50" s="40">
        <f t="shared" ca="1" si="29"/>
        <v>-322109.58085974737</v>
      </c>
      <c r="AV50" s="40">
        <f t="shared" ca="1" si="29"/>
        <v>-310352.58115836658</v>
      </c>
      <c r="AW50" s="40">
        <f t="shared" ca="1" si="29"/>
        <v>-299024.7119460862</v>
      </c>
      <c r="AX50" s="40">
        <f t="shared" ca="1" si="29"/>
        <v>-288110.309960054</v>
      </c>
      <c r="AY50" s="40">
        <f t="shared" ca="1" si="29"/>
        <v>-277594.28364651202</v>
      </c>
      <c r="AZ50" s="40">
        <f t="shared" ca="1" si="29"/>
        <v>-267462.09229341435</v>
      </c>
      <c r="BA50" s="40">
        <f t="shared" ca="1" si="29"/>
        <v>-257699.72592470472</v>
      </c>
    </row>
    <row r="51" spans="1:53" x14ac:dyDescent="0.3">
      <c r="A51" t="s">
        <v>252</v>
      </c>
      <c r="B51" t="s">
        <v>48</v>
      </c>
      <c r="D51" s="40">
        <f t="shared" ref="D51:AI51" ca="1" si="30">D24</f>
        <v>0</v>
      </c>
      <c r="E51" s="40">
        <f t="shared" ca="1" si="30"/>
        <v>0</v>
      </c>
      <c r="F51" s="40">
        <f t="shared" ca="1" si="30"/>
        <v>-2307.1828124999997</v>
      </c>
      <c r="G51" s="40">
        <f t="shared" ca="1" si="30"/>
        <v>-6164.1237630615233</v>
      </c>
      <c r="H51" s="40">
        <f t="shared" ca="1" si="30"/>
        <v>-1278.9368376928833</v>
      </c>
      <c r="I51" s="40">
        <f t="shared" ca="1" si="30"/>
        <v>0</v>
      </c>
      <c r="J51" s="40">
        <f t="shared" ca="1" si="30"/>
        <v>0</v>
      </c>
      <c r="K51" s="40">
        <f t="shared" ca="1" si="30"/>
        <v>0</v>
      </c>
      <c r="L51" s="40">
        <f t="shared" ca="1" si="30"/>
        <v>0</v>
      </c>
      <c r="M51" s="40">
        <f t="shared" ca="1" si="30"/>
        <v>0</v>
      </c>
      <c r="N51" s="40">
        <f t="shared" ca="1" si="30"/>
        <v>0</v>
      </c>
      <c r="O51" s="40">
        <f t="shared" ca="1" si="30"/>
        <v>0</v>
      </c>
      <c r="P51" s="40">
        <f t="shared" ca="1" si="30"/>
        <v>0</v>
      </c>
      <c r="Q51" s="40">
        <f t="shared" ca="1" si="30"/>
        <v>0</v>
      </c>
      <c r="R51" s="40">
        <f t="shared" ca="1" si="30"/>
        <v>0</v>
      </c>
      <c r="S51" s="40">
        <f t="shared" ca="1" si="30"/>
        <v>0</v>
      </c>
      <c r="T51" s="40">
        <f t="shared" ca="1" si="30"/>
        <v>0</v>
      </c>
      <c r="U51" s="40">
        <f t="shared" ca="1" si="30"/>
        <v>0</v>
      </c>
      <c r="V51" s="40">
        <f t="shared" ca="1" si="30"/>
        <v>0</v>
      </c>
      <c r="W51" s="40">
        <f t="shared" ca="1" si="30"/>
        <v>0</v>
      </c>
      <c r="X51" s="40">
        <f t="shared" ca="1" si="30"/>
        <v>0</v>
      </c>
      <c r="Y51" s="40">
        <f t="shared" ca="1" si="30"/>
        <v>0</v>
      </c>
      <c r="Z51" s="40">
        <f t="shared" ca="1" si="30"/>
        <v>0</v>
      </c>
      <c r="AA51" s="40">
        <f t="shared" ca="1" si="30"/>
        <v>0</v>
      </c>
      <c r="AB51" s="40">
        <f t="shared" ca="1" si="30"/>
        <v>0</v>
      </c>
      <c r="AC51" s="40">
        <f t="shared" ca="1" si="30"/>
        <v>0</v>
      </c>
      <c r="AD51" s="40">
        <f t="shared" ca="1" si="30"/>
        <v>0</v>
      </c>
      <c r="AE51" s="40">
        <f t="shared" ca="1" si="30"/>
        <v>0</v>
      </c>
      <c r="AF51" s="40">
        <f t="shared" ca="1" si="30"/>
        <v>-1001.4255324869882</v>
      </c>
      <c r="AG51" s="40">
        <f t="shared" ca="1" si="30"/>
        <v>-58691.317986747366</v>
      </c>
      <c r="AH51" s="40">
        <f t="shared" ca="1" si="30"/>
        <v>-123925.7667128366</v>
      </c>
      <c r="AI51" s="40">
        <f t="shared" ca="1" si="30"/>
        <v>-149791.0199749296</v>
      </c>
      <c r="AJ51" s="40">
        <f t="shared" ref="AJ51:BA51" ca="1" si="31">AJ24</f>
        <v>-157391.50027770185</v>
      </c>
      <c r="AK51" s="40">
        <f t="shared" ca="1" si="31"/>
        <v>-165387.74810533947</v>
      </c>
      <c r="AL51" s="40">
        <f t="shared" ca="1" si="31"/>
        <v>-174274.71416064227</v>
      </c>
      <c r="AM51" s="40">
        <f t="shared" ca="1" si="31"/>
        <v>-183991.45209697052</v>
      </c>
      <c r="AN51" s="40">
        <f t="shared" ca="1" si="31"/>
        <v>-194294.41063084698</v>
      </c>
      <c r="AO51" s="40">
        <f t="shared" ca="1" si="31"/>
        <v>-205577.20257417599</v>
      </c>
      <c r="AP51" s="40">
        <f t="shared" ca="1" si="31"/>
        <v>-217762.16110651343</v>
      </c>
      <c r="AQ51" s="40">
        <f t="shared" ca="1" si="31"/>
        <v>-230573.33116011668</v>
      </c>
      <c r="AR51" s="40">
        <f t="shared" ca="1" si="31"/>
        <v>-244450.16443947976</v>
      </c>
      <c r="AS51" s="40">
        <f t="shared" ca="1" si="31"/>
        <v>-259434.78219532041</v>
      </c>
      <c r="AT51" s="40">
        <f t="shared" ca="1" si="31"/>
        <v>-275560.69772606</v>
      </c>
      <c r="AU51" s="40">
        <f t="shared" ca="1" si="31"/>
        <v>-292362.91846799309</v>
      </c>
      <c r="AV51" s="40">
        <f t="shared" ca="1" si="31"/>
        <v>-309437.85240795574</v>
      </c>
      <c r="AW51" s="40">
        <f t="shared" ca="1" si="31"/>
        <v>-326777.40969641029</v>
      </c>
      <c r="AX51" s="40">
        <f t="shared" ca="1" si="31"/>
        <v>-344372.98864417907</v>
      </c>
      <c r="AY51" s="40">
        <f t="shared" ca="1" si="31"/>
        <v>-362215.65614612499</v>
      </c>
      <c r="AZ51" s="40">
        <f t="shared" ca="1" si="31"/>
        <v>-380306.12626964395</v>
      </c>
      <c r="BA51" s="40">
        <f t="shared" ca="1" si="31"/>
        <v>-398653.54092668556</v>
      </c>
    </row>
    <row r="52" spans="1:53" x14ac:dyDescent="0.3">
      <c r="A52" t="s">
        <v>253</v>
      </c>
      <c r="B52" t="s">
        <v>48</v>
      </c>
      <c r="D52" s="40">
        <f t="shared" ref="D52:AI52" si="32">D25</f>
        <v>0</v>
      </c>
      <c r="E52" s="40">
        <f t="shared" si="32"/>
        <v>0</v>
      </c>
      <c r="F52" s="40">
        <f t="shared" si="32"/>
        <v>0</v>
      </c>
      <c r="G52" s="40">
        <f t="shared" si="32"/>
        <v>0</v>
      </c>
      <c r="H52" s="40">
        <f t="shared" si="32"/>
        <v>0</v>
      </c>
      <c r="I52" s="40">
        <f t="shared" si="32"/>
        <v>0</v>
      </c>
      <c r="J52" s="40">
        <f t="shared" si="32"/>
        <v>0</v>
      </c>
      <c r="K52" s="40">
        <f t="shared" si="32"/>
        <v>0</v>
      </c>
      <c r="L52" s="40">
        <f t="shared" si="32"/>
        <v>0</v>
      </c>
      <c r="M52" s="40">
        <f t="shared" si="32"/>
        <v>0</v>
      </c>
      <c r="N52" s="40">
        <f t="shared" si="32"/>
        <v>0</v>
      </c>
      <c r="O52" s="40">
        <f t="shared" si="32"/>
        <v>0</v>
      </c>
      <c r="P52" s="40">
        <f t="shared" si="32"/>
        <v>0</v>
      </c>
      <c r="Q52" s="40">
        <f t="shared" si="32"/>
        <v>0</v>
      </c>
      <c r="R52" s="40">
        <f t="shared" si="32"/>
        <v>0</v>
      </c>
      <c r="S52" s="40">
        <f t="shared" si="32"/>
        <v>0</v>
      </c>
      <c r="T52" s="40">
        <f t="shared" si="32"/>
        <v>0</v>
      </c>
      <c r="U52" s="40">
        <f t="shared" si="32"/>
        <v>0</v>
      </c>
      <c r="V52" s="40">
        <f t="shared" si="32"/>
        <v>0</v>
      </c>
      <c r="W52" s="40">
        <f t="shared" si="32"/>
        <v>0</v>
      </c>
      <c r="X52" s="40">
        <f t="shared" si="32"/>
        <v>0</v>
      </c>
      <c r="Y52" s="40">
        <f t="shared" si="32"/>
        <v>0</v>
      </c>
      <c r="Z52" s="40">
        <f t="shared" si="32"/>
        <v>0</v>
      </c>
      <c r="AA52" s="40">
        <f t="shared" si="32"/>
        <v>0</v>
      </c>
      <c r="AB52" s="40">
        <f t="shared" si="32"/>
        <v>0</v>
      </c>
      <c r="AC52" s="40">
        <f t="shared" si="32"/>
        <v>0</v>
      </c>
      <c r="AD52" s="40">
        <f t="shared" si="32"/>
        <v>0</v>
      </c>
      <c r="AE52" s="40">
        <f t="shared" si="32"/>
        <v>0</v>
      </c>
      <c r="AF52" s="40">
        <f t="shared" si="32"/>
        <v>0</v>
      </c>
      <c r="AG52" s="40">
        <f t="shared" si="32"/>
        <v>0</v>
      </c>
      <c r="AH52" s="40">
        <f t="shared" si="32"/>
        <v>0</v>
      </c>
      <c r="AI52" s="40">
        <f t="shared" si="32"/>
        <v>0</v>
      </c>
      <c r="AJ52" s="40">
        <f t="shared" ref="AJ52:BA52" si="33">AJ25</f>
        <v>0</v>
      </c>
      <c r="AK52" s="40">
        <f t="shared" si="33"/>
        <v>0</v>
      </c>
      <c r="AL52" s="40">
        <f t="shared" si="33"/>
        <v>0</v>
      </c>
      <c r="AM52" s="40">
        <f t="shared" si="33"/>
        <v>0</v>
      </c>
      <c r="AN52" s="40">
        <f t="shared" si="33"/>
        <v>0</v>
      </c>
      <c r="AO52" s="40">
        <f t="shared" si="33"/>
        <v>0</v>
      </c>
      <c r="AP52" s="40">
        <f t="shared" si="33"/>
        <v>0</v>
      </c>
      <c r="AQ52" s="40">
        <f t="shared" si="33"/>
        <v>0</v>
      </c>
      <c r="AR52" s="40">
        <f t="shared" si="33"/>
        <v>0</v>
      </c>
      <c r="AS52" s="40">
        <f t="shared" si="33"/>
        <v>0</v>
      </c>
      <c r="AT52" s="40">
        <f t="shared" si="33"/>
        <v>0</v>
      </c>
      <c r="AU52" s="40">
        <f t="shared" si="33"/>
        <v>0</v>
      </c>
      <c r="AV52" s="40">
        <f t="shared" si="33"/>
        <v>0</v>
      </c>
      <c r="AW52" s="40">
        <f t="shared" si="33"/>
        <v>0</v>
      </c>
      <c r="AX52" s="40">
        <f t="shared" si="33"/>
        <v>0</v>
      </c>
      <c r="AY52" s="40">
        <f t="shared" si="33"/>
        <v>0</v>
      </c>
      <c r="AZ52" s="40">
        <f t="shared" si="33"/>
        <v>0</v>
      </c>
      <c r="BA52" s="40">
        <f t="shared" si="33"/>
        <v>0</v>
      </c>
    </row>
    <row r="53" spans="1:53" x14ac:dyDescent="0.3">
      <c r="A53" s="3" t="s">
        <v>254</v>
      </c>
      <c r="B53" s="3" t="s">
        <v>48</v>
      </c>
      <c r="C53" s="3"/>
      <c r="D53" s="41">
        <f t="shared" ref="D53:AI53" ca="1" si="34">SUM(D49:D52)</f>
        <v>254324.375</v>
      </c>
      <c r="E53" s="41">
        <f t="shared" ca="1" si="34"/>
        <v>93654.582470703113</v>
      </c>
      <c r="F53" s="41">
        <f t="shared" ca="1" si="34"/>
        <v>72499.666567165375</v>
      </c>
      <c r="G53" s="41">
        <f t="shared" ca="1" si="34"/>
        <v>49991.963945949465</v>
      </c>
      <c r="H53" s="41">
        <f t="shared" ca="1" si="34"/>
        <v>46516.286441941491</v>
      </c>
      <c r="I53" s="41">
        <f t="shared" ca="1" si="34"/>
        <v>36378.478750285576</v>
      </c>
      <c r="J53" s="41">
        <f t="shared" ca="1" si="34"/>
        <v>24011.792697426339</v>
      </c>
      <c r="K53" s="41">
        <f t="shared" ca="1" si="34"/>
        <v>11156.463929671037</v>
      </c>
      <c r="L53" s="41">
        <f t="shared" ca="1" si="34"/>
        <v>-907.36047514679376</v>
      </c>
      <c r="M53" s="41">
        <f t="shared" ca="1" si="34"/>
        <v>-14794.061892890837</v>
      </c>
      <c r="N53" s="41">
        <f t="shared" ca="1" si="34"/>
        <v>-8375.4094892947469</v>
      </c>
      <c r="O53" s="41">
        <f t="shared" ca="1" si="34"/>
        <v>12540.219731062592</v>
      </c>
      <c r="P53" s="41">
        <f t="shared" ca="1" si="34"/>
        <v>12162.42936158349</v>
      </c>
      <c r="Q53" s="41">
        <f t="shared" ca="1" si="34"/>
        <v>12205.957636248204</v>
      </c>
      <c r="R53" s="41">
        <f t="shared" ca="1" si="34"/>
        <v>12245.673526478116</v>
      </c>
      <c r="S53" s="41">
        <f t="shared" ca="1" si="34"/>
        <v>12273.875022219843</v>
      </c>
      <c r="T53" s="41">
        <f t="shared" ca="1" si="34"/>
        <v>12290.605092627578</v>
      </c>
      <c r="U53" s="41">
        <f t="shared" ca="1" si="34"/>
        <v>12514.909135364229</v>
      </c>
      <c r="V53" s="41">
        <f t="shared" ca="1" si="34"/>
        <v>12730.877975035924</v>
      </c>
      <c r="W53" s="41">
        <f t="shared" ca="1" si="34"/>
        <v>12949.57067019504</v>
      </c>
      <c r="X53" s="41">
        <f t="shared" ca="1" si="34"/>
        <v>13170.962385559455</v>
      </c>
      <c r="Y53" s="41">
        <f t="shared" ca="1" si="34"/>
        <v>13395.009130006307</v>
      </c>
      <c r="Z53" s="41">
        <f t="shared" ca="1" si="34"/>
        <v>20544.186987654422</v>
      </c>
      <c r="AA53" s="41">
        <f t="shared" ca="1" si="34"/>
        <v>35501.806303599151</v>
      </c>
      <c r="AB53" s="41">
        <f t="shared" ca="1" si="34"/>
        <v>35827.115346739884</v>
      </c>
      <c r="AC53" s="41">
        <f t="shared" ca="1" si="34"/>
        <v>76753.986247311812</v>
      </c>
      <c r="AD53" s="41">
        <f t="shared" ca="1" si="34"/>
        <v>125364.57999171666</v>
      </c>
      <c r="AE53" s="41">
        <f t="shared" ca="1" si="34"/>
        <v>181220.69347567391</v>
      </c>
      <c r="AF53" s="41">
        <f t="shared" ca="1" si="34"/>
        <v>219565.44068726397</v>
      </c>
      <c r="AG53" s="41">
        <f t="shared" ca="1" si="34"/>
        <v>211551.3021021788</v>
      </c>
      <c r="AH53" s="41">
        <f t="shared" ca="1" si="34"/>
        <v>203829.67957544929</v>
      </c>
      <c r="AI53" s="41">
        <f t="shared" ca="1" si="34"/>
        <v>229182.38366452974</v>
      </c>
      <c r="AJ53" s="41">
        <f t="shared" ref="AJ53:BA53" ca="1" si="35">SUM(AJ49:AJ52)</f>
        <v>291687.1669301379</v>
      </c>
      <c r="AK53" s="41">
        <f t="shared" ca="1" si="35"/>
        <v>342220.21386745339</v>
      </c>
      <c r="AL53" s="41">
        <f t="shared" ca="1" si="35"/>
        <v>386702.27732508222</v>
      </c>
      <c r="AM53" s="41">
        <f t="shared" ca="1" si="35"/>
        <v>451449.54324393021</v>
      </c>
      <c r="AN53" s="41">
        <f t="shared" ca="1" si="35"/>
        <v>502562.94225838745</v>
      </c>
      <c r="AO53" s="41">
        <f t="shared" ca="1" si="35"/>
        <v>548413.30706519051</v>
      </c>
      <c r="AP53" s="41">
        <f t="shared" ca="1" si="35"/>
        <v>616297.96834604291</v>
      </c>
      <c r="AQ53" s="41">
        <f t="shared" ca="1" si="35"/>
        <v>685249.88729481213</v>
      </c>
      <c r="AR53" s="41">
        <f t="shared" ca="1" si="35"/>
        <v>755641.09066759446</v>
      </c>
      <c r="AS53" s="41">
        <f t="shared" ca="1" si="35"/>
        <v>827575.80268559419</v>
      </c>
      <c r="AT53" s="41">
        <f t="shared" ca="1" si="35"/>
        <v>902003.23953876738</v>
      </c>
      <c r="AU53" s="41">
        <f t="shared" ca="1" si="35"/>
        <v>979448.94071903569</v>
      </c>
      <c r="AV53" s="41">
        <f t="shared" ca="1" si="35"/>
        <v>1059800.9601922552</v>
      </c>
      <c r="AW53" s="41">
        <f t="shared" ca="1" si="35"/>
        <v>1143229.9341592044</v>
      </c>
      <c r="AX53" s="41">
        <f t="shared" ca="1" si="35"/>
        <v>1253204.5566053544</v>
      </c>
      <c r="AY53" s="41">
        <f t="shared" ca="1" si="35"/>
        <v>1370394.9576100586</v>
      </c>
      <c r="AZ53" s="41">
        <f t="shared" ca="1" si="35"/>
        <v>1465383.6219009042</v>
      </c>
      <c r="BA53" s="41">
        <f t="shared" ca="1" si="35"/>
        <v>1564191.2116335556</v>
      </c>
    </row>
    <row r="54" spans="1:53" x14ac:dyDescent="0.3">
      <c r="A54" t="s">
        <v>255</v>
      </c>
      <c r="B54" t="s">
        <v>48</v>
      </c>
      <c r="D54" s="40">
        <f ca="1">-'Asset Register'!D122</f>
        <v>-280000</v>
      </c>
      <c r="E54" s="40">
        <f ca="1">-'Asset Register'!E122</f>
        <v>-579600</v>
      </c>
      <c r="F54" s="40">
        <f ca="1">-'Asset Register'!F122</f>
        <v>-899828.99999999977</v>
      </c>
      <c r="G54" s="40">
        <f ca="1">-'Asset Register'!G122</f>
        <v>-931323.0149999999</v>
      </c>
      <c r="H54" s="40">
        <f ca="1">-'Asset Register'!H122</f>
        <v>-963919.32052499987</v>
      </c>
      <c r="I54" s="40">
        <f ca="1">-'Asset Register'!I122</f>
        <v>-997656.4967433745</v>
      </c>
      <c r="J54" s="40">
        <f ca="1">-'Asset Register'!J122</f>
        <v>-1032574.4741293925</v>
      </c>
      <c r="K54" s="40">
        <f ca="1">-'Asset Register'!K122</f>
        <v>-1068714.5807239213</v>
      </c>
      <c r="L54" s="40">
        <f ca="1">-'Asset Register'!L122</f>
        <v>-1106119.5910492584</v>
      </c>
      <c r="M54" s="40">
        <f ca="1">-'Asset Register'!M122</f>
        <v>-1144833.7767359824</v>
      </c>
      <c r="N54" s="40">
        <f ca="1">-'Asset Register'!N122</f>
        <v>-394967.65297391388</v>
      </c>
      <c r="O54" s="40">
        <f ca="1">-'Asset Register'!O122</f>
        <v>0</v>
      </c>
      <c r="P54" s="40">
        <f ca="1">-'Asset Register'!P122</f>
        <v>0</v>
      </c>
      <c r="Q54" s="40">
        <f ca="1">-'Asset Register'!Q122</f>
        <v>0</v>
      </c>
      <c r="R54" s="40">
        <f ca="1">-'Asset Register'!R122</f>
        <v>0</v>
      </c>
      <c r="S54" s="40">
        <f ca="1">-'Asset Register'!S122</f>
        <v>0</v>
      </c>
      <c r="T54" s="40">
        <f ca="1">-'Asset Register'!T122</f>
        <v>0</v>
      </c>
      <c r="U54" s="40">
        <f ca="1">-'Asset Register'!U122</f>
        <v>0</v>
      </c>
      <c r="V54" s="40">
        <f ca="1">-'Asset Register'!V122</f>
        <v>0</v>
      </c>
      <c r="W54" s="40">
        <f ca="1">-'Asset Register'!W122</f>
        <v>0</v>
      </c>
      <c r="X54" s="40">
        <f ca="1">-'Asset Register'!X122</f>
        <v>0</v>
      </c>
      <c r="Y54" s="40">
        <f ca="1">-'Asset Register'!Y122</f>
        <v>0</v>
      </c>
      <c r="Z54" s="40">
        <f ca="1">-'Asset Register'!Z122</f>
        <v>-596823.24107453506</v>
      </c>
      <c r="AA54" s="40">
        <f ca="1">-'Asset Register'!AA122</f>
        <v>0</v>
      </c>
      <c r="AB54" s="40">
        <f ca="1">-'Asset Register'!AB122</f>
        <v>0</v>
      </c>
      <c r="AC54" s="40">
        <f ca="1">-'Asset Register'!AC122</f>
        <v>0</v>
      </c>
      <c r="AD54" s="40">
        <f ca="1">-'Asset Register'!AD122</f>
        <v>-684868.39644058817</v>
      </c>
      <c r="AE54" s="40">
        <f ca="1">-'Asset Register'!AE122</f>
        <v>0</v>
      </c>
      <c r="AF54" s="40">
        <f ca="1">-'Asset Register'!AF122</f>
        <v>0</v>
      </c>
      <c r="AG54" s="40">
        <f ca="1">-'Asset Register'!AG122</f>
        <v>-759325.83315626625</v>
      </c>
      <c r="AH54" s="40">
        <f ca="1">-'Asset Register'!AH122</f>
        <v>0</v>
      </c>
      <c r="AI54" s="40">
        <f ca="1">-'Asset Register'!AI122</f>
        <v>-813408.81562282122</v>
      </c>
      <c r="AJ54" s="40">
        <f ca="1">-'Asset Register'!AJ122</f>
        <v>-841878.12416961975</v>
      </c>
      <c r="AK54" s="40">
        <f ca="1">-'Asset Register'!AK122</f>
        <v>0</v>
      </c>
      <c r="AL54" s="40">
        <f ca="1">-'Asset Register'!AL122</f>
        <v>-901840.89356360084</v>
      </c>
      <c r="AM54" s="40">
        <f ca="1">-'Asset Register'!AM122</f>
        <v>-933405.32483832678</v>
      </c>
      <c r="AN54" s="40">
        <f ca="1">-'Asset Register'!AN122</f>
        <v>0</v>
      </c>
      <c r="AO54" s="40">
        <f ca="1">-'Asset Register'!AO122</f>
        <v>-999887.11909993645</v>
      </c>
      <c r="AP54" s="40">
        <f ca="1">-'Asset Register'!AP122</f>
        <v>-1034883.1682684342</v>
      </c>
      <c r="AQ54" s="40">
        <f ca="1">-'Asset Register'!AQ122</f>
        <v>-1071104.0791578293</v>
      </c>
      <c r="AR54" s="40">
        <f ca="1">-'Asset Register'!AR122</f>
        <v>-1108592.7219283532</v>
      </c>
      <c r="AS54" s="40">
        <f ca="1">-'Asset Register'!AS122</f>
        <v>-1147393.4671958454</v>
      </c>
      <c r="AT54" s="40">
        <f ca="1">-'Asset Register'!AT122</f>
        <v>-1187552.2385477</v>
      </c>
      <c r="AU54" s="40">
        <f ca="1">-'Asset Register'!AU122</f>
        <v>-1229116.5668968693</v>
      </c>
      <c r="AV54" s="40">
        <f ca="1">-'Asset Register'!AV122</f>
        <v>-1272135.6467382596</v>
      </c>
      <c r="AW54" s="40">
        <f ca="1">-'Asset Register'!AW122</f>
        <v>-1316660.3943740984</v>
      </c>
      <c r="AX54" s="40">
        <f ca="1">-'Asset Register'!AX122</f>
        <v>-2725487.0163543839</v>
      </c>
      <c r="AY54" s="40">
        <f ca="1">-'Asset Register'!AY122</f>
        <v>-1410439.5309633934</v>
      </c>
      <c r="AZ54" s="40">
        <f ca="1">-'Asset Register'!AZ122</f>
        <v>-1459804.9145471121</v>
      </c>
      <c r="BA54" s="40">
        <f ca="1">-'Asset Register'!BA122</f>
        <v>-1510898.0865562607</v>
      </c>
    </row>
    <row r="55" spans="1:53" x14ac:dyDescent="0.3">
      <c r="A55" t="s">
        <v>256</v>
      </c>
      <c r="B55" t="s">
        <v>48</v>
      </c>
      <c r="D55" s="40">
        <f t="shared" ref="D55:AI55" ca="1" si="36">D54</f>
        <v>-280000</v>
      </c>
      <c r="E55" s="40">
        <f t="shared" ca="1" si="36"/>
        <v>-579600</v>
      </c>
      <c r="F55" s="40">
        <f t="shared" ca="1" si="36"/>
        <v>-899828.99999999977</v>
      </c>
      <c r="G55" s="40">
        <f t="shared" ca="1" si="36"/>
        <v>-931323.0149999999</v>
      </c>
      <c r="H55" s="40">
        <f t="shared" ca="1" si="36"/>
        <v>-963919.32052499987</v>
      </c>
      <c r="I55" s="40">
        <f t="shared" ca="1" si="36"/>
        <v>-997656.4967433745</v>
      </c>
      <c r="J55" s="40">
        <f t="shared" ca="1" si="36"/>
        <v>-1032574.4741293925</v>
      </c>
      <c r="K55" s="40">
        <f t="shared" ca="1" si="36"/>
        <v>-1068714.5807239213</v>
      </c>
      <c r="L55" s="40">
        <f t="shared" ca="1" si="36"/>
        <v>-1106119.5910492584</v>
      </c>
      <c r="M55" s="40">
        <f t="shared" ca="1" si="36"/>
        <v>-1144833.7767359824</v>
      </c>
      <c r="N55" s="40">
        <f t="shared" ca="1" si="36"/>
        <v>-394967.65297391388</v>
      </c>
      <c r="O55" s="40">
        <f t="shared" ca="1" si="36"/>
        <v>0</v>
      </c>
      <c r="P55" s="40">
        <f t="shared" ca="1" si="36"/>
        <v>0</v>
      </c>
      <c r="Q55" s="40">
        <f t="shared" ca="1" si="36"/>
        <v>0</v>
      </c>
      <c r="R55" s="40">
        <f t="shared" ca="1" si="36"/>
        <v>0</v>
      </c>
      <c r="S55" s="40">
        <f t="shared" ca="1" si="36"/>
        <v>0</v>
      </c>
      <c r="T55" s="40">
        <f t="shared" ca="1" si="36"/>
        <v>0</v>
      </c>
      <c r="U55" s="40">
        <f t="shared" ca="1" si="36"/>
        <v>0</v>
      </c>
      <c r="V55" s="40">
        <f t="shared" ca="1" si="36"/>
        <v>0</v>
      </c>
      <c r="W55" s="40">
        <f t="shared" ca="1" si="36"/>
        <v>0</v>
      </c>
      <c r="X55" s="40">
        <f t="shared" ca="1" si="36"/>
        <v>0</v>
      </c>
      <c r="Y55" s="40">
        <f t="shared" ca="1" si="36"/>
        <v>0</v>
      </c>
      <c r="Z55" s="40">
        <f t="shared" ca="1" si="36"/>
        <v>-596823.24107453506</v>
      </c>
      <c r="AA55" s="40">
        <f t="shared" ca="1" si="36"/>
        <v>0</v>
      </c>
      <c r="AB55" s="40">
        <f t="shared" ca="1" si="36"/>
        <v>0</v>
      </c>
      <c r="AC55" s="40">
        <f t="shared" ca="1" si="36"/>
        <v>0</v>
      </c>
      <c r="AD55" s="40">
        <f t="shared" ca="1" si="36"/>
        <v>-684868.39644058817</v>
      </c>
      <c r="AE55" s="40">
        <f t="shared" ca="1" si="36"/>
        <v>0</v>
      </c>
      <c r="AF55" s="40">
        <f t="shared" ca="1" si="36"/>
        <v>0</v>
      </c>
      <c r="AG55" s="40">
        <f t="shared" ca="1" si="36"/>
        <v>-759325.83315626625</v>
      </c>
      <c r="AH55" s="40">
        <f t="shared" ca="1" si="36"/>
        <v>0</v>
      </c>
      <c r="AI55" s="40">
        <f t="shared" ca="1" si="36"/>
        <v>-813408.81562282122</v>
      </c>
      <c r="AJ55" s="40">
        <f t="shared" ref="AJ55:BA55" ca="1" si="37">AJ54</f>
        <v>-841878.12416961975</v>
      </c>
      <c r="AK55" s="40">
        <f t="shared" ca="1" si="37"/>
        <v>0</v>
      </c>
      <c r="AL55" s="40">
        <f t="shared" ca="1" si="37"/>
        <v>-901840.89356360084</v>
      </c>
      <c r="AM55" s="40">
        <f t="shared" ca="1" si="37"/>
        <v>-933405.32483832678</v>
      </c>
      <c r="AN55" s="40">
        <f t="shared" ca="1" si="37"/>
        <v>0</v>
      </c>
      <c r="AO55" s="40">
        <f t="shared" ca="1" si="37"/>
        <v>-999887.11909993645</v>
      </c>
      <c r="AP55" s="40">
        <f t="shared" ca="1" si="37"/>
        <v>-1034883.1682684342</v>
      </c>
      <c r="AQ55" s="40">
        <f t="shared" ca="1" si="37"/>
        <v>-1071104.0791578293</v>
      </c>
      <c r="AR55" s="40">
        <f t="shared" ca="1" si="37"/>
        <v>-1108592.7219283532</v>
      </c>
      <c r="AS55" s="40">
        <f t="shared" ca="1" si="37"/>
        <v>-1147393.4671958454</v>
      </c>
      <c r="AT55" s="40">
        <f t="shared" ca="1" si="37"/>
        <v>-1187552.2385477</v>
      </c>
      <c r="AU55" s="40">
        <f t="shared" ca="1" si="37"/>
        <v>-1229116.5668968693</v>
      </c>
      <c r="AV55" s="40">
        <f t="shared" ca="1" si="37"/>
        <v>-1272135.6467382596</v>
      </c>
      <c r="AW55" s="40">
        <f t="shared" ca="1" si="37"/>
        <v>-1316660.3943740984</v>
      </c>
      <c r="AX55" s="40">
        <f t="shared" ca="1" si="37"/>
        <v>-2725487.0163543839</v>
      </c>
      <c r="AY55" s="40">
        <f t="shared" ca="1" si="37"/>
        <v>-1410439.5309633934</v>
      </c>
      <c r="AZ55" s="40">
        <f t="shared" ca="1" si="37"/>
        <v>-1459804.9145471121</v>
      </c>
      <c r="BA55" s="40">
        <f t="shared" ca="1" si="37"/>
        <v>-1510898.0865562607</v>
      </c>
    </row>
    <row r="56" spans="1:53" x14ac:dyDescent="0.3">
      <c r="A56" t="s">
        <v>257</v>
      </c>
      <c r="B56" t="s">
        <v>48</v>
      </c>
      <c r="D56" s="40">
        <f ca="1">'Capital &amp; Debt'!D37</f>
        <v>53300</v>
      </c>
      <c r="E56" s="40">
        <f ca="1">'Capital &amp; Debt'!E37</f>
        <v>410804.2109375</v>
      </c>
      <c r="F56" s="40">
        <f ca="1">'Capital &amp; Debt'!F37</f>
        <v>688284.34906555153</v>
      </c>
      <c r="G56" s="40">
        <f ca="1">'Capital &amp; Debt'!G37</f>
        <v>666160.55545675848</v>
      </c>
      <c r="H56" s="40">
        <f ca="1">'Capital &amp; Debt'!H37</f>
        <v>724453.84109581087</v>
      </c>
      <c r="I56" s="40">
        <f ca="1">'Capital &amp; Debt'!I37</f>
        <v>753778.21391774586</v>
      </c>
      <c r="J56" s="40">
        <f ca="1">'Capital &amp; Debt'!J37</f>
        <v>799342.69411081821</v>
      </c>
      <c r="K56" s="40">
        <f ca="1">'Capital &amp; Debt'!K37</f>
        <v>791468.33442017902</v>
      </c>
      <c r="L56" s="40">
        <f ca="1">'Capital &amp; Debt'!L37</f>
        <v>826650.72818995267</v>
      </c>
      <c r="M56" s="40">
        <f ca="1">'Capital &amp; Debt'!M37</f>
        <v>863326.34081394412</v>
      </c>
      <c r="N56" s="40">
        <f>'Capital &amp; Debt'!N37</f>
        <v>0</v>
      </c>
      <c r="O56" s="40">
        <f>'Capital &amp; Debt'!O37</f>
        <v>0</v>
      </c>
      <c r="P56" s="40">
        <f>'Capital &amp; Debt'!P37</f>
        <v>0</v>
      </c>
      <c r="Q56" s="40">
        <f>'Capital &amp; Debt'!Q37</f>
        <v>0</v>
      </c>
      <c r="R56" s="40">
        <f>'Capital &amp; Debt'!R37</f>
        <v>0</v>
      </c>
      <c r="S56" s="40">
        <f>'Capital &amp; Debt'!S37</f>
        <v>0</v>
      </c>
      <c r="T56" s="40">
        <f>'Capital &amp; Debt'!T37</f>
        <v>0</v>
      </c>
      <c r="U56" s="40">
        <f>'Capital &amp; Debt'!U37</f>
        <v>0</v>
      </c>
      <c r="V56" s="40">
        <f>'Capital &amp; Debt'!V37</f>
        <v>0</v>
      </c>
      <c r="W56" s="40">
        <f>'Capital &amp; Debt'!W37</f>
        <v>0</v>
      </c>
      <c r="X56" s="40">
        <f>'Capital &amp; Debt'!X37</f>
        <v>0</v>
      </c>
      <c r="Y56" s="40">
        <f>'Capital &amp; Debt'!Y37</f>
        <v>0</v>
      </c>
      <c r="Z56" s="40">
        <f>'Capital &amp; Debt'!Z37</f>
        <v>0</v>
      </c>
      <c r="AA56" s="40">
        <f>'Capital &amp; Debt'!AA37</f>
        <v>0</v>
      </c>
      <c r="AB56" s="40">
        <f>'Capital &amp; Debt'!AB37</f>
        <v>0</v>
      </c>
      <c r="AC56" s="40">
        <f>'Capital &amp; Debt'!AC37</f>
        <v>0</v>
      </c>
      <c r="AD56" s="40">
        <f>'Capital &amp; Debt'!AD37</f>
        <v>0</v>
      </c>
      <c r="AE56" s="40">
        <f>'Capital &amp; Debt'!AE37</f>
        <v>0</v>
      </c>
      <c r="AF56" s="40">
        <f>'Capital &amp; Debt'!AF37</f>
        <v>0</v>
      </c>
      <c r="AG56" s="40">
        <f>'Capital &amp; Debt'!AG37</f>
        <v>0</v>
      </c>
      <c r="AH56" s="40">
        <f>'Capital &amp; Debt'!AH37</f>
        <v>0</v>
      </c>
      <c r="AI56" s="40">
        <f>'Capital &amp; Debt'!AI37</f>
        <v>0</v>
      </c>
      <c r="AJ56" s="40">
        <f>'Capital &amp; Debt'!AJ37</f>
        <v>0</v>
      </c>
      <c r="AK56" s="40">
        <f>'Capital &amp; Debt'!AK37</f>
        <v>0</v>
      </c>
      <c r="AL56" s="40">
        <f>'Capital &amp; Debt'!AL37</f>
        <v>0</v>
      </c>
      <c r="AM56" s="40">
        <f>'Capital &amp; Debt'!AM37</f>
        <v>0</v>
      </c>
      <c r="AN56" s="40">
        <f>'Capital &amp; Debt'!AN37</f>
        <v>0</v>
      </c>
      <c r="AO56" s="40">
        <f>'Capital &amp; Debt'!AO37</f>
        <v>0</v>
      </c>
      <c r="AP56" s="40">
        <f>'Capital &amp; Debt'!AP37</f>
        <v>0</v>
      </c>
      <c r="AQ56" s="40">
        <f>'Capital &amp; Debt'!AQ37</f>
        <v>0</v>
      </c>
      <c r="AR56" s="40">
        <f>'Capital &amp; Debt'!AR37</f>
        <v>0</v>
      </c>
      <c r="AS56" s="40">
        <f>'Capital &amp; Debt'!AS37</f>
        <v>0</v>
      </c>
      <c r="AT56" s="40">
        <f>'Capital &amp; Debt'!AT37</f>
        <v>0</v>
      </c>
      <c r="AU56" s="40">
        <f>'Capital &amp; Debt'!AU37</f>
        <v>0</v>
      </c>
      <c r="AV56" s="40">
        <f>'Capital &amp; Debt'!AV37</f>
        <v>0</v>
      </c>
      <c r="AW56" s="40">
        <f>'Capital &amp; Debt'!AW37</f>
        <v>0</v>
      </c>
      <c r="AX56" s="40">
        <f>'Capital &amp; Debt'!AX37</f>
        <v>0</v>
      </c>
      <c r="AY56" s="40">
        <f>'Capital &amp; Debt'!AY37</f>
        <v>0</v>
      </c>
      <c r="AZ56" s="40">
        <f>'Capital &amp; Debt'!AZ37</f>
        <v>0</v>
      </c>
      <c r="BA56" s="40">
        <f>'Capital &amp; Debt'!BA37</f>
        <v>0</v>
      </c>
    </row>
    <row r="57" spans="1:53" x14ac:dyDescent="0.3">
      <c r="A57" t="s">
        <v>258</v>
      </c>
      <c r="B57" t="s">
        <v>48</v>
      </c>
      <c r="D57" s="40">
        <f>'Capital &amp; Debt'!D22</f>
        <v>0</v>
      </c>
      <c r="E57" s="40">
        <f ca="1">'Capital &amp; Debt'!E22</f>
        <v>76906.09375</v>
      </c>
      <c r="F57" s="40">
        <f ca="1">'Capital &amp; Debt'!F22</f>
        <v>128564.69835205079</v>
      </c>
      <c r="G57" s="40">
        <f ca="1">'Capital &amp; Debt'!G22</f>
        <v>197803.25390817923</v>
      </c>
      <c r="H57" s="40">
        <f ca="1">'Capital &amp; Debt'!H22</f>
        <v>194785.13735067699</v>
      </c>
      <c r="I57" s="40">
        <f ca="1">'Capital &amp; Debt'!I22</f>
        <v>217189.76102818805</v>
      </c>
      <c r="J57" s="40">
        <f ca="1">'Capital &amp; Debt'!J22</f>
        <v>231276.34938538272</v>
      </c>
      <c r="K57" s="40">
        <f ca="1">'Capital &amp; Debt'!K22</f>
        <v>251024.2153095837</v>
      </c>
      <c r="L57" s="40">
        <f ca="1">'Capital &amp; Debt'!L22</f>
        <v>258975.77532129642</v>
      </c>
      <c r="M57" s="40">
        <f ca="1">'Capital &amp; Debt'!M22</f>
        <v>279960.09091824642</v>
      </c>
      <c r="N57" s="40">
        <f ca="1">'Capital &amp; Debt'!N22</f>
        <v>301522.62477092841</v>
      </c>
      <c r="O57" s="40">
        <f ca="1">'Capital &amp; Debt'!O22</f>
        <v>104366.78643341735</v>
      </c>
      <c r="P57" s="40">
        <f ca="1">'Capital &amp; Debt'!P22</f>
        <v>120801.87334936438</v>
      </c>
      <c r="Q57" s="40">
        <f ca="1">'Capital &amp; Debt'!Q22</f>
        <v>129032.56937059574</v>
      </c>
      <c r="R57" s="40">
        <f ca="1">'Capital &amp; Debt'!R22</f>
        <v>137567.04461838398</v>
      </c>
      <c r="S57" s="40">
        <f ca="1">'Capital &amp; Debt'!S22</f>
        <v>146565.02758225054</v>
      </c>
      <c r="T57" s="40">
        <f ca="1">'Capital &amp; Debt'!T22</f>
        <v>156031.48937475961</v>
      </c>
      <c r="U57" s="40">
        <f ca="1">'Capital &amp; Debt'!U22</f>
        <v>161591.4983007079</v>
      </c>
      <c r="V57" s="40">
        <f ca="1">'Capital &amp; Debt'!V22</f>
        <v>167569.36353247054</v>
      </c>
      <c r="W57" s="40">
        <f ca="1">'Capital &amp; Debt'!W22</f>
        <v>173750.18270512018</v>
      </c>
      <c r="X57" s="40">
        <f ca="1">'Capital &amp; Debt'!X22</f>
        <v>180140.88830055529</v>
      </c>
      <c r="Y57" s="40">
        <f ca="1">'Capital &amp; Debt'!Y22</f>
        <v>186748.95681191236</v>
      </c>
      <c r="Z57" s="40">
        <f ca="1">'Capital &amp; Debt'!Z22</f>
        <v>193669.7256037374</v>
      </c>
      <c r="AA57" s="40">
        <f ca="1">'Capital &amp; Debt'!AA22</f>
        <v>202556.54921701923</v>
      </c>
      <c r="AB57" s="40">
        <f ca="1">'Capital &amp; Debt'!AB22</f>
        <v>218865.185236427</v>
      </c>
      <c r="AC57" s="40">
        <f ca="1">'Capital &amp; Debt'!AC22</f>
        <v>226732.45782469586</v>
      </c>
      <c r="AD57" s="40">
        <f ca="1">'Capital &amp; Debt'!AD22</f>
        <v>245021.59598309034</v>
      </c>
      <c r="AE57" s="40">
        <f ca="1">'Capital &amp; Debt'!AE22</f>
        <v>265510.86152526084</v>
      </c>
      <c r="AF57" s="40">
        <f ca="1">'Capital &amp; Debt'!AF22</f>
        <v>294094.81227430329</v>
      </c>
      <c r="AG57" s="40">
        <f ca="1">'Capital &amp; Debt'!AG22</f>
        <v>312853.44172908179</v>
      </c>
      <c r="AH57" s="40">
        <f ca="1">'Capital &amp; Debt'!AH22</f>
        <v>320519.04227045644</v>
      </c>
      <c r="AI57" s="40">
        <f ca="1">'Capital &amp; Debt'!AI22</f>
        <v>335235.72698683199</v>
      </c>
      <c r="AJ57" s="40">
        <f ca="1">'Capital &amp; Debt'!AJ22</f>
        <v>352357.96134938858</v>
      </c>
      <c r="AK57" s="40">
        <f ca="1">'Capital &amp; Debt'!AK22</f>
        <v>386492.62720172666</v>
      </c>
      <c r="AL57" s="40">
        <f ca="1">'Capital &amp; Debt'!AL22</f>
        <v>418907.78717913944</v>
      </c>
      <c r="AM57" s="40">
        <f ca="1">'Capital &amp; Debt'!AM22</f>
        <v>443292.63111250103</v>
      </c>
      <c r="AN57" s="40">
        <f ca="1">'Capital &amp; Debt'!AN22</f>
        <v>481020.73162943497</v>
      </c>
      <c r="AO57" s="40">
        <f ca="1">'Capital &amp; Debt'!AO22</f>
        <v>516423.78314814065</v>
      </c>
      <c r="AP57" s="40">
        <f ca="1">'Capital &amp; Debt'!AP22</f>
        <v>543222.14456053637</v>
      </c>
      <c r="AQ57" s="40">
        <f ca="1">'Capital &amp; Debt'!AQ22</f>
        <v>585222.0773767503</v>
      </c>
      <c r="AR57" s="40">
        <f ca="1">'Capital &amp; Debt'!AR22</f>
        <v>629016.86561525334</v>
      </c>
      <c r="AS57" s="40">
        <f ca="1">'Capital &amp; Debt'!AS22</f>
        <v>674581.98607410304</v>
      </c>
      <c r="AT57" s="40">
        <f ca="1">'Capital &amp; Debt'!AT22</f>
        <v>705248.79880211363</v>
      </c>
      <c r="AU57" s="40">
        <f ca="1">'Capital &amp; Debt'!AU22</f>
        <v>722880.01877216646</v>
      </c>
      <c r="AV57" s="40">
        <f ca="1">'Capital &amp; Debt'!AV22</f>
        <v>740952.01924147061</v>
      </c>
      <c r="AW57" s="40">
        <f ca="1">'Capital &amp; Debt'!AW22</f>
        <v>759475.81972250738</v>
      </c>
      <c r="AX57" s="40">
        <f ca="1">'Capital &amp; Debt'!AX22</f>
        <v>778462.71521556994</v>
      </c>
      <c r="AY57" s="40">
        <f ca="1">'Capital &amp; Debt'!AY22</f>
        <v>797924.28309595922</v>
      </c>
      <c r="AZ57" s="40">
        <f ca="1">'Capital &amp; Debt'!AZ22</f>
        <v>817872.39017335814</v>
      </c>
      <c r="BA57" s="40">
        <f ca="1">'Capital &amp; Debt'!BA22</f>
        <v>838319.19992769195</v>
      </c>
    </row>
    <row r="58" spans="1:53" x14ac:dyDescent="0.3">
      <c r="A58" t="s">
        <v>259</v>
      </c>
      <c r="B58" t="s">
        <v>48</v>
      </c>
      <c r="D58" s="40">
        <f ca="1">'Capital &amp; Debt'!D24</f>
        <v>0</v>
      </c>
      <c r="E58" s="40">
        <f ca="1">'Capital &amp; Debt'!E24</f>
        <v>0</v>
      </c>
      <c r="F58" s="40">
        <f ca="1">'Capital &amp; Debt'!F24</f>
        <v>0</v>
      </c>
      <c r="G58" s="40">
        <f ca="1">'Capital &amp; Debt'!G24</f>
        <v>0</v>
      </c>
      <c r="H58" s="40">
        <f ca="1">'Capital &amp; Debt'!H24</f>
        <v>0</v>
      </c>
      <c r="I58" s="40">
        <f ca="1">'Capital &amp; Debt'!I24</f>
        <v>0</v>
      </c>
      <c r="J58" s="40">
        <f ca="1">'Capital &amp; Debt'!J24</f>
        <v>-1538.121875</v>
      </c>
      <c r="K58" s="40">
        <f ca="1">'Capital &amp; Debt'!K24</f>
        <v>-4109.4158420410158</v>
      </c>
      <c r="L58" s="40">
        <f ca="1">'Capital &amp; Debt'!L24</f>
        <v>-8065.4809202046008</v>
      </c>
      <c r="M58" s="40">
        <f ca="1">'Capital &amp; Debt'!M24</f>
        <v>-11961.18366721814</v>
      </c>
      <c r="N58" s="40">
        <f ca="1">'Capital &amp; Debt'!N24</f>
        <v>-16304.978887781901</v>
      </c>
      <c r="O58" s="40">
        <f ca="1">'Capital &amp; Debt'!O24</f>
        <v>-20899.743437989557</v>
      </c>
      <c r="P58" s="40">
        <f ca="1">'Capital &amp; Debt'!P24</f>
        <v>-25838.039427340413</v>
      </c>
      <c r="Q58" s="40">
        <f ca="1">'Capital &amp; Debt'!Q24</f>
        <v>-30856.245315362248</v>
      </c>
      <c r="R58" s="40">
        <f ca="1">'Capital &amp; Debt'!R24</f>
        <v>-36216.223460382818</v>
      </c>
      <c r="S58" s="40">
        <f ca="1">'Capital &amp; Debt'!S24</f>
        <v>-41920.576378045742</v>
      </c>
      <c r="T58" s="40">
        <f ca="1">'Capital &amp; Debt'!T24</f>
        <v>-43589.917237954302</v>
      </c>
      <c r="U58" s="40">
        <f ca="1">'Capital &amp; Debt'!U24</f>
        <v>-45489.193916394775</v>
      </c>
      <c r="V58" s="40">
        <f ca="1">'Capital &amp; Debt'!V24</f>
        <v>-47452.720397499448</v>
      </c>
      <c r="W58" s="40">
        <f ca="1">'Capital &amp; Debt'!W24</f>
        <v>-49479.736820659469</v>
      </c>
      <c r="X58" s="40">
        <f ca="1">'Capital &amp; Debt'!X24</f>
        <v>-51572.625844743568</v>
      </c>
      <c r="Y58" s="40">
        <f ca="1">'Capital &amp; Debt'!Y24</f>
        <v>-53821.45728747968</v>
      </c>
      <c r="Z58" s="40">
        <f ca="1">'Capital &amp; Debt'!Z24</f>
        <v>-56143.503375165936</v>
      </c>
      <c r="AA58" s="40">
        <f ca="1">'Capital &amp; Debt'!AA24</f>
        <v>-58545.836237865362</v>
      </c>
      <c r="AB58" s="40">
        <f ca="1">'Capital &amp; Debt'!AB24</f>
        <v>-61031.24515555457</v>
      </c>
      <c r="AC58" s="40">
        <f ca="1">'Capital &amp; Debt'!AC24</f>
        <v>-63602.610404670806</v>
      </c>
      <c r="AD58" s="40">
        <f ca="1">'Capital &amp; Debt'!AD24</f>
        <v>-66261.160395159459</v>
      </c>
      <c r="AE58" s="40">
        <f ca="1">'Capital &amp; Debt'!AE24</f>
        <v>-69011.684839730893</v>
      </c>
      <c r="AF58" s="40">
        <f ca="1">'Capital &amp; Debt'!AF24</f>
        <v>-71891.89909931396</v>
      </c>
      <c r="AG58" s="40">
        <f ca="1">'Capital &amp; Debt'!AG24</f>
        <v>-75048.577900931414</v>
      </c>
      <c r="AH58" s="40">
        <f ca="1">'Capital &amp; Debt'!AH24</f>
        <v>-78311.174849331917</v>
      </c>
      <c r="AI58" s="40">
        <f ca="1">'Capital &amp; Debt'!AI24</f>
        <v>-81886.383561090537</v>
      </c>
      <c r="AJ58" s="40">
        <f ca="1">'Capital &amp; Debt'!AJ24</f>
        <v>-85816.367094801128</v>
      </c>
      <c r="AK58" s="40">
        <f ca="1">'Capital &amp; Debt'!AK24</f>
        <v>-90260.425358300912</v>
      </c>
      <c r="AL58" s="40">
        <f ca="1">'Capital &amp; Debt'!AL24</f>
        <v>-95016.522634863926</v>
      </c>
      <c r="AM58" s="40">
        <f ca="1">'Capital &amp; Debt'!AM24</f>
        <v>-99860.67998328642</v>
      </c>
      <c r="AN58" s="40">
        <f ca="1">'Capital &amp; Debt'!AN24</f>
        <v>-104927.66685180124</v>
      </c>
      <c r="AO58" s="40">
        <f ca="1">'Capital &amp; Debt'!AO24</f>
        <v>-110258.498736893</v>
      </c>
      <c r="AP58" s="40">
        <f ca="1">'Capital &amp; Debt'!AP24</f>
        <v>-116183.14277376152</v>
      </c>
      <c r="AQ58" s="40">
        <f ca="1">'Capital &amp; Debt'!AQ24</f>
        <v>-122660.96806464702</v>
      </c>
      <c r="AR58" s="40">
        <f ca="1">'Capital &amp; Debt'!AR24</f>
        <v>-129529.60708723131</v>
      </c>
      <c r="AS58" s="40">
        <f ca="1">'Capital &amp; Debt'!AS24</f>
        <v>-137051.46838278399</v>
      </c>
      <c r="AT58" s="40">
        <f ca="1">'Capital &amp; Debt'!AT24</f>
        <v>-145174.77407100896</v>
      </c>
      <c r="AU58" s="40">
        <f ca="1">'Capital &amp; Debt'!AU24</f>
        <v>-153715.55410674444</v>
      </c>
      <c r="AV58" s="40">
        <f ca="1">'Capital &amp; Debt'!AV24</f>
        <v>-162966.77629298653</v>
      </c>
      <c r="AW58" s="40">
        <f ca="1">'Capital &amp; Debt'!AW24</f>
        <v>-172956.52146354693</v>
      </c>
      <c r="AX58" s="40">
        <f ca="1">'Capital &amp; Debt'!AX24</f>
        <v>-183707.13181737333</v>
      </c>
      <c r="AY58" s="40">
        <f ca="1">'Capital &amp; Debt'!AY24</f>
        <v>-194908.61231199541</v>
      </c>
      <c r="AZ58" s="40">
        <f ca="1">'Capital &amp; Debt'!AZ24</f>
        <v>-206291.90160530386</v>
      </c>
      <c r="BA58" s="40">
        <f ca="1">'Capital &amp; Debt'!BA24</f>
        <v>-217851.60646427353</v>
      </c>
    </row>
    <row r="59" spans="1:53" x14ac:dyDescent="0.3">
      <c r="A59" t="s">
        <v>260</v>
      </c>
      <c r="B59" t="s">
        <v>48</v>
      </c>
      <c r="D59" s="40">
        <f>'Capital &amp; Debt'!D49</f>
        <v>0</v>
      </c>
      <c r="E59" s="40">
        <f>'Capital &amp; Debt'!E49</f>
        <v>0</v>
      </c>
      <c r="F59" s="40">
        <f>'Capital &amp; Debt'!F49</f>
        <v>0</v>
      </c>
      <c r="G59" s="40">
        <f>'Capital &amp; Debt'!G49</f>
        <v>0</v>
      </c>
      <c r="H59" s="40">
        <f>'Capital &amp; Debt'!H49</f>
        <v>0</v>
      </c>
      <c r="I59" s="40">
        <f>'Capital &amp; Debt'!I49</f>
        <v>0</v>
      </c>
      <c r="J59" s="40">
        <f>'Capital &amp; Debt'!J49</f>
        <v>0</v>
      </c>
      <c r="K59" s="40">
        <f>'Capital &amp; Debt'!K49</f>
        <v>0</v>
      </c>
      <c r="L59" s="40">
        <f>'Capital &amp; Debt'!L49</f>
        <v>0</v>
      </c>
      <c r="M59" s="40">
        <f>'Capital &amp; Debt'!M49</f>
        <v>0</v>
      </c>
      <c r="N59" s="40">
        <f>'Capital &amp; Debt'!N49</f>
        <v>0</v>
      </c>
      <c r="O59" s="40">
        <f>'Capital &amp; Debt'!O49</f>
        <v>0</v>
      </c>
      <c r="P59" s="40">
        <f>'Capital &amp; Debt'!P49</f>
        <v>0</v>
      </c>
      <c r="Q59" s="40">
        <f>'Capital &amp; Debt'!Q49</f>
        <v>0</v>
      </c>
      <c r="R59" s="40">
        <f>'Capital &amp; Debt'!R49</f>
        <v>0</v>
      </c>
      <c r="S59" s="40">
        <f>'Capital &amp; Debt'!S49</f>
        <v>0</v>
      </c>
      <c r="T59" s="40">
        <f>'Capital &amp; Debt'!T49</f>
        <v>0</v>
      </c>
      <c r="U59" s="40">
        <f>'Capital &amp; Debt'!U49</f>
        <v>0</v>
      </c>
      <c r="V59" s="40">
        <f>'Capital &amp; Debt'!V49</f>
        <v>0</v>
      </c>
      <c r="W59" s="40">
        <f>'Capital &amp; Debt'!W49</f>
        <v>0</v>
      </c>
      <c r="X59" s="40">
        <f>'Capital &amp; Debt'!X49</f>
        <v>0</v>
      </c>
      <c r="Y59" s="40">
        <f>'Capital &amp; Debt'!Y49</f>
        <v>0</v>
      </c>
      <c r="Z59" s="40">
        <f>'Capital &amp; Debt'!Z49</f>
        <v>0</v>
      </c>
      <c r="AA59" s="40">
        <f>'Capital &amp; Debt'!AA49</f>
        <v>0</v>
      </c>
      <c r="AB59" s="40">
        <f>'Capital &amp; Debt'!AB49</f>
        <v>0</v>
      </c>
      <c r="AC59" s="40">
        <f>'Capital &amp; Debt'!AC49</f>
        <v>0</v>
      </c>
      <c r="AD59" s="40">
        <f>'Capital &amp; Debt'!AD49</f>
        <v>0</v>
      </c>
      <c r="AE59" s="40">
        <f>'Capital &amp; Debt'!AE49</f>
        <v>0</v>
      </c>
      <c r="AF59" s="40">
        <f>'Capital &amp; Debt'!AF49</f>
        <v>0</v>
      </c>
      <c r="AG59" s="40">
        <f>'Capital &amp; Debt'!AG49</f>
        <v>0</v>
      </c>
      <c r="AH59" s="40">
        <f>'Capital &amp; Debt'!AH49</f>
        <v>0</v>
      </c>
      <c r="AI59" s="40">
        <f>'Capital &amp; Debt'!AI49</f>
        <v>0</v>
      </c>
      <c r="AJ59" s="40">
        <f>'Capital &amp; Debt'!AJ49</f>
        <v>0</v>
      </c>
      <c r="AK59" s="40">
        <f>'Capital &amp; Debt'!AK49</f>
        <v>0</v>
      </c>
      <c r="AL59" s="40">
        <f>'Capital &amp; Debt'!AL49</f>
        <v>0</v>
      </c>
      <c r="AM59" s="40">
        <f>'Capital &amp; Debt'!AM49</f>
        <v>0</v>
      </c>
      <c r="AN59" s="40">
        <f>'Capital &amp; Debt'!AN49</f>
        <v>0</v>
      </c>
      <c r="AO59" s="40">
        <f>'Capital &amp; Debt'!AO49</f>
        <v>0</v>
      </c>
      <c r="AP59" s="40">
        <f>'Capital &amp; Debt'!AP49</f>
        <v>0</v>
      </c>
      <c r="AQ59" s="40">
        <f>'Capital &amp; Debt'!AQ49</f>
        <v>0</v>
      </c>
      <c r="AR59" s="40">
        <f>'Capital &amp; Debt'!AR49</f>
        <v>0</v>
      </c>
      <c r="AS59" s="40">
        <f>'Capital &amp; Debt'!AS49</f>
        <v>0</v>
      </c>
      <c r="AT59" s="40">
        <f>'Capital &amp; Debt'!AT49</f>
        <v>0</v>
      </c>
      <c r="AU59" s="40">
        <f>'Capital &amp; Debt'!AU49</f>
        <v>0</v>
      </c>
      <c r="AV59" s="40">
        <f>'Capital &amp; Debt'!AV49</f>
        <v>0</v>
      </c>
      <c r="AW59" s="40">
        <f>'Capital &amp; Debt'!AW49</f>
        <v>0</v>
      </c>
      <c r="AX59" s="40">
        <f>'Capital &amp; Debt'!AX49</f>
        <v>0</v>
      </c>
      <c r="AY59" s="40">
        <f>'Capital &amp; Debt'!AY49</f>
        <v>0</v>
      </c>
      <c r="AZ59" s="40">
        <f>'Capital &amp; Debt'!AZ49</f>
        <v>0</v>
      </c>
      <c r="BA59" s="40">
        <f>'Capital &amp; Debt'!BA49</f>
        <v>0</v>
      </c>
    </row>
    <row r="60" spans="1:53" x14ac:dyDescent="0.3">
      <c r="A60" s="3" t="s">
        <v>261</v>
      </c>
      <c r="B60" s="3" t="s">
        <v>48</v>
      </c>
      <c r="C60" s="3"/>
      <c r="D60" s="41">
        <f t="shared" ref="D60:AI60" ca="1" si="38">SUM(D56:D59)</f>
        <v>53300</v>
      </c>
      <c r="E60" s="41">
        <f t="shared" ca="1" si="38"/>
        <v>487710.3046875</v>
      </c>
      <c r="F60" s="41">
        <f t="shared" ca="1" si="38"/>
        <v>816849.04741760227</v>
      </c>
      <c r="G60" s="41">
        <f t="shared" ca="1" si="38"/>
        <v>863963.80936493771</v>
      </c>
      <c r="H60" s="41">
        <f t="shared" ca="1" si="38"/>
        <v>919238.9784464878</v>
      </c>
      <c r="I60" s="41">
        <f t="shared" ca="1" si="38"/>
        <v>970967.97494593391</v>
      </c>
      <c r="J60" s="41">
        <f t="shared" ca="1" si="38"/>
        <v>1029080.921621201</v>
      </c>
      <c r="K60" s="41">
        <f t="shared" ca="1" si="38"/>
        <v>1038383.1338877217</v>
      </c>
      <c r="L60" s="41">
        <f t="shared" ca="1" si="38"/>
        <v>1077561.0225910444</v>
      </c>
      <c r="M60" s="41">
        <f t="shared" ca="1" si="38"/>
        <v>1131325.2480649725</v>
      </c>
      <c r="N60" s="41">
        <f t="shared" ca="1" si="38"/>
        <v>285217.6458831465</v>
      </c>
      <c r="O60" s="41">
        <f t="shared" ca="1" si="38"/>
        <v>83467.042995427793</v>
      </c>
      <c r="P60" s="41">
        <f t="shared" ca="1" si="38"/>
        <v>94963.833922023972</v>
      </c>
      <c r="Q60" s="41">
        <f t="shared" ca="1" si="38"/>
        <v>98176.32405523349</v>
      </c>
      <c r="R60" s="41">
        <f t="shared" ca="1" si="38"/>
        <v>101350.82115800117</v>
      </c>
      <c r="S60" s="41">
        <f t="shared" ca="1" si="38"/>
        <v>104644.45120420479</v>
      </c>
      <c r="T60" s="41">
        <f t="shared" ca="1" si="38"/>
        <v>112441.57213680531</v>
      </c>
      <c r="U60" s="41">
        <f t="shared" ca="1" si="38"/>
        <v>116102.30438431312</v>
      </c>
      <c r="V60" s="41">
        <f t="shared" ca="1" si="38"/>
        <v>120116.64313497109</v>
      </c>
      <c r="W60" s="41">
        <f t="shared" ca="1" si="38"/>
        <v>124270.44588446071</v>
      </c>
      <c r="X60" s="41">
        <f t="shared" ca="1" si="38"/>
        <v>128568.26245581172</v>
      </c>
      <c r="Y60" s="41">
        <f t="shared" ca="1" si="38"/>
        <v>132927.49952443267</v>
      </c>
      <c r="Z60" s="41">
        <f t="shared" ca="1" si="38"/>
        <v>137526.22222857148</v>
      </c>
      <c r="AA60" s="41">
        <f t="shared" ca="1" si="38"/>
        <v>144010.71297915388</v>
      </c>
      <c r="AB60" s="41">
        <f t="shared" ca="1" si="38"/>
        <v>157833.94008087245</v>
      </c>
      <c r="AC60" s="41">
        <f t="shared" ca="1" si="38"/>
        <v>163129.84742002503</v>
      </c>
      <c r="AD60" s="41">
        <f t="shared" ca="1" si="38"/>
        <v>178760.4355879309</v>
      </c>
      <c r="AE60" s="41">
        <f t="shared" ca="1" si="38"/>
        <v>196499.17668552994</v>
      </c>
      <c r="AF60" s="41">
        <f t="shared" ca="1" si="38"/>
        <v>222202.91317498934</v>
      </c>
      <c r="AG60" s="41">
        <f t="shared" ca="1" si="38"/>
        <v>237804.86382815038</v>
      </c>
      <c r="AH60" s="41">
        <f t="shared" ca="1" si="38"/>
        <v>242207.86742112454</v>
      </c>
      <c r="AI60" s="41">
        <f t="shared" ca="1" si="38"/>
        <v>253349.34342574145</v>
      </c>
      <c r="AJ60" s="41">
        <f t="shared" ref="AJ60:BA60" ca="1" si="39">SUM(AJ56:AJ59)</f>
        <v>266541.59425458743</v>
      </c>
      <c r="AK60" s="41">
        <f t="shared" ca="1" si="39"/>
        <v>296232.20184342575</v>
      </c>
      <c r="AL60" s="41">
        <f t="shared" ca="1" si="39"/>
        <v>323891.26454427553</v>
      </c>
      <c r="AM60" s="41">
        <f t="shared" ca="1" si="39"/>
        <v>343431.95112921461</v>
      </c>
      <c r="AN60" s="41">
        <f t="shared" ca="1" si="39"/>
        <v>376093.06477763376</v>
      </c>
      <c r="AO60" s="41">
        <f t="shared" ca="1" si="39"/>
        <v>406165.28441124765</v>
      </c>
      <c r="AP60" s="41">
        <f t="shared" ca="1" si="39"/>
        <v>427039.00178677484</v>
      </c>
      <c r="AQ60" s="41">
        <f t="shared" ca="1" si="39"/>
        <v>462561.10931210325</v>
      </c>
      <c r="AR60" s="41">
        <f t="shared" ca="1" si="39"/>
        <v>499487.25852802204</v>
      </c>
      <c r="AS60" s="41">
        <f t="shared" ca="1" si="39"/>
        <v>537530.51769131911</v>
      </c>
      <c r="AT60" s="41">
        <f t="shared" ca="1" si="39"/>
        <v>560074.02473110473</v>
      </c>
      <c r="AU60" s="41">
        <f t="shared" ca="1" si="39"/>
        <v>569164.46466542198</v>
      </c>
      <c r="AV60" s="41">
        <f t="shared" ca="1" si="39"/>
        <v>577985.24294848414</v>
      </c>
      <c r="AW60" s="41">
        <f t="shared" ca="1" si="39"/>
        <v>586519.29825896048</v>
      </c>
      <c r="AX60" s="41">
        <f t="shared" ca="1" si="39"/>
        <v>594755.58339819661</v>
      </c>
      <c r="AY60" s="41">
        <f t="shared" ca="1" si="39"/>
        <v>603015.67078396375</v>
      </c>
      <c r="AZ60" s="41">
        <f t="shared" ca="1" si="39"/>
        <v>611580.48856805428</v>
      </c>
      <c r="BA60" s="41">
        <f t="shared" ca="1" si="39"/>
        <v>620467.59346341842</v>
      </c>
    </row>
    <row r="61" spans="1:53" x14ac:dyDescent="0.3">
      <c r="A61" s="3" t="s">
        <v>262</v>
      </c>
      <c r="B61" s="3" t="s">
        <v>48</v>
      </c>
      <c r="C61" s="3"/>
      <c r="D61" s="41">
        <f t="shared" ref="D61:AI61" ca="1" si="40">D53+D55+D60</f>
        <v>27624.375</v>
      </c>
      <c r="E61" s="41">
        <f t="shared" ca="1" si="40"/>
        <v>1764.8871582031134</v>
      </c>
      <c r="F61" s="41">
        <f t="shared" ca="1" si="40"/>
        <v>-10480.286015232094</v>
      </c>
      <c r="G61" s="41">
        <f t="shared" ca="1" si="40"/>
        <v>-17367.241689112736</v>
      </c>
      <c r="H61" s="41">
        <f t="shared" ca="1" si="40"/>
        <v>1835.9443634294439</v>
      </c>
      <c r="I61" s="41">
        <f t="shared" ca="1" si="40"/>
        <v>9689.9569528449792</v>
      </c>
      <c r="J61" s="41">
        <f t="shared" ca="1" si="40"/>
        <v>20518.240189234843</v>
      </c>
      <c r="K61" s="41">
        <f t="shared" ca="1" si="40"/>
        <v>-19174.982906528516</v>
      </c>
      <c r="L61" s="41">
        <f t="shared" ca="1" si="40"/>
        <v>-29465.928933360847</v>
      </c>
      <c r="M61" s="41">
        <f t="shared" ca="1" si="40"/>
        <v>-28302.590563900769</v>
      </c>
      <c r="N61" s="41">
        <f t="shared" ca="1" si="40"/>
        <v>-118125.41658006213</v>
      </c>
      <c r="O61" s="41">
        <f t="shared" ca="1" si="40"/>
        <v>96007.262726490386</v>
      </c>
      <c r="P61" s="41">
        <f t="shared" ca="1" si="40"/>
        <v>107126.26328360746</v>
      </c>
      <c r="Q61" s="41">
        <f t="shared" ca="1" si="40"/>
        <v>110382.28169148169</v>
      </c>
      <c r="R61" s="41">
        <f t="shared" ca="1" si="40"/>
        <v>113596.49468447929</v>
      </c>
      <c r="S61" s="41">
        <f t="shared" ca="1" si="40"/>
        <v>116918.32622642463</v>
      </c>
      <c r="T61" s="41">
        <f t="shared" ca="1" si="40"/>
        <v>124732.17722943288</v>
      </c>
      <c r="U61" s="41">
        <f t="shared" ca="1" si="40"/>
        <v>128617.21351967735</v>
      </c>
      <c r="V61" s="41">
        <f t="shared" ca="1" si="40"/>
        <v>132847.52111000702</v>
      </c>
      <c r="W61" s="41">
        <f t="shared" ca="1" si="40"/>
        <v>137220.01655465574</v>
      </c>
      <c r="X61" s="41">
        <f t="shared" ca="1" si="40"/>
        <v>141739.22484137118</v>
      </c>
      <c r="Y61" s="41">
        <f t="shared" ca="1" si="40"/>
        <v>146322.50865443898</v>
      </c>
      <c r="Z61" s="41">
        <f t="shared" ca="1" si="40"/>
        <v>-438752.83185830916</v>
      </c>
      <c r="AA61" s="41">
        <f t="shared" ca="1" si="40"/>
        <v>179512.51928275303</v>
      </c>
      <c r="AB61" s="41">
        <f t="shared" ca="1" si="40"/>
        <v>193661.05542761233</v>
      </c>
      <c r="AC61" s="41">
        <f t="shared" ca="1" si="40"/>
        <v>239883.83366733685</v>
      </c>
      <c r="AD61" s="41">
        <f t="shared" ca="1" si="40"/>
        <v>-380743.38086094061</v>
      </c>
      <c r="AE61" s="41">
        <f t="shared" ca="1" si="40"/>
        <v>377719.87016120384</v>
      </c>
      <c r="AF61" s="41">
        <f t="shared" ca="1" si="40"/>
        <v>441768.35386225331</v>
      </c>
      <c r="AG61" s="41">
        <f t="shared" ca="1" si="40"/>
        <v>-309969.66722593707</v>
      </c>
      <c r="AH61" s="41">
        <f t="shared" ca="1" si="40"/>
        <v>446037.5469965738</v>
      </c>
      <c r="AI61" s="41">
        <f t="shared" ca="1" si="40"/>
        <v>-330877.08853255003</v>
      </c>
      <c r="AJ61" s="41">
        <f t="shared" ref="AJ61:BA61" ca="1" si="41">AJ53+AJ55+AJ60</f>
        <v>-283649.36298489443</v>
      </c>
      <c r="AK61" s="41">
        <f t="shared" ca="1" si="41"/>
        <v>638452.41571087914</v>
      </c>
      <c r="AL61" s="41">
        <f t="shared" ca="1" si="41"/>
        <v>-191247.35169424309</v>
      </c>
      <c r="AM61" s="41">
        <f t="shared" ca="1" si="41"/>
        <v>-138523.83046518196</v>
      </c>
      <c r="AN61" s="41">
        <f t="shared" ca="1" si="41"/>
        <v>878656.00703602121</v>
      </c>
      <c r="AO61" s="41">
        <f t="shared" ca="1" si="41"/>
        <v>-45308.527623498288</v>
      </c>
      <c r="AP61" s="41">
        <f t="shared" ca="1" si="41"/>
        <v>8453.8018643835094</v>
      </c>
      <c r="AQ61" s="41">
        <f t="shared" ca="1" si="41"/>
        <v>76706.91744908609</v>
      </c>
      <c r="AR61" s="41">
        <f t="shared" ca="1" si="41"/>
        <v>146535.62726726331</v>
      </c>
      <c r="AS61" s="41">
        <f t="shared" ca="1" si="41"/>
        <v>217712.85318106785</v>
      </c>
      <c r="AT61" s="41">
        <f t="shared" ca="1" si="41"/>
        <v>274525.02572217211</v>
      </c>
      <c r="AU61" s="41">
        <f t="shared" ca="1" si="41"/>
        <v>319496.83848758833</v>
      </c>
      <c r="AV61" s="41">
        <f t="shared" ca="1" si="41"/>
        <v>365650.55640247976</v>
      </c>
      <c r="AW61" s="41">
        <f t="shared" ca="1" si="41"/>
        <v>413088.83804406645</v>
      </c>
      <c r="AX61" s="41">
        <f t="shared" ca="1" si="41"/>
        <v>-877526.87635083287</v>
      </c>
      <c r="AY61" s="41">
        <f t="shared" ca="1" si="41"/>
        <v>562971.09743062896</v>
      </c>
      <c r="AZ61" s="41">
        <f t="shared" ca="1" si="41"/>
        <v>617159.19592184643</v>
      </c>
      <c r="BA61" s="41">
        <f t="shared" ca="1" si="41"/>
        <v>673760.71854071331</v>
      </c>
    </row>
    <row r="62" spans="1:53" x14ac:dyDescent="0.3">
      <c r="A62" t="s">
        <v>263</v>
      </c>
      <c r="B62" t="s">
        <v>48</v>
      </c>
      <c r="D62" s="40">
        <f>0</f>
        <v>0</v>
      </c>
      <c r="E62" s="40">
        <f t="shared" ref="E62:AJ62" ca="1" si="42">D63</f>
        <v>27624.375</v>
      </c>
      <c r="F62" s="40">
        <f t="shared" ca="1" si="42"/>
        <v>29389.262158203113</v>
      </c>
      <c r="G62" s="40">
        <f t="shared" ca="1" si="42"/>
        <v>18908.97614297102</v>
      </c>
      <c r="H62" s="40">
        <f t="shared" ca="1" si="42"/>
        <v>1541.7344538582838</v>
      </c>
      <c r="I62" s="40">
        <f t="shared" ca="1" si="42"/>
        <v>3377.6788172877277</v>
      </c>
      <c r="J62" s="40">
        <f t="shared" ca="1" si="42"/>
        <v>13067.635770132707</v>
      </c>
      <c r="K62" s="40">
        <f t="shared" ca="1" si="42"/>
        <v>33585.87595936755</v>
      </c>
      <c r="L62" s="40">
        <f t="shared" ca="1" si="42"/>
        <v>14410.893052839034</v>
      </c>
      <c r="M62" s="40">
        <f t="shared" ca="1" si="42"/>
        <v>-15055.035880521813</v>
      </c>
      <c r="N62" s="40">
        <f t="shared" ca="1" si="42"/>
        <v>-43357.626444422582</v>
      </c>
      <c r="O62" s="40">
        <f t="shared" ca="1" si="42"/>
        <v>-161483.04302448471</v>
      </c>
      <c r="P62" s="40">
        <f t="shared" ca="1" si="42"/>
        <v>-65475.780297994323</v>
      </c>
      <c r="Q62" s="40">
        <f t="shared" ca="1" si="42"/>
        <v>41650.48298561314</v>
      </c>
      <c r="R62" s="40">
        <f t="shared" ca="1" si="42"/>
        <v>152032.76467709482</v>
      </c>
      <c r="S62" s="40">
        <f t="shared" ca="1" si="42"/>
        <v>265629.25936157408</v>
      </c>
      <c r="T62" s="40">
        <f t="shared" ca="1" si="42"/>
        <v>382547.58558799874</v>
      </c>
      <c r="U62" s="40">
        <f t="shared" ca="1" si="42"/>
        <v>507279.76281743159</v>
      </c>
      <c r="V62" s="40">
        <f t="shared" ca="1" si="42"/>
        <v>635896.97633710899</v>
      </c>
      <c r="W62" s="40">
        <f t="shared" ca="1" si="42"/>
        <v>768744.49744711607</v>
      </c>
      <c r="X62" s="40">
        <f t="shared" ca="1" si="42"/>
        <v>905964.51400177181</v>
      </c>
      <c r="Y62" s="40">
        <f t="shared" ca="1" si="42"/>
        <v>1047703.738843143</v>
      </c>
      <c r="Z62" s="40">
        <f t="shared" ca="1" si="42"/>
        <v>1194026.2474975819</v>
      </c>
      <c r="AA62" s="40">
        <f t="shared" ca="1" si="42"/>
        <v>755273.41563927266</v>
      </c>
      <c r="AB62" s="40">
        <f t="shared" ca="1" si="42"/>
        <v>934785.93492202566</v>
      </c>
      <c r="AC62" s="40">
        <f t="shared" ca="1" si="42"/>
        <v>1128446.990349638</v>
      </c>
      <c r="AD62" s="40">
        <f t="shared" ca="1" si="42"/>
        <v>1368330.8240169748</v>
      </c>
      <c r="AE62" s="40">
        <f t="shared" ca="1" si="42"/>
        <v>987587.44315603422</v>
      </c>
      <c r="AF62" s="40">
        <f t="shared" ca="1" si="42"/>
        <v>1365307.3133172381</v>
      </c>
      <c r="AG62" s="40">
        <f t="shared" ca="1" si="42"/>
        <v>1807075.6671794914</v>
      </c>
      <c r="AH62" s="40">
        <f t="shared" ca="1" si="42"/>
        <v>1497105.9999535542</v>
      </c>
      <c r="AI62" s="40">
        <f t="shared" ca="1" si="42"/>
        <v>1943143.5469501279</v>
      </c>
      <c r="AJ62" s="40">
        <f t="shared" ca="1" si="42"/>
        <v>1612266.4584175779</v>
      </c>
      <c r="AK62" s="40">
        <f t="shared" ref="AK62:BA62" ca="1" si="43">AJ63</f>
        <v>1328617.0954326834</v>
      </c>
      <c r="AL62" s="40">
        <f t="shared" ca="1" si="43"/>
        <v>1967069.5111435624</v>
      </c>
      <c r="AM62" s="40">
        <f t="shared" ca="1" si="43"/>
        <v>1775822.1594493194</v>
      </c>
      <c r="AN62" s="40">
        <f t="shared" ca="1" si="43"/>
        <v>1637298.3289841374</v>
      </c>
      <c r="AO62" s="40">
        <f t="shared" ca="1" si="43"/>
        <v>2515954.3360201586</v>
      </c>
      <c r="AP62" s="40">
        <f t="shared" ca="1" si="43"/>
        <v>2470645.8083966603</v>
      </c>
      <c r="AQ62" s="40">
        <f t="shared" ca="1" si="43"/>
        <v>2479099.6102610435</v>
      </c>
      <c r="AR62" s="40">
        <f t="shared" ca="1" si="43"/>
        <v>2555806.5277101295</v>
      </c>
      <c r="AS62" s="40">
        <f t="shared" ca="1" si="43"/>
        <v>2702342.1549773929</v>
      </c>
      <c r="AT62" s="40">
        <f t="shared" ca="1" si="43"/>
        <v>2920055.0081584607</v>
      </c>
      <c r="AU62" s="40">
        <f t="shared" ca="1" si="43"/>
        <v>3194580.0338806328</v>
      </c>
      <c r="AV62" s="40">
        <f t="shared" ca="1" si="43"/>
        <v>3514076.8723682212</v>
      </c>
      <c r="AW62" s="40">
        <f t="shared" ca="1" si="43"/>
        <v>3879727.4287707009</v>
      </c>
      <c r="AX62" s="40">
        <f t="shared" ca="1" si="43"/>
        <v>4292816.2668147674</v>
      </c>
      <c r="AY62" s="40">
        <f t="shared" ca="1" si="43"/>
        <v>3415289.3904639343</v>
      </c>
      <c r="AZ62" s="40">
        <f t="shared" ca="1" si="43"/>
        <v>3978260.487894563</v>
      </c>
      <c r="BA62" s="40">
        <f t="shared" ca="1" si="43"/>
        <v>4595419.6838164097</v>
      </c>
    </row>
    <row r="63" spans="1:53" x14ac:dyDescent="0.3">
      <c r="A63" s="3" t="s">
        <v>264</v>
      </c>
      <c r="B63" s="3" t="s">
        <v>48</v>
      </c>
      <c r="C63" s="3"/>
      <c r="D63" s="41">
        <f t="shared" ref="D63:AI63" ca="1" si="44">D62+D61</f>
        <v>27624.375</v>
      </c>
      <c r="E63" s="41">
        <f t="shared" ca="1" si="44"/>
        <v>29389.262158203113</v>
      </c>
      <c r="F63" s="41">
        <f t="shared" ca="1" si="44"/>
        <v>18908.97614297102</v>
      </c>
      <c r="G63" s="41">
        <f t="shared" ca="1" si="44"/>
        <v>1541.7344538582838</v>
      </c>
      <c r="H63" s="41">
        <f t="shared" ca="1" si="44"/>
        <v>3377.6788172877277</v>
      </c>
      <c r="I63" s="41">
        <f t="shared" ca="1" si="44"/>
        <v>13067.635770132707</v>
      </c>
      <c r="J63" s="41">
        <f t="shared" ca="1" si="44"/>
        <v>33585.87595936755</v>
      </c>
      <c r="K63" s="41">
        <f t="shared" ca="1" si="44"/>
        <v>14410.893052839034</v>
      </c>
      <c r="L63" s="41">
        <f t="shared" ca="1" si="44"/>
        <v>-15055.035880521813</v>
      </c>
      <c r="M63" s="41">
        <f t="shared" ca="1" si="44"/>
        <v>-43357.626444422582</v>
      </c>
      <c r="N63" s="41">
        <f t="shared" ca="1" si="44"/>
        <v>-161483.04302448471</v>
      </c>
      <c r="O63" s="41">
        <f t="shared" ca="1" si="44"/>
        <v>-65475.780297994323</v>
      </c>
      <c r="P63" s="41">
        <f t="shared" ca="1" si="44"/>
        <v>41650.48298561314</v>
      </c>
      <c r="Q63" s="41">
        <f t="shared" ca="1" si="44"/>
        <v>152032.76467709482</v>
      </c>
      <c r="R63" s="41">
        <f t="shared" ca="1" si="44"/>
        <v>265629.25936157408</v>
      </c>
      <c r="S63" s="41">
        <f t="shared" ca="1" si="44"/>
        <v>382547.58558799874</v>
      </c>
      <c r="T63" s="41">
        <f t="shared" ca="1" si="44"/>
        <v>507279.76281743159</v>
      </c>
      <c r="U63" s="41">
        <f t="shared" ca="1" si="44"/>
        <v>635896.97633710899</v>
      </c>
      <c r="V63" s="41">
        <f t="shared" ca="1" si="44"/>
        <v>768744.49744711607</v>
      </c>
      <c r="W63" s="41">
        <f t="shared" ca="1" si="44"/>
        <v>905964.51400177181</v>
      </c>
      <c r="X63" s="41">
        <f t="shared" ca="1" si="44"/>
        <v>1047703.738843143</v>
      </c>
      <c r="Y63" s="41">
        <f t="shared" ca="1" si="44"/>
        <v>1194026.2474975819</v>
      </c>
      <c r="Z63" s="41">
        <f t="shared" ca="1" si="44"/>
        <v>755273.41563927266</v>
      </c>
      <c r="AA63" s="41">
        <f t="shared" ca="1" si="44"/>
        <v>934785.93492202566</v>
      </c>
      <c r="AB63" s="41">
        <f t="shared" ca="1" si="44"/>
        <v>1128446.990349638</v>
      </c>
      <c r="AC63" s="41">
        <f t="shared" ca="1" si="44"/>
        <v>1368330.8240169748</v>
      </c>
      <c r="AD63" s="41">
        <f t="shared" ca="1" si="44"/>
        <v>987587.44315603422</v>
      </c>
      <c r="AE63" s="41">
        <f t="shared" ca="1" si="44"/>
        <v>1365307.3133172381</v>
      </c>
      <c r="AF63" s="41">
        <f t="shared" ca="1" si="44"/>
        <v>1807075.6671794914</v>
      </c>
      <c r="AG63" s="41">
        <f t="shared" ca="1" si="44"/>
        <v>1497105.9999535542</v>
      </c>
      <c r="AH63" s="41">
        <f t="shared" ca="1" si="44"/>
        <v>1943143.5469501279</v>
      </c>
      <c r="AI63" s="41">
        <f t="shared" ca="1" si="44"/>
        <v>1612266.4584175779</v>
      </c>
      <c r="AJ63" s="41">
        <f t="shared" ref="AJ63:BA63" ca="1" si="45">AJ62+AJ61</f>
        <v>1328617.0954326834</v>
      </c>
      <c r="AK63" s="41">
        <f t="shared" ca="1" si="45"/>
        <v>1967069.5111435624</v>
      </c>
      <c r="AL63" s="41">
        <f t="shared" ca="1" si="45"/>
        <v>1775822.1594493194</v>
      </c>
      <c r="AM63" s="41">
        <f t="shared" ca="1" si="45"/>
        <v>1637298.3289841374</v>
      </c>
      <c r="AN63" s="41">
        <f t="shared" ca="1" si="45"/>
        <v>2515954.3360201586</v>
      </c>
      <c r="AO63" s="41">
        <f t="shared" ca="1" si="45"/>
        <v>2470645.8083966603</v>
      </c>
      <c r="AP63" s="41">
        <f t="shared" ca="1" si="45"/>
        <v>2479099.6102610435</v>
      </c>
      <c r="AQ63" s="41">
        <f t="shared" ca="1" si="45"/>
        <v>2555806.5277101295</v>
      </c>
      <c r="AR63" s="41">
        <f t="shared" ca="1" si="45"/>
        <v>2702342.1549773929</v>
      </c>
      <c r="AS63" s="41">
        <f t="shared" ca="1" si="45"/>
        <v>2920055.0081584607</v>
      </c>
      <c r="AT63" s="41">
        <f t="shared" ca="1" si="45"/>
        <v>3194580.0338806328</v>
      </c>
      <c r="AU63" s="41">
        <f t="shared" ca="1" si="45"/>
        <v>3514076.8723682212</v>
      </c>
      <c r="AV63" s="41">
        <f t="shared" ca="1" si="45"/>
        <v>3879727.4287707009</v>
      </c>
      <c r="AW63" s="41">
        <f t="shared" ca="1" si="45"/>
        <v>4292816.2668147674</v>
      </c>
      <c r="AX63" s="41">
        <f t="shared" ca="1" si="45"/>
        <v>3415289.3904639343</v>
      </c>
      <c r="AY63" s="41">
        <f t="shared" ca="1" si="45"/>
        <v>3978260.487894563</v>
      </c>
      <c r="AZ63" s="41">
        <f t="shared" ca="1" si="45"/>
        <v>4595419.6838164097</v>
      </c>
      <c r="BA63" s="41">
        <f t="shared" ca="1" si="45"/>
        <v>5269180.4023571229</v>
      </c>
    </row>
    <row r="64" spans="1:53" x14ac:dyDescent="0.3">
      <c r="A64" t="s">
        <v>265</v>
      </c>
      <c r="B64" t="s">
        <v>48</v>
      </c>
      <c r="D64" s="40">
        <f ca="1">-'Asset Register'!D135</f>
        <v>-800</v>
      </c>
      <c r="E64" s="40">
        <f ca="1">-'Asset Register'!E135</f>
        <v>-3260</v>
      </c>
      <c r="F64" s="40">
        <f ca="1">-'Asset Register'!F135</f>
        <v>-8303</v>
      </c>
      <c r="G64" s="40">
        <f ca="1">-'Asset Register'!G135</f>
        <v>-16056.612500000001</v>
      </c>
      <c r="H64" s="40">
        <f ca="1">-'Asset Register'!H135</f>
        <v>-26653.216250000001</v>
      </c>
      <c r="I64" s="40">
        <f ca="1">-'Asset Register'!I135</f>
        <v>-40230.114804687495</v>
      </c>
      <c r="J64" s="40">
        <f ca="1">-'Asset Register'!J135</f>
        <v>-56929.700026953113</v>
      </c>
      <c r="K64" s="40">
        <f ca="1">-'Asset Register'!K135</f>
        <v>-76899.620688579074</v>
      </c>
      <c r="L64" s="40">
        <f ca="1">-'Asset Register'!L135</f>
        <v>-100292.9563207695</v>
      </c>
      <c r="M64" s="40">
        <f ca="1">-'Asset Register'!M135</f>
        <v>-127268.39647163908</v>
      </c>
      <c r="N64" s="40">
        <f ca="1">-'Asset Register'!N135</f>
        <v>-155942.29026163748</v>
      </c>
      <c r="O64" s="40">
        <f ca="1">-'Asset Register'!O135</f>
        <v>-185333.03139638581</v>
      </c>
      <c r="P64" s="40">
        <f ca="1">-'Asset Register'!P135</f>
        <v>-215458.54105950287</v>
      </c>
      <c r="Q64" s="40">
        <f ca="1">-'Asset Register'!Q135</f>
        <v>-246337.18846419785</v>
      </c>
      <c r="R64" s="40">
        <f ca="1">-'Asset Register'!R135</f>
        <v>-277987.80205401022</v>
      </c>
      <c r="S64" s="40">
        <f ca="1">-'Asset Register'!S135</f>
        <v>-310429.68098356784</v>
      </c>
      <c r="T64" s="40">
        <f ca="1">-'Asset Register'!T135</f>
        <v>-343682.60688636446</v>
      </c>
      <c r="U64" s="40">
        <f ca="1">-'Asset Register'!U135</f>
        <v>-377766.85593673098</v>
      </c>
      <c r="V64" s="40">
        <f ca="1">-'Asset Register'!V135</f>
        <v>-412703.21121335664</v>
      </c>
      <c r="W64" s="40">
        <f ca="1">-'Asset Register'!W135</f>
        <v>-448512.97537189792</v>
      </c>
      <c r="X64" s="40">
        <f ca="1">-'Asset Register'!X135</f>
        <v>-485217.98363440274</v>
      </c>
      <c r="Y64" s="40">
        <f ca="1">-'Asset Register'!Y135</f>
        <v>-522840.6171034702</v>
      </c>
      <c r="Z64" s="40">
        <f ca="1">-'Asset Register'!Z135</f>
        <v>-562781.07352732844</v>
      </c>
      <c r="AA64" s="40">
        <f ca="1">-'Asset Register'!AA135</f>
        <v>-603720.04136178305</v>
      </c>
      <c r="AB64" s="40">
        <f ca="1">-'Asset Register'!AB135</f>
        <v>-645682.48339209915</v>
      </c>
      <c r="AC64" s="40">
        <f ca="1">-'Asset Register'!AC135</f>
        <v>-688693.98647317314</v>
      </c>
      <c r="AD64" s="40">
        <f ca="1">-'Asset Register'!AD135</f>
        <v>-734301.01129189809</v>
      </c>
      <c r="AE64" s="40">
        <f ca="1">-'Asset Register'!AE135</f>
        <v>-781048.21173109114</v>
      </c>
      <c r="AF64" s="40">
        <f ca="1">-'Asset Register'!AF135</f>
        <v>-828964.09218126396</v>
      </c>
      <c r="AG64" s="40">
        <f ca="1">-'Asset Register'!AG135</f>
        <v>-879714.995558072</v>
      </c>
      <c r="AH64" s="40">
        <f ca="1">-'Asset Register'!AH135</f>
        <v>-931734.6715193002</v>
      </c>
      <c r="AI64" s="40">
        <f ca="1">-'Asset Register'!AI135</f>
        <v>-986774.84479440621</v>
      </c>
      <c r="AJ64" s="40">
        <f ca="1">-'Asset Register'!AJ135</f>
        <v>-1044954.0279516081</v>
      </c>
      <c r="AK64" s="40">
        <f ca="1">-'Asset Register'!AK135</f>
        <v>-1104587.69068774</v>
      </c>
      <c r="AL64" s="40">
        <f ca="1">-'Asset Register'!AL135</f>
        <v>-1167564.4526984734</v>
      </c>
      <c r="AM64" s="40">
        <f ca="1">-'Asset Register'!AM135</f>
        <v>-1234014.1979083279</v>
      </c>
      <c r="AN64" s="40">
        <f ca="1">-'Asset Register'!AN135</f>
        <v>-1302125.186748429</v>
      </c>
      <c r="AO64" s="40">
        <f ca="1">-'Asset Register'!AO135</f>
        <v>-1373933.6292684213</v>
      </c>
      <c r="AP64" s="40">
        <f ca="1">-'Asset Register'!AP135</f>
        <v>-1449581.8287842742</v>
      </c>
      <c r="AQ64" s="40">
        <f ca="1">-'Asset Register'!AQ135</f>
        <v>-1529216.8928692057</v>
      </c>
      <c r="AR64" s="40">
        <f ca="1">-'Asset Register'!AR135</f>
        <v>-1612990.8846269727</v>
      </c>
      <c r="AS64" s="40">
        <f ca="1">-'Asset Register'!AS135</f>
        <v>-1701060.9785261636</v>
      </c>
      <c r="AT64" s="40">
        <f ca="1">-'Asset Register'!AT135</f>
        <v>-1793589.6209290009</v>
      </c>
      <c r="AU64" s="40">
        <f ca="1">-'Asset Register'!AU135</f>
        <v>-1890744.69545198</v>
      </c>
      <c r="AV64" s="40">
        <f ca="1">-'Asset Register'!AV135</f>
        <v>-1992699.6932996064</v>
      </c>
      <c r="AW64" s="40">
        <f ca="1">-'Asset Register'!AW135</f>
        <v>-2099633.8887165356</v>
      </c>
      <c r="AX64" s="40">
        <f ca="1">-'Asset Register'!AX135</f>
        <v>-2214223.6003962671</v>
      </c>
      <c r="AY64" s="40">
        <f ca="1">-'Asset Register'!AY135</f>
        <v>-2334231.4125738991</v>
      </c>
      <c r="AZ64" s="40">
        <f ca="1">-'Asset Register'!AZ135</f>
        <v>-2459856.6117045269</v>
      </c>
      <c r="BA64" s="40">
        <f ca="1">-'Asset Register'!BA135</f>
        <v>-2591305.0622531888</v>
      </c>
    </row>
    <row r="65" spans="1:53" x14ac:dyDescent="0.3">
      <c r="A65" s="3" t="s">
        <v>240</v>
      </c>
      <c r="B65" s="3" t="s">
        <v>48</v>
      </c>
      <c r="C65" s="3"/>
      <c r="D65" s="41">
        <f t="shared" ref="D65:AI65" ca="1" si="46">D63+D64</f>
        <v>26824.375</v>
      </c>
      <c r="E65" s="41">
        <f t="shared" ca="1" si="46"/>
        <v>26129.262158203113</v>
      </c>
      <c r="F65" s="41">
        <f t="shared" ca="1" si="46"/>
        <v>10605.97614297102</v>
      </c>
      <c r="G65" s="41">
        <f t="shared" ca="1" si="46"/>
        <v>-14514.878046141717</v>
      </c>
      <c r="H65" s="41">
        <f t="shared" ca="1" si="46"/>
        <v>-23275.537432712274</v>
      </c>
      <c r="I65" s="41">
        <f t="shared" ca="1" si="46"/>
        <v>-27162.479034554788</v>
      </c>
      <c r="J65" s="41">
        <f t="shared" ca="1" si="46"/>
        <v>-23343.824067585563</v>
      </c>
      <c r="K65" s="41">
        <f t="shared" ca="1" si="46"/>
        <v>-62488.727635740041</v>
      </c>
      <c r="L65" s="41">
        <f t="shared" ca="1" si="46"/>
        <v>-115347.99220129132</v>
      </c>
      <c r="M65" s="41">
        <f t="shared" ca="1" si="46"/>
        <v>-170626.02291606166</v>
      </c>
      <c r="N65" s="41">
        <f t="shared" ca="1" si="46"/>
        <v>-317425.33328612219</v>
      </c>
      <c r="O65" s="41">
        <f t="shared" ca="1" si="46"/>
        <v>-250808.81169438013</v>
      </c>
      <c r="P65" s="41">
        <f t="shared" ca="1" si="46"/>
        <v>-173808.05807388973</v>
      </c>
      <c r="Q65" s="41">
        <f t="shared" ca="1" si="46"/>
        <v>-94304.423787103035</v>
      </c>
      <c r="R65" s="41">
        <f t="shared" ca="1" si="46"/>
        <v>-12358.542692436138</v>
      </c>
      <c r="S65" s="41">
        <f t="shared" ca="1" si="46"/>
        <v>72117.904604430893</v>
      </c>
      <c r="T65" s="41">
        <f t="shared" ca="1" si="46"/>
        <v>163597.15593106713</v>
      </c>
      <c r="U65" s="41">
        <f t="shared" ca="1" si="46"/>
        <v>258130.12040037801</v>
      </c>
      <c r="V65" s="41">
        <f t="shared" ca="1" si="46"/>
        <v>356041.28623375943</v>
      </c>
      <c r="W65" s="41">
        <f t="shared" ca="1" si="46"/>
        <v>457451.53862987389</v>
      </c>
      <c r="X65" s="41">
        <f t="shared" ca="1" si="46"/>
        <v>562485.75520874024</v>
      </c>
      <c r="Y65" s="41">
        <f t="shared" ca="1" si="46"/>
        <v>671185.63039411162</v>
      </c>
      <c r="Z65" s="41">
        <f t="shared" ca="1" si="46"/>
        <v>192492.34211194422</v>
      </c>
      <c r="AA65" s="41">
        <f t="shared" ca="1" si="46"/>
        <v>331065.89356024261</v>
      </c>
      <c r="AB65" s="41">
        <f t="shared" ca="1" si="46"/>
        <v>482764.50695753889</v>
      </c>
      <c r="AC65" s="41">
        <f t="shared" ca="1" si="46"/>
        <v>679636.83754380164</v>
      </c>
      <c r="AD65" s="41">
        <f t="shared" ca="1" si="46"/>
        <v>253286.43186413613</v>
      </c>
      <c r="AE65" s="41">
        <f t="shared" ca="1" si="46"/>
        <v>584259.10158614698</v>
      </c>
      <c r="AF65" s="41">
        <f t="shared" ca="1" si="46"/>
        <v>978111.57499822741</v>
      </c>
      <c r="AG65" s="41">
        <f t="shared" ca="1" si="46"/>
        <v>617391.00439548225</v>
      </c>
      <c r="AH65" s="41">
        <f t="shared" ca="1" si="46"/>
        <v>1011408.8754308277</v>
      </c>
      <c r="AI65" s="41">
        <f t="shared" ca="1" si="46"/>
        <v>625491.6136231717</v>
      </c>
      <c r="AJ65" s="41">
        <f t="shared" ref="AJ65:BA65" ca="1" si="47">AJ63+AJ64</f>
        <v>283663.0674810753</v>
      </c>
      <c r="AK65" s="41">
        <f t="shared" ca="1" si="47"/>
        <v>862481.8204558224</v>
      </c>
      <c r="AL65" s="41">
        <f t="shared" ca="1" si="47"/>
        <v>608257.706750846</v>
      </c>
      <c r="AM65" s="41">
        <f t="shared" ca="1" si="47"/>
        <v>403284.13107580948</v>
      </c>
      <c r="AN65" s="41">
        <f t="shared" ca="1" si="47"/>
        <v>1213829.1492717296</v>
      </c>
      <c r="AO65" s="41">
        <f t="shared" ca="1" si="47"/>
        <v>1096712.1791282389</v>
      </c>
      <c r="AP65" s="41">
        <f t="shared" ca="1" si="47"/>
        <v>1029517.7814767694</v>
      </c>
      <c r="AQ65" s="41">
        <f t="shared" ca="1" si="47"/>
        <v>1026589.6348409238</v>
      </c>
      <c r="AR65" s="41">
        <f t="shared" ca="1" si="47"/>
        <v>1089351.2703504201</v>
      </c>
      <c r="AS65" s="41">
        <f t="shared" ca="1" si="47"/>
        <v>1218994.0296322971</v>
      </c>
      <c r="AT65" s="41">
        <f t="shared" ca="1" si="47"/>
        <v>1400990.4129516319</v>
      </c>
      <c r="AU65" s="41">
        <f t="shared" ca="1" si="47"/>
        <v>1623332.1769162412</v>
      </c>
      <c r="AV65" s="41">
        <f t="shared" ca="1" si="47"/>
        <v>1887027.7354710945</v>
      </c>
      <c r="AW65" s="41">
        <f t="shared" ca="1" si="47"/>
        <v>2193182.3780982317</v>
      </c>
      <c r="AX65" s="41">
        <f t="shared" ca="1" si="47"/>
        <v>1201065.7900676671</v>
      </c>
      <c r="AY65" s="41">
        <f t="shared" ca="1" si="47"/>
        <v>1644029.0753206639</v>
      </c>
      <c r="AZ65" s="41">
        <f t="shared" ca="1" si="47"/>
        <v>2135563.0721118827</v>
      </c>
      <c r="BA65" s="41">
        <f t="shared" ca="1" si="47"/>
        <v>2677875.3401039341</v>
      </c>
    </row>
    <row r="67" spans="1:53" x14ac:dyDescent="0.3">
      <c r="A67" s="37" t="s">
        <v>366</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row>
    <row r="68" spans="1:53" x14ac:dyDescent="0.3">
      <c r="A68" s="42" t="s">
        <v>367</v>
      </c>
      <c r="B68" t="s">
        <v>48</v>
      </c>
      <c r="D68" s="62">
        <f>'Capital &amp; Debt'!D22</f>
        <v>0</v>
      </c>
      <c r="E68" s="62">
        <f ca="1">'Capital &amp; Debt'!E22</f>
        <v>76906.09375</v>
      </c>
      <c r="F68" s="62">
        <f ca="1">'Capital &amp; Debt'!F22</f>
        <v>128564.69835205079</v>
      </c>
      <c r="G68" s="62">
        <f ca="1">'Capital &amp; Debt'!G22</f>
        <v>197803.25390817923</v>
      </c>
      <c r="H68" s="62">
        <f ca="1">'Capital &amp; Debt'!H22</f>
        <v>194785.13735067699</v>
      </c>
      <c r="I68" s="62">
        <f ca="1">'Capital &amp; Debt'!I22</f>
        <v>217189.76102818805</v>
      </c>
      <c r="J68" s="62">
        <f ca="1">'Capital &amp; Debt'!J22</f>
        <v>231276.34938538272</v>
      </c>
      <c r="K68" s="62">
        <f ca="1">'Capital &amp; Debt'!K22</f>
        <v>251024.2153095837</v>
      </c>
      <c r="L68" s="62">
        <f ca="1">'Capital &amp; Debt'!L22</f>
        <v>258975.77532129642</v>
      </c>
      <c r="M68" s="62">
        <f ca="1">'Capital &amp; Debt'!M22</f>
        <v>279960.09091824642</v>
      </c>
      <c r="N68" s="62">
        <f ca="1">'Capital &amp; Debt'!N22</f>
        <v>301522.62477092841</v>
      </c>
      <c r="O68" s="62">
        <f ca="1">'Capital &amp; Debt'!O22</f>
        <v>104366.78643341735</v>
      </c>
      <c r="P68" s="62">
        <f ca="1">'Capital &amp; Debt'!P22</f>
        <v>120801.87334936438</v>
      </c>
      <c r="Q68" s="62">
        <f ca="1">'Capital &amp; Debt'!Q22</f>
        <v>129032.56937059574</v>
      </c>
      <c r="R68" s="62">
        <f ca="1">'Capital &amp; Debt'!R22</f>
        <v>137567.04461838398</v>
      </c>
      <c r="S68" s="62">
        <f ca="1">'Capital &amp; Debt'!S22</f>
        <v>146565.02758225054</v>
      </c>
      <c r="T68" s="62">
        <f ca="1">'Capital &amp; Debt'!T22</f>
        <v>156031.48937475961</v>
      </c>
      <c r="U68" s="62">
        <f ca="1">'Capital &amp; Debt'!U22</f>
        <v>161591.4983007079</v>
      </c>
      <c r="V68" s="62">
        <f ca="1">'Capital &amp; Debt'!V22</f>
        <v>167569.36353247054</v>
      </c>
      <c r="W68" s="62">
        <f ca="1">'Capital &amp; Debt'!W22</f>
        <v>173750.18270512018</v>
      </c>
      <c r="X68" s="62">
        <f ca="1">'Capital &amp; Debt'!X22</f>
        <v>180140.88830055529</v>
      </c>
      <c r="Y68" s="62">
        <f ca="1">'Capital &amp; Debt'!Y22</f>
        <v>186748.95681191236</v>
      </c>
      <c r="Z68" s="62">
        <f ca="1">'Capital &amp; Debt'!Z22</f>
        <v>193669.7256037374</v>
      </c>
      <c r="AA68" s="62">
        <f ca="1">'Capital &amp; Debt'!AA22</f>
        <v>202556.54921701923</v>
      </c>
      <c r="AB68" s="62">
        <f ca="1">'Capital &amp; Debt'!AB22</f>
        <v>218865.185236427</v>
      </c>
      <c r="AC68" s="62">
        <f ca="1">'Capital &amp; Debt'!AC22</f>
        <v>226732.45782469586</v>
      </c>
      <c r="AD68" s="62">
        <f ca="1">'Capital &amp; Debt'!AD22</f>
        <v>245021.59598309034</v>
      </c>
      <c r="AE68" s="62">
        <f ca="1">'Capital &amp; Debt'!AE22</f>
        <v>265510.86152526084</v>
      </c>
      <c r="AF68" s="62">
        <f ca="1">'Capital &amp; Debt'!AF22</f>
        <v>294094.81227430329</v>
      </c>
      <c r="AG68" s="62">
        <f ca="1">'Capital &amp; Debt'!AG22</f>
        <v>312853.44172908179</v>
      </c>
      <c r="AH68" s="62">
        <f ca="1">'Capital &amp; Debt'!AH22</f>
        <v>320519.04227045644</v>
      </c>
      <c r="AI68" s="62">
        <f ca="1">'Capital &amp; Debt'!AI22</f>
        <v>335235.72698683199</v>
      </c>
      <c r="AJ68" s="62">
        <f ca="1">'Capital &amp; Debt'!AJ22</f>
        <v>352357.96134938858</v>
      </c>
      <c r="AK68" s="62">
        <f ca="1">'Capital &amp; Debt'!AK22</f>
        <v>386492.62720172666</v>
      </c>
      <c r="AL68" s="62">
        <f ca="1">'Capital &amp; Debt'!AL22</f>
        <v>418907.78717913944</v>
      </c>
      <c r="AM68" s="62">
        <f ca="1">'Capital &amp; Debt'!AM22</f>
        <v>443292.63111250103</v>
      </c>
      <c r="AN68" s="62">
        <f ca="1">'Capital &amp; Debt'!AN22</f>
        <v>481020.73162943497</v>
      </c>
      <c r="AO68" s="62">
        <f ca="1">'Capital &amp; Debt'!AO22</f>
        <v>516423.78314814065</v>
      </c>
      <c r="AP68" s="62">
        <f ca="1">'Capital &amp; Debt'!AP22</f>
        <v>543222.14456053637</v>
      </c>
      <c r="AQ68" s="62">
        <f ca="1">'Capital &amp; Debt'!AQ22</f>
        <v>585222.0773767503</v>
      </c>
      <c r="AR68" s="62">
        <f ca="1">'Capital &amp; Debt'!AR22</f>
        <v>629016.86561525334</v>
      </c>
      <c r="AS68" s="62">
        <f ca="1">'Capital &amp; Debt'!AS22</f>
        <v>674581.98607410304</v>
      </c>
      <c r="AT68" s="62">
        <f ca="1">'Capital &amp; Debt'!AT22</f>
        <v>705248.79880211363</v>
      </c>
      <c r="AU68" s="62">
        <f ca="1">'Capital &amp; Debt'!AU22</f>
        <v>722880.01877216646</v>
      </c>
      <c r="AV68" s="62">
        <f ca="1">'Capital &amp; Debt'!AV22</f>
        <v>740952.01924147061</v>
      </c>
      <c r="AW68" s="62">
        <f ca="1">'Capital &amp; Debt'!AW22</f>
        <v>759475.81972250738</v>
      </c>
      <c r="AX68" s="62">
        <f ca="1">'Capital &amp; Debt'!AX22</f>
        <v>778462.71521556994</v>
      </c>
      <c r="AY68" s="62">
        <f ca="1">'Capital &amp; Debt'!AY22</f>
        <v>797924.28309595922</v>
      </c>
      <c r="AZ68" s="62">
        <f ca="1">'Capital &amp; Debt'!AZ22</f>
        <v>817872.39017335814</v>
      </c>
      <c r="BA68" s="62">
        <f ca="1">'Capital &amp; Debt'!BA22</f>
        <v>838319.19992769195</v>
      </c>
    </row>
    <row r="69" spans="1:53" x14ac:dyDescent="0.3">
      <c r="A69" s="42" t="s">
        <v>368</v>
      </c>
      <c r="B69" t="s">
        <v>48</v>
      </c>
      <c r="D69" s="62">
        <f ca="1">'Capital &amp; Debt'!D37</f>
        <v>53300</v>
      </c>
      <c r="E69" s="62">
        <f ca="1">'Capital &amp; Debt'!E37</f>
        <v>410804.2109375</v>
      </c>
      <c r="F69" s="62">
        <f ca="1">'Capital &amp; Debt'!F37</f>
        <v>688284.34906555153</v>
      </c>
      <c r="G69" s="62">
        <f ca="1">'Capital &amp; Debt'!G37</f>
        <v>666160.55545675848</v>
      </c>
      <c r="H69" s="62">
        <f ca="1">'Capital &amp; Debt'!H37</f>
        <v>724453.84109581087</v>
      </c>
      <c r="I69" s="62">
        <f ca="1">'Capital &amp; Debt'!I37</f>
        <v>753778.21391774586</v>
      </c>
      <c r="J69" s="62">
        <f ca="1">'Capital &amp; Debt'!J37</f>
        <v>799342.69411081821</v>
      </c>
      <c r="K69" s="62">
        <f ca="1">'Capital &amp; Debt'!K37</f>
        <v>791468.33442017902</v>
      </c>
      <c r="L69" s="62">
        <f ca="1">'Capital &amp; Debt'!L37</f>
        <v>826650.72818995267</v>
      </c>
      <c r="M69" s="62">
        <f ca="1">'Capital &amp; Debt'!M37</f>
        <v>863326.34081394412</v>
      </c>
      <c r="N69" s="62">
        <f>'Capital &amp; Debt'!N37</f>
        <v>0</v>
      </c>
      <c r="O69" s="62">
        <f>'Capital &amp; Debt'!O37</f>
        <v>0</v>
      </c>
      <c r="P69" s="62">
        <f>'Capital &amp; Debt'!P37</f>
        <v>0</v>
      </c>
      <c r="Q69" s="62">
        <f>'Capital &amp; Debt'!Q37</f>
        <v>0</v>
      </c>
      <c r="R69" s="62">
        <f>'Capital &amp; Debt'!R37</f>
        <v>0</v>
      </c>
      <c r="S69" s="62">
        <f>'Capital &amp; Debt'!S37</f>
        <v>0</v>
      </c>
      <c r="T69" s="62">
        <f>'Capital &amp; Debt'!T37</f>
        <v>0</v>
      </c>
      <c r="U69" s="62">
        <f>'Capital &amp; Debt'!U37</f>
        <v>0</v>
      </c>
      <c r="V69" s="62">
        <f>'Capital &amp; Debt'!V37</f>
        <v>0</v>
      </c>
      <c r="W69" s="62">
        <f>'Capital &amp; Debt'!W37</f>
        <v>0</v>
      </c>
      <c r="X69" s="62">
        <f>'Capital &amp; Debt'!X37</f>
        <v>0</v>
      </c>
      <c r="Y69" s="62">
        <f>'Capital &amp; Debt'!Y37</f>
        <v>0</v>
      </c>
      <c r="Z69" s="62">
        <f>'Capital &amp; Debt'!Z37</f>
        <v>0</v>
      </c>
      <c r="AA69" s="62">
        <f>'Capital &amp; Debt'!AA37</f>
        <v>0</v>
      </c>
      <c r="AB69" s="62">
        <f>'Capital &amp; Debt'!AB37</f>
        <v>0</v>
      </c>
      <c r="AC69" s="62">
        <f>'Capital &amp; Debt'!AC37</f>
        <v>0</v>
      </c>
      <c r="AD69" s="62">
        <f>'Capital &amp; Debt'!AD37</f>
        <v>0</v>
      </c>
      <c r="AE69" s="62">
        <f>'Capital &amp; Debt'!AE37</f>
        <v>0</v>
      </c>
      <c r="AF69" s="62">
        <f>'Capital &amp; Debt'!AF37</f>
        <v>0</v>
      </c>
      <c r="AG69" s="62">
        <f>'Capital &amp; Debt'!AG37</f>
        <v>0</v>
      </c>
      <c r="AH69" s="62">
        <f>'Capital &amp; Debt'!AH37</f>
        <v>0</v>
      </c>
      <c r="AI69" s="62">
        <f>'Capital &amp; Debt'!AI37</f>
        <v>0</v>
      </c>
      <c r="AJ69" s="62">
        <f>'Capital &amp; Debt'!AJ37</f>
        <v>0</v>
      </c>
      <c r="AK69" s="62">
        <f>'Capital &amp; Debt'!AK37</f>
        <v>0</v>
      </c>
      <c r="AL69" s="62">
        <f>'Capital &amp; Debt'!AL37</f>
        <v>0</v>
      </c>
      <c r="AM69" s="62">
        <f>'Capital &amp; Debt'!AM37</f>
        <v>0</v>
      </c>
      <c r="AN69" s="62">
        <f>'Capital &amp; Debt'!AN37</f>
        <v>0</v>
      </c>
      <c r="AO69" s="62">
        <f>'Capital &amp; Debt'!AO37</f>
        <v>0</v>
      </c>
      <c r="AP69" s="62">
        <f>'Capital &amp; Debt'!AP37</f>
        <v>0</v>
      </c>
      <c r="AQ69" s="62">
        <f>'Capital &amp; Debt'!AQ37</f>
        <v>0</v>
      </c>
      <c r="AR69" s="62">
        <f>'Capital &amp; Debt'!AR37</f>
        <v>0</v>
      </c>
      <c r="AS69" s="62">
        <f>'Capital &amp; Debt'!AS37</f>
        <v>0</v>
      </c>
      <c r="AT69" s="62">
        <f>'Capital &amp; Debt'!AT37</f>
        <v>0</v>
      </c>
      <c r="AU69" s="62">
        <f>'Capital &amp; Debt'!AU37</f>
        <v>0</v>
      </c>
      <c r="AV69" s="62">
        <f>'Capital &amp; Debt'!AV37</f>
        <v>0</v>
      </c>
      <c r="AW69" s="62">
        <f>'Capital &amp; Debt'!AW37</f>
        <v>0</v>
      </c>
      <c r="AX69" s="62">
        <f>'Capital &amp; Debt'!AX37</f>
        <v>0</v>
      </c>
      <c r="AY69" s="62">
        <f>'Capital &amp; Debt'!AY37</f>
        <v>0</v>
      </c>
      <c r="AZ69" s="62">
        <f>'Capital &amp; Debt'!AZ37</f>
        <v>0</v>
      </c>
      <c r="BA69" s="62">
        <f>'Capital &amp; Debt'!BA37</f>
        <v>0</v>
      </c>
    </row>
    <row r="70" spans="1:53" x14ac:dyDescent="0.3">
      <c r="A70" s="42" t="s">
        <v>369</v>
      </c>
      <c r="B70" t="s">
        <v>48</v>
      </c>
      <c r="D70" s="62">
        <f t="shared" ref="D70:AI70" ca="1" si="48">D68+D69</f>
        <v>53300</v>
      </c>
      <c r="E70" s="62">
        <f t="shared" ca="1" si="48"/>
        <v>487710.3046875</v>
      </c>
      <c r="F70" s="62">
        <f t="shared" ca="1" si="48"/>
        <v>816849.04741760227</v>
      </c>
      <c r="G70" s="62">
        <f t="shared" ca="1" si="48"/>
        <v>863963.80936493771</v>
      </c>
      <c r="H70" s="62">
        <f t="shared" ca="1" si="48"/>
        <v>919238.9784464878</v>
      </c>
      <c r="I70" s="62">
        <f t="shared" ca="1" si="48"/>
        <v>970967.97494593391</v>
      </c>
      <c r="J70" s="62">
        <f t="shared" ca="1" si="48"/>
        <v>1030619.0434962009</v>
      </c>
      <c r="K70" s="62">
        <f t="shared" ca="1" si="48"/>
        <v>1042492.5497297627</v>
      </c>
      <c r="L70" s="62">
        <f t="shared" ca="1" si="48"/>
        <v>1085626.5035112491</v>
      </c>
      <c r="M70" s="62">
        <f t="shared" ca="1" si="48"/>
        <v>1143286.4317321905</v>
      </c>
      <c r="N70" s="62">
        <f t="shared" ca="1" si="48"/>
        <v>301522.62477092841</v>
      </c>
      <c r="O70" s="62">
        <f t="shared" ca="1" si="48"/>
        <v>104366.78643341735</v>
      </c>
      <c r="P70" s="62">
        <f t="shared" ca="1" si="48"/>
        <v>120801.87334936438</v>
      </c>
      <c r="Q70" s="62">
        <f t="shared" ca="1" si="48"/>
        <v>129032.56937059574</v>
      </c>
      <c r="R70" s="62">
        <f t="shared" ca="1" si="48"/>
        <v>137567.04461838398</v>
      </c>
      <c r="S70" s="62">
        <f t="shared" ca="1" si="48"/>
        <v>146565.02758225054</v>
      </c>
      <c r="T70" s="62">
        <f t="shared" ca="1" si="48"/>
        <v>156031.48937475961</v>
      </c>
      <c r="U70" s="62">
        <f t="shared" ca="1" si="48"/>
        <v>161591.4983007079</v>
      </c>
      <c r="V70" s="62">
        <f t="shared" ca="1" si="48"/>
        <v>167569.36353247054</v>
      </c>
      <c r="W70" s="62">
        <f t="shared" ca="1" si="48"/>
        <v>173750.18270512018</v>
      </c>
      <c r="X70" s="62">
        <f t="shared" ca="1" si="48"/>
        <v>180140.88830055529</v>
      </c>
      <c r="Y70" s="62">
        <f t="shared" ca="1" si="48"/>
        <v>186748.95681191236</v>
      </c>
      <c r="Z70" s="62">
        <f t="shared" ca="1" si="48"/>
        <v>193669.7256037374</v>
      </c>
      <c r="AA70" s="62">
        <f t="shared" ca="1" si="48"/>
        <v>202556.54921701923</v>
      </c>
      <c r="AB70" s="62">
        <f t="shared" ca="1" si="48"/>
        <v>218865.185236427</v>
      </c>
      <c r="AC70" s="62">
        <f t="shared" ca="1" si="48"/>
        <v>226732.45782469586</v>
      </c>
      <c r="AD70" s="62">
        <f t="shared" ca="1" si="48"/>
        <v>245021.59598309034</v>
      </c>
      <c r="AE70" s="62">
        <f t="shared" ca="1" si="48"/>
        <v>265510.86152526084</v>
      </c>
      <c r="AF70" s="62">
        <f t="shared" ca="1" si="48"/>
        <v>294094.81227430329</v>
      </c>
      <c r="AG70" s="62">
        <f t="shared" ca="1" si="48"/>
        <v>312853.44172908179</v>
      </c>
      <c r="AH70" s="62">
        <f t="shared" ca="1" si="48"/>
        <v>320519.04227045644</v>
      </c>
      <c r="AI70" s="62">
        <f t="shared" ca="1" si="48"/>
        <v>335235.72698683199</v>
      </c>
      <c r="AJ70" s="62">
        <f t="shared" ref="AJ70:BA70" ca="1" si="49">AJ68+AJ69</f>
        <v>352357.96134938858</v>
      </c>
      <c r="AK70" s="62">
        <f t="shared" ca="1" si="49"/>
        <v>386492.62720172666</v>
      </c>
      <c r="AL70" s="62">
        <f t="shared" ca="1" si="49"/>
        <v>418907.78717913944</v>
      </c>
      <c r="AM70" s="62">
        <f t="shared" ca="1" si="49"/>
        <v>443292.63111250103</v>
      </c>
      <c r="AN70" s="62">
        <f t="shared" ca="1" si="49"/>
        <v>481020.73162943497</v>
      </c>
      <c r="AO70" s="62">
        <f t="shared" ca="1" si="49"/>
        <v>516423.78314814065</v>
      </c>
      <c r="AP70" s="62">
        <f t="shared" ca="1" si="49"/>
        <v>543222.14456053637</v>
      </c>
      <c r="AQ70" s="62">
        <f t="shared" ca="1" si="49"/>
        <v>585222.0773767503</v>
      </c>
      <c r="AR70" s="62">
        <f t="shared" ca="1" si="49"/>
        <v>629016.86561525334</v>
      </c>
      <c r="AS70" s="62">
        <f t="shared" ca="1" si="49"/>
        <v>674581.98607410304</v>
      </c>
      <c r="AT70" s="62">
        <f t="shared" ca="1" si="49"/>
        <v>705248.79880211363</v>
      </c>
      <c r="AU70" s="62">
        <f t="shared" ca="1" si="49"/>
        <v>722880.01877216646</v>
      </c>
      <c r="AV70" s="62">
        <f t="shared" ca="1" si="49"/>
        <v>740952.01924147061</v>
      </c>
      <c r="AW70" s="62">
        <f t="shared" ca="1" si="49"/>
        <v>759475.81972250738</v>
      </c>
      <c r="AX70" s="62">
        <f t="shared" ca="1" si="49"/>
        <v>778462.71521556994</v>
      </c>
      <c r="AY70" s="62">
        <f t="shared" ca="1" si="49"/>
        <v>797924.28309595922</v>
      </c>
      <c r="AZ70" s="62">
        <f t="shared" ca="1" si="49"/>
        <v>817872.39017335814</v>
      </c>
      <c r="BA70" s="62">
        <f t="shared" ca="1" si="49"/>
        <v>838319.19992769195</v>
      </c>
    </row>
    <row r="71" spans="1:53" x14ac:dyDescent="0.3">
      <c r="A71" s="3" t="s">
        <v>370</v>
      </c>
      <c r="B71" t="s">
        <v>48</v>
      </c>
      <c r="D71" s="62">
        <f ca="1">MAX(0,min_cash_buffer-D65)</f>
        <v>0</v>
      </c>
      <c r="E71" s="62">
        <f ca="1">MAX(0,min_cash_buffer-E65)</f>
        <v>0</v>
      </c>
      <c r="F71" s="62">
        <f ca="1">MAX(0,min_cash_buffer-F65)</f>
        <v>14394.02385702898</v>
      </c>
      <c r="G71" s="62">
        <f ca="1">MAX(0,min_cash_buffer-G65)</f>
        <v>39514.878046141719</v>
      </c>
      <c r="H71" s="62">
        <f ca="1">MAX(0,min_cash_buffer-H65)</f>
        <v>48275.53743271227</v>
      </c>
      <c r="I71" s="62">
        <f ca="1">MAX(0,min_cash_buffer-I65)</f>
        <v>52162.479034554788</v>
      </c>
      <c r="J71" s="62">
        <f ca="1">MAX(0,min_cash_buffer-J65)</f>
        <v>48343.824067585563</v>
      </c>
      <c r="K71" s="62">
        <f ca="1">MAX(0,min_cash_buffer-K65)</f>
        <v>87488.727635740041</v>
      </c>
      <c r="L71" s="62">
        <f ca="1">MAX(0,min_cash_buffer-L65)</f>
        <v>140347.99220129132</v>
      </c>
      <c r="M71" s="62">
        <f ca="1">MAX(0,min_cash_buffer-M65)</f>
        <v>195626.02291606166</v>
      </c>
      <c r="N71" s="62">
        <f ca="1">MAX(0,min_cash_buffer-N65)</f>
        <v>342425.33328612219</v>
      </c>
      <c r="O71" s="62">
        <f ca="1">MAX(0,min_cash_buffer-O65)</f>
        <v>275808.81169438013</v>
      </c>
      <c r="P71" s="62">
        <f ca="1">MAX(0,min_cash_buffer-P65)</f>
        <v>198808.05807388973</v>
      </c>
      <c r="Q71" s="62">
        <f ca="1">MAX(0,min_cash_buffer-Q65)</f>
        <v>119304.42378710303</v>
      </c>
      <c r="R71" s="62">
        <f ca="1">MAX(0,min_cash_buffer-R65)</f>
        <v>37358.542692436138</v>
      </c>
      <c r="S71" s="62">
        <f ca="1">MAX(0,min_cash_buffer-S65)</f>
        <v>0</v>
      </c>
      <c r="T71" s="62">
        <f ca="1">MAX(0,min_cash_buffer-T65)</f>
        <v>0</v>
      </c>
      <c r="U71" s="62">
        <f ca="1">MAX(0,min_cash_buffer-U65)</f>
        <v>0</v>
      </c>
      <c r="V71" s="62">
        <f ca="1">MAX(0,min_cash_buffer-V65)</f>
        <v>0</v>
      </c>
      <c r="W71" s="62">
        <f ca="1">MAX(0,min_cash_buffer-W65)</f>
        <v>0</v>
      </c>
      <c r="X71" s="62">
        <f ca="1">MAX(0,min_cash_buffer-X65)</f>
        <v>0</v>
      </c>
      <c r="Y71" s="62">
        <f ca="1">MAX(0,min_cash_buffer-Y65)</f>
        <v>0</v>
      </c>
      <c r="Z71" s="62">
        <f ca="1">MAX(0,min_cash_buffer-Z65)</f>
        <v>0</v>
      </c>
      <c r="AA71" s="62">
        <f ca="1">MAX(0,min_cash_buffer-AA65)</f>
        <v>0</v>
      </c>
      <c r="AB71" s="62">
        <f ca="1">MAX(0,min_cash_buffer-AB65)</f>
        <v>0</v>
      </c>
      <c r="AC71" s="62">
        <f ca="1">MAX(0,min_cash_buffer-AC65)</f>
        <v>0</v>
      </c>
      <c r="AD71" s="62">
        <f ca="1">MAX(0,min_cash_buffer-AD65)</f>
        <v>0</v>
      </c>
      <c r="AE71" s="62">
        <f ca="1">MAX(0,min_cash_buffer-AE65)</f>
        <v>0</v>
      </c>
      <c r="AF71" s="62">
        <f ca="1">MAX(0,min_cash_buffer-AF65)</f>
        <v>0</v>
      </c>
      <c r="AG71" s="62">
        <f ca="1">MAX(0,min_cash_buffer-AG65)</f>
        <v>0</v>
      </c>
      <c r="AH71" s="62">
        <f ca="1">MAX(0,min_cash_buffer-AH65)</f>
        <v>0</v>
      </c>
      <c r="AI71" s="62">
        <f ca="1">MAX(0,min_cash_buffer-AI65)</f>
        <v>0</v>
      </c>
      <c r="AJ71" s="62">
        <f ca="1">MAX(0,min_cash_buffer-AJ65)</f>
        <v>0</v>
      </c>
      <c r="AK71" s="62">
        <f ca="1">MAX(0,min_cash_buffer-AK65)</f>
        <v>0</v>
      </c>
      <c r="AL71" s="62">
        <f ca="1">MAX(0,min_cash_buffer-AL65)</f>
        <v>0</v>
      </c>
      <c r="AM71" s="62">
        <f ca="1">MAX(0,min_cash_buffer-AM65)</f>
        <v>0</v>
      </c>
      <c r="AN71" s="62">
        <f ca="1">MAX(0,min_cash_buffer-AN65)</f>
        <v>0</v>
      </c>
      <c r="AO71" s="62">
        <f ca="1">MAX(0,min_cash_buffer-AO65)</f>
        <v>0</v>
      </c>
      <c r="AP71" s="62">
        <f ca="1">MAX(0,min_cash_buffer-AP65)</f>
        <v>0</v>
      </c>
      <c r="AQ71" s="62">
        <f ca="1">MAX(0,min_cash_buffer-AQ65)</f>
        <v>0</v>
      </c>
      <c r="AR71" s="62">
        <f ca="1">MAX(0,min_cash_buffer-AR65)</f>
        <v>0</v>
      </c>
      <c r="AS71" s="62">
        <f ca="1">MAX(0,min_cash_buffer-AS65)</f>
        <v>0</v>
      </c>
      <c r="AT71" s="62">
        <f ca="1">MAX(0,min_cash_buffer-AT65)</f>
        <v>0</v>
      </c>
      <c r="AU71" s="62">
        <f ca="1">MAX(0,min_cash_buffer-AU65)</f>
        <v>0</v>
      </c>
      <c r="AV71" s="62">
        <f ca="1">MAX(0,min_cash_buffer-AV65)</f>
        <v>0</v>
      </c>
      <c r="AW71" s="62">
        <f ca="1">MAX(0,min_cash_buffer-AW65)</f>
        <v>0</v>
      </c>
      <c r="AX71" s="62">
        <f ca="1">MAX(0,min_cash_buffer-AX65)</f>
        <v>0</v>
      </c>
      <c r="AY71" s="62">
        <f ca="1">MAX(0,min_cash_buffer-AY65)</f>
        <v>0</v>
      </c>
      <c r="AZ71" s="62">
        <f ca="1">MAX(0,min_cash_buffer-AZ65)</f>
        <v>0</v>
      </c>
      <c r="BA71" s="62">
        <f ca="1">MAX(0,min_cash_buffer-BA65)</f>
        <v>0</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C5EF-BD99-48D0-A318-03DA326E964A}">
  <dimension ref="A1:AY74"/>
  <sheetViews>
    <sheetView tabSelected="1" workbookViewId="0"/>
  </sheetViews>
  <sheetFormatPr defaultRowHeight="14.4" outlineLevelRow="1" x14ac:dyDescent="0.3"/>
  <cols>
    <col min="1" max="1" width="59.21875" customWidth="1"/>
    <col min="2" max="2" width="3.6640625" customWidth="1"/>
    <col min="3" max="3" width="22.21875" customWidth="1"/>
    <col min="4" max="6" width="16.6640625" customWidth="1"/>
  </cols>
  <sheetData>
    <row r="1" spans="1:6" ht="21" x14ac:dyDescent="0.4">
      <c r="A1" s="48" t="s">
        <v>270</v>
      </c>
    </row>
    <row r="2" spans="1:6" x14ac:dyDescent="0.3">
      <c r="A2" s="2" t="s">
        <v>371</v>
      </c>
    </row>
    <row r="3" spans="1:6" x14ac:dyDescent="0.3">
      <c r="A3" s="3" t="s">
        <v>271</v>
      </c>
      <c r="C3" s="4" t="s">
        <v>1</v>
      </c>
    </row>
    <row r="4" spans="1:6" x14ac:dyDescent="0.3">
      <c r="A4" s="3" t="s">
        <v>272</v>
      </c>
      <c r="C4" s="4">
        <v>20</v>
      </c>
      <c r="D4" s="2" t="s">
        <v>372</v>
      </c>
    </row>
    <row r="5" spans="1:6" x14ac:dyDescent="0.3">
      <c r="A5" s="3" t="s">
        <v>89</v>
      </c>
      <c r="C5" s="14">
        <f>base_calendar_year+$C$4-1</f>
        <v>2045</v>
      </c>
    </row>
    <row r="6" spans="1:6" ht="48" customHeight="1" x14ac:dyDescent="0.3">
      <c r="A6" s="75" t="str">
        <f ca="1">"VIABILITY WARNING — minimum DSCR of "&amp;TEXT(MIN('Capital &amp; Debt'!$D$64:$BA$64),"0.00")&amp;"x falls below the "&amp;TEXT($E$30,"0.00")&amp;"x covenant minimum in "&amp;COUNTIF('Capital &amp; Debt'!$D$64:$BA$64,"&lt;"&amp;$E$30)&amp;" of the 50 years. A DSCR under 1.00x means the rental surplus does not cover debt service at all. In covenant breach a lender may block further drawdowns, require additional security, or accelerate repayment."</f>
        <v>VIABILITY WARNING — minimum DSCR of 0.97x falls below the 1.20x covenant minimum in 21 of the 50 years. A DSCR under 1.00x means the rental surplus does not cover debt service at all. In covenant breach a lender may block further drawdowns, require additional security, or accelerate repayment.</v>
      </c>
      <c r="B6" s="76"/>
      <c r="C6" s="76"/>
      <c r="D6" s="76"/>
      <c r="E6" s="76"/>
      <c r="F6" s="76"/>
    </row>
    <row r="7" spans="1:6" ht="42" customHeight="1" x14ac:dyDescent="0.3">
      <c r="A7" s="77" t="str">
        <f>"Primary levers on DSCR, in order of effect: gross rental yield (now "&amp;TEXT(gross_yield,"0.0%")&amp;"), Land Commons share of gross rent ("&amp;TEXT(lc_share,"0.0%")&amp;"), the implied SLC coupon ("&amp;TEXT(pf_coupon_spread,"0.00%")&amp;" over index, driven by the target investor annuity rate), void rate ("&amp;TEXT(void_rate,"0.0%")&amp;") and the LTV limit ("&amp;TEXT(pf_ltv_limit,"0.0%")&amp;"). Free cash additionally carries the CapEx sinking fund at "&amp;TEXT(sinking_per_prop,"£#,##0")&amp;" per property per year."</f>
        <v>Primary levers on DSCR, in order of effect: gross rental yield (now 5.0%), Land Commons share of gross rent (80.0%), the implied SLC coupon (3.75% over index, driven by the target investor annuity rate), void rate (5.0%) and the LTV limit (70.0%). Free cash additionally carries the CapEx sinking fund at £1,500 per property per year.</v>
      </c>
      <c r="B7" s="78"/>
      <c r="C7" s="78"/>
      <c r="D7" s="78"/>
      <c r="E7" s="78"/>
      <c r="F7" s="78"/>
    </row>
    <row r="9" spans="1:6" x14ac:dyDescent="0.3">
      <c r="A9" s="37" t="s">
        <v>273</v>
      </c>
      <c r="B9" s="37"/>
      <c r="C9" s="37"/>
      <c r="D9" s="37"/>
      <c r="E9" s="37"/>
      <c r="F9" s="37"/>
    </row>
    <row r="10" spans="1:6" x14ac:dyDescent="0.3">
      <c r="A10" t="s">
        <v>274</v>
      </c>
      <c r="C10" s="49" cm="1">
        <f t="array" aca="1" ref="C10" ca="1">INDEX('Growth Engine'!$D$11:$BA$11,$C$4)</f>
        <v>28</v>
      </c>
    </row>
    <row r="11" spans="1:6" x14ac:dyDescent="0.3">
      <c r="A11" t="s">
        <v>275</v>
      </c>
      <c r="C11" s="16" cm="1">
        <f t="array" aca="1" ref="C11" ca="1">INDEX('Asset Register'!$D$61:$BA$61,$C$4)</f>
        <v>15072410.328089094</v>
      </c>
    </row>
    <row r="12" spans="1:6" x14ac:dyDescent="0.3">
      <c r="A12" t="s">
        <v>276</v>
      </c>
      <c r="C12" s="16" cm="1">
        <f t="array" aca="1" ref="C12" ca="1">INDEX('Financial Statements'!$D$10:$BA$10,$C$4)</f>
        <v>500834.02260773152</v>
      </c>
    </row>
    <row r="13" spans="1:6" x14ac:dyDescent="0.3">
      <c r="A13" t="s">
        <v>223</v>
      </c>
      <c r="C13" s="16" cm="1">
        <f t="array" aca="1" ref="C13" ca="1">INDEX('Financial Statements'!$D$13:$BA$13,$C$4)</f>
        <v>676685.54302913975</v>
      </c>
    </row>
    <row r="14" spans="1:6" x14ac:dyDescent="0.3">
      <c r="A14" t="s">
        <v>229</v>
      </c>
      <c r="C14" s="16" cm="1">
        <f t="array" aca="1" ref="C14" ca="1">INDEX('Financial Statements'!$D$19:$BA$19,$C$4)</f>
        <v>589983.90483420447</v>
      </c>
    </row>
    <row r="15" spans="1:6" x14ac:dyDescent="0.3">
      <c r="A15" t="s">
        <v>235</v>
      </c>
      <c r="C15" s="50" cm="1">
        <f t="array" aca="1" ref="C15" ca="1">INDEX('Financial Statements'!$D$26:$BA$26,$C$4)</f>
        <v>-212234.55973527208</v>
      </c>
    </row>
    <row r="16" spans="1:6" x14ac:dyDescent="0.3">
      <c r="A16" t="s">
        <v>277</v>
      </c>
      <c r="C16" s="16" cm="1">
        <f t="array" aca="1" ref="C16" ca="1">INDEX('Capital &amp; Debt'!$D$43:$BA$43,$C$4)</f>
        <v>9232549.3466241509</v>
      </c>
    </row>
    <row r="17" spans="1:6" x14ac:dyDescent="0.3">
      <c r="A17" t="s">
        <v>278</v>
      </c>
      <c r="C17" s="16" cm="1">
        <f t="array" ref="C17">INDEX('Capital &amp; Debt'!$D$50:$BA$50,$C$4)</f>
        <v>0</v>
      </c>
    </row>
    <row r="18" spans="1:6" x14ac:dyDescent="0.3">
      <c r="A18" t="s">
        <v>279</v>
      </c>
      <c r="C18" s="16" cm="1">
        <f t="array" aca="1" ref="C18" ca="1">INDEX('Capital &amp; Debt'!$D$26:$BA$26,$C$4)</f>
        <v>3051562.2577777286</v>
      </c>
    </row>
    <row r="19" spans="1:6" x14ac:dyDescent="0.3">
      <c r="A19" t="s">
        <v>192</v>
      </c>
      <c r="C19" s="16" cm="1">
        <f t="array" ref="C19">INDEX('Capital &amp; Debt'!$D$15:$BA$15,$C$4)</f>
        <v>2959912.3372777454</v>
      </c>
    </row>
    <row r="20" spans="1:6" x14ac:dyDescent="0.3">
      <c r="A20" t="s">
        <v>214</v>
      </c>
      <c r="C20" s="16" cm="1">
        <f t="array" aca="1" ref="C20" ca="1">INDEX('Capital &amp; Debt'!$D$55:$BA$55,$C$4)</f>
        <v>577034.33416400943</v>
      </c>
    </row>
    <row r="21" spans="1:6" x14ac:dyDescent="0.3">
      <c r="A21" t="s">
        <v>240</v>
      </c>
      <c r="C21" s="50" cm="1">
        <f t="array" aca="1" ref="C21" ca="1">INDEX('Financial Statements'!$D$65:$BA$65,$C$4)</f>
        <v>457451.53862987389</v>
      </c>
    </row>
    <row r="22" spans="1:6" x14ac:dyDescent="0.3">
      <c r="A22" t="s">
        <v>239</v>
      </c>
      <c r="C22" s="16" cm="1">
        <f t="array" aca="1" ref="C22" ca="1">INDEX('Financial Statements'!$D$31:$BA$31,$C$4)</f>
        <v>448512.97537189792</v>
      </c>
    </row>
    <row r="23" spans="1:6" x14ac:dyDescent="0.3">
      <c r="A23" t="s">
        <v>280</v>
      </c>
      <c r="C23" s="16" cm="1">
        <f t="array" aca="1" ref="C23" ca="1">INDEX('Financial Statements'!$D$43:$BA$43,$C$4)</f>
        <v>3694263.2376889857</v>
      </c>
    </row>
    <row r="24" spans="1:6" x14ac:dyDescent="0.3">
      <c r="A24" t="s">
        <v>347</v>
      </c>
      <c r="C24" s="16" cm="1">
        <f t="array" aca="1" ref="C24" ca="1">INDEX('Capital &amp; Debt'!$D$38:$BA$38,$C$4)</f>
        <v>6577569.2680082601</v>
      </c>
    </row>
    <row r="25" spans="1:6" x14ac:dyDescent="0.3">
      <c r="A25" s="84" t="s">
        <v>348</v>
      </c>
      <c r="B25" s="84"/>
      <c r="C25" s="85" cm="1">
        <f t="array" ref="C25">INDEX('Financial Statements'!$D$42:$BA$42,$C$4)</f>
        <v>0</v>
      </c>
      <c r="D25" s="84"/>
      <c r="E25" s="84"/>
      <c r="F25" s="84"/>
    </row>
    <row r="26" spans="1:6" x14ac:dyDescent="0.3">
      <c r="A26" s="84"/>
      <c r="B26" s="84"/>
      <c r="C26" s="86"/>
      <c r="D26" s="84"/>
      <c r="E26" s="84"/>
      <c r="F26" s="84"/>
    </row>
    <row r="27" spans="1:6" x14ac:dyDescent="0.3">
      <c r="A27" s="37" t="s">
        <v>281</v>
      </c>
      <c r="B27" s="37"/>
      <c r="C27" s="74"/>
      <c r="D27" s="37"/>
      <c r="E27" s="37"/>
      <c r="F27" s="37"/>
    </row>
    <row r="28" spans="1:6" x14ac:dyDescent="0.3">
      <c r="A28" s="82"/>
      <c r="B28" s="82"/>
      <c r="C28" s="83"/>
      <c r="D28" s="82"/>
      <c r="E28" s="82"/>
      <c r="F28" s="82"/>
    </row>
    <row r="29" spans="1:6" x14ac:dyDescent="0.3">
      <c r="A29" s="7" t="s">
        <v>282</v>
      </c>
      <c r="B29" s="7"/>
      <c r="C29" s="7" t="s">
        <v>283</v>
      </c>
      <c r="D29" s="7" t="s">
        <v>284</v>
      </c>
      <c r="E29" s="7" t="s">
        <v>320</v>
      </c>
      <c r="F29" s="7" t="s">
        <v>285</v>
      </c>
    </row>
    <row r="30" spans="1:6" x14ac:dyDescent="0.3">
      <c r="A30" t="s">
        <v>286</v>
      </c>
      <c r="C30" s="51" cm="1">
        <f t="array" aca="1" ref="C30" ca="1">IF(INDEX('Capital &amp; Debt'!$D$55:$BA$55,$C$4)&lt;=0,"n/a",INDEX('Capital &amp; Debt'!$D$64:$BA$64,$C$4))</f>
        <v>1.0224415947258252</v>
      </c>
      <c r="D30" s="51">
        <f>1.5</f>
        <v>1.5</v>
      </c>
      <c r="E30" s="51">
        <f>1.2</f>
        <v>1.2</v>
      </c>
      <c r="F30" s="6" t="str">
        <f ca="1">IF(C30="n/a","n/a",IF(C30&gt;=D30,"GREEN",IF(C30&gt;=E30,"AMBER","RED")))</f>
        <v>RED</v>
      </c>
    </row>
    <row r="31" spans="1:6" x14ac:dyDescent="0.3">
      <c r="A31" t="s">
        <v>216</v>
      </c>
      <c r="C31" s="13" cm="1">
        <f t="array" aca="1" ref="C31" ca="1">INDEX('Capital &amp; Debt'!$D$57:$BA$57,$C$4)</f>
        <v>0.61254631115092983</v>
      </c>
      <c r="D31" s="13">
        <f>pf_ltv_limit-0.1</f>
        <v>0.6</v>
      </c>
      <c r="E31" s="13">
        <f>pf_ltv_limit</f>
        <v>0.7</v>
      </c>
      <c r="F31" s="6" t="str">
        <f ca="1">IF(C31="n/a","n/a",IF(C31&lt;=D31,"GREEN",IF(C31&lt;=E31,"AMBER","RED")))</f>
        <v>AMBER</v>
      </c>
    </row>
    <row r="32" spans="1:6" x14ac:dyDescent="0.3">
      <c r="A32" t="s">
        <v>287</v>
      </c>
      <c r="C32" s="52" cm="1">
        <f t="array" aca="1" ref="C32" ca="1">IF(INDEX('Capital &amp; Debt'!$D$55:$BA$55,$C$4)&lt;=0,"n/a",INDEX('Capital &amp; Debt'!$D$65:$BA$65,$C$4))</f>
        <v>9.5131574302444175</v>
      </c>
      <c r="D32" s="52">
        <f>reserve_tgt_months</f>
        <v>6</v>
      </c>
      <c r="E32" s="52">
        <f>reserve_min_months</f>
        <v>3</v>
      </c>
      <c r="F32" s="6" t="str">
        <f ca="1">IF(C32="n/a","n/a",IF(C32&gt;=D32,"GREEN",IF(C32&gt;=E32,"AMBER","RED")))</f>
        <v>GREEN</v>
      </c>
    </row>
    <row r="33" spans="1:6" x14ac:dyDescent="0.3">
      <c r="A33" t="s">
        <v>288</v>
      </c>
      <c r="C33" s="13" cm="1">
        <f t="array" aca="1" ref="C33" ca="1">INDEX('Capital &amp; Debt'!$D$59:$BA$59,$C$4)</f>
        <v>0.19098076543674411</v>
      </c>
      <c r="D33" s="13">
        <f>cs_max_pct_capital-0.02</f>
        <v>0.18000000000000002</v>
      </c>
      <c r="E33" s="13">
        <f>cs_max_pct_capital</f>
        <v>0.2</v>
      </c>
      <c r="F33" s="6" t="str">
        <f ca="1">IF(C33="n/a","n/a",IF(C33&lt;=D33,"GREEN",IF(C33&lt;=E33,"AMBER","RED")))</f>
        <v>AMBER</v>
      </c>
    </row>
    <row r="34" spans="1:6" x14ac:dyDescent="0.3">
      <c r="A34" t="s">
        <v>289</v>
      </c>
      <c r="C34" s="16" cm="1">
        <f t="array" aca="1" ref="C34" ca="1">INDEX('Capital &amp; Debt'!$D$62:$BA$62,$C$4)</f>
        <v>0</v>
      </c>
      <c r="D34" s="16">
        <f>0</f>
        <v>0</v>
      </c>
      <c r="E34" s="16">
        <f>1</f>
        <v>1</v>
      </c>
      <c r="F34" s="6" t="str">
        <f ca="1">IF(C34="n/a","n/a",IF(C34&lt;=D34,"GREEN",IF(C34&lt;=E34,"AMBER","RED")))</f>
        <v>GREEN</v>
      </c>
    </row>
    <row r="35" spans="1:6" x14ac:dyDescent="0.3">
      <c r="A35" t="s">
        <v>373</v>
      </c>
      <c r="C35" s="16" cm="1">
        <f t="array" aca="1" ref="C35" ca="1">INDEX('Financial Statements'!$D$71:$BA$71,$C$4)</f>
        <v>0</v>
      </c>
      <c r="D35" s="16">
        <f>0</f>
        <v>0</v>
      </c>
      <c r="E35" s="16">
        <f>1</f>
        <v>1</v>
      </c>
      <c r="F35" s="6" t="str">
        <f ca="1">IF(C35&lt;=D35,"GREEN",IF(C35&lt;=E35,"AMBER","RED"))</f>
        <v>GREEN</v>
      </c>
    </row>
    <row r="36" spans="1:6" x14ac:dyDescent="0.3">
      <c r="A36" t="s">
        <v>290</v>
      </c>
      <c r="C36" s="16" cm="1">
        <f t="array" aca="1" ref="C36" ca="1">ROUND(INDEX('Financial Statements'!$D$46:$BA$46,$C$4),0)</f>
        <v>0</v>
      </c>
      <c r="D36" s="16">
        <f>0</f>
        <v>0</v>
      </c>
      <c r="E36" s="16">
        <f>1</f>
        <v>1</v>
      </c>
      <c r="F36" s="6" t="str">
        <f ca="1">IF(C36="n/a","n/a",IF(C36&lt;=D36,"GREEN",IF(C36&lt;=E36,"AMBER","RED")))</f>
        <v>GREEN</v>
      </c>
    </row>
    <row r="38" spans="1:6" x14ac:dyDescent="0.3">
      <c r="A38" s="37" t="s">
        <v>291</v>
      </c>
      <c r="B38" s="37"/>
      <c r="C38" s="37"/>
      <c r="D38" s="37"/>
      <c r="E38" s="37"/>
      <c r="F38" s="37"/>
    </row>
    <row r="39" spans="1:6" x14ac:dyDescent="0.3">
      <c r="A39" t="s">
        <v>292</v>
      </c>
      <c r="C39" s="51">
        <f ca="1">MIN('Capital &amp; Debt'!$D$64:$BA$64)</f>
        <v>0.96509182507560354</v>
      </c>
    </row>
    <row r="40" spans="1:6" x14ac:dyDescent="0.3">
      <c r="A40" t="s">
        <v>293</v>
      </c>
      <c r="C40" s="13">
        <f ca="1">MAX('Capital &amp; Debt'!$D$57:$BA$57)</f>
        <v>0.7</v>
      </c>
    </row>
    <row r="41" spans="1:6" x14ac:dyDescent="0.3">
      <c r="A41" t="s">
        <v>294</v>
      </c>
      <c r="C41" s="52">
        <f ca="1">MIN('Capital &amp; Debt'!$D$65:$BA$65)</f>
        <v>-8.2439616707797576</v>
      </c>
    </row>
    <row r="42" spans="1:6" x14ac:dyDescent="0.3">
      <c r="A42" t="s">
        <v>295</v>
      </c>
      <c r="C42" s="50">
        <f ca="1">MIN('Financial Statements'!$D$65:$BA$65)</f>
        <v>-317425.33328612219</v>
      </c>
    </row>
    <row r="43" spans="1:6" x14ac:dyDescent="0.3">
      <c r="A43" t="s">
        <v>296</v>
      </c>
      <c r="C43" s="14">
        <f ca="1">COUNTIF('Capital &amp; Debt'!$D$62:$BA$62,"&gt;1")</f>
        <v>30</v>
      </c>
    </row>
    <row r="44" spans="1:6" x14ac:dyDescent="0.3">
      <c r="A44" t="s">
        <v>297</v>
      </c>
      <c r="C44" s="16" cm="1">
        <f t="array" aca="1" ref="C44" ca="1">SUMPRODUCT(MAX(ABS('Financial Statements'!$D$46:$BA$46)))</f>
        <v>0</v>
      </c>
    </row>
    <row r="45" spans="1:6" x14ac:dyDescent="0.3">
      <c r="A45" t="s">
        <v>298</v>
      </c>
      <c r="C45" s="50">
        <f ca="1">'Financial Statements'!$BA$27</f>
        <v>9248816.3716726881</v>
      </c>
    </row>
    <row r="46" spans="1:6" x14ac:dyDescent="0.3">
      <c r="A46" t="s">
        <v>299</v>
      </c>
      <c r="C46" s="16">
        <f ca="1">'Financial Statements'!$BA$43</f>
        <v>61518463.8080201</v>
      </c>
    </row>
    <row r="47" spans="1:6" x14ac:dyDescent="0.3">
      <c r="A47" t="s">
        <v>374</v>
      </c>
      <c r="C47" s="14">
        <f ca="1">COUNTIF('Financial Statements'!$D$71:$BA$71,"&gt;1")</f>
        <v>13</v>
      </c>
    </row>
    <row r="49" spans="1:6" x14ac:dyDescent="0.3">
      <c r="A49" s="37" t="s">
        <v>316</v>
      </c>
      <c r="B49" s="37"/>
      <c r="C49" s="37"/>
      <c r="D49" s="37"/>
      <c r="E49" s="37"/>
      <c r="F49" s="37"/>
    </row>
    <row r="50" spans="1:6" ht="48" x14ac:dyDescent="0.3">
      <c r="A50" s="56" t="s">
        <v>317</v>
      </c>
    </row>
    <row r="51" spans="1:6" ht="36" x14ac:dyDescent="0.3">
      <c r="A51" s="56" t="s">
        <v>318</v>
      </c>
    </row>
    <row r="52" spans="1:6" ht="48" x14ac:dyDescent="0.3">
      <c r="A52" s="56" t="s">
        <v>400</v>
      </c>
    </row>
    <row r="53" spans="1:6" ht="36" x14ac:dyDescent="0.3">
      <c r="A53" s="56" t="s">
        <v>319</v>
      </c>
    </row>
    <row r="54" spans="1:6" ht="96" x14ac:dyDescent="0.3">
      <c r="A54" s="56" t="s">
        <v>349</v>
      </c>
    </row>
    <row r="55" spans="1:6" ht="60" x14ac:dyDescent="0.3">
      <c r="A55" s="56" t="s">
        <v>350</v>
      </c>
    </row>
    <row r="56" spans="1:6" ht="48" x14ac:dyDescent="0.3">
      <c r="A56" s="56" t="s">
        <v>401</v>
      </c>
    </row>
    <row r="57" spans="1:6" ht="36" x14ac:dyDescent="0.3">
      <c r="A57" s="56" t="s">
        <v>402</v>
      </c>
    </row>
    <row r="65" spans="1:51" outlineLevel="1" x14ac:dyDescent="0.3">
      <c r="A65" s="53" t="s">
        <v>302</v>
      </c>
    </row>
    <row r="66" spans="1:51" outlineLevel="1" x14ac:dyDescent="0.3"/>
    <row r="67" spans="1:51" outlineLevel="1" x14ac:dyDescent="0.3">
      <c r="A67" t="s">
        <v>303</v>
      </c>
      <c r="B67">
        <v>1</v>
      </c>
      <c r="C67">
        <v>2</v>
      </c>
      <c r="D67">
        <v>3</v>
      </c>
      <c r="E67">
        <v>4</v>
      </c>
      <c r="F67">
        <v>5</v>
      </c>
      <c r="G67">
        <v>6</v>
      </c>
      <c r="H67">
        <v>7</v>
      </c>
      <c r="I67">
        <v>8</v>
      </c>
      <c r="J67">
        <v>9</v>
      </c>
      <c r="K67">
        <v>10</v>
      </c>
      <c r="L67">
        <v>11</v>
      </c>
      <c r="M67">
        <v>12</v>
      </c>
      <c r="N67">
        <v>13</v>
      </c>
      <c r="O67">
        <v>14</v>
      </c>
      <c r="P67">
        <v>15</v>
      </c>
      <c r="Q67">
        <v>16</v>
      </c>
      <c r="R67">
        <v>17</v>
      </c>
      <c r="S67">
        <v>18</v>
      </c>
      <c r="T67">
        <v>19</v>
      </c>
      <c r="U67">
        <v>20</v>
      </c>
      <c r="V67">
        <v>21</v>
      </c>
      <c r="W67">
        <v>22</v>
      </c>
      <c r="X67">
        <v>23</v>
      </c>
      <c r="Y67">
        <v>24</v>
      </c>
      <c r="Z67">
        <v>25</v>
      </c>
      <c r="AA67">
        <v>26</v>
      </c>
      <c r="AB67">
        <v>27</v>
      </c>
      <c r="AC67">
        <v>28</v>
      </c>
      <c r="AD67">
        <v>29</v>
      </c>
      <c r="AE67">
        <v>30</v>
      </c>
      <c r="AF67">
        <v>31</v>
      </c>
      <c r="AG67">
        <v>32</v>
      </c>
      <c r="AH67">
        <v>33</v>
      </c>
      <c r="AI67">
        <v>34</v>
      </c>
      <c r="AJ67">
        <v>35</v>
      </c>
      <c r="AK67">
        <v>36</v>
      </c>
      <c r="AL67">
        <v>37</v>
      </c>
      <c r="AM67">
        <v>38</v>
      </c>
      <c r="AN67">
        <v>39</v>
      </c>
      <c r="AO67">
        <v>40</v>
      </c>
      <c r="AP67">
        <v>41</v>
      </c>
      <c r="AQ67">
        <v>42</v>
      </c>
      <c r="AR67">
        <v>43</v>
      </c>
      <c r="AS67">
        <v>44</v>
      </c>
      <c r="AT67">
        <v>45</v>
      </c>
      <c r="AU67">
        <v>46</v>
      </c>
      <c r="AV67">
        <v>47</v>
      </c>
      <c r="AW67">
        <v>48</v>
      </c>
      <c r="AX67">
        <v>49</v>
      </c>
      <c r="AY67">
        <v>50</v>
      </c>
    </row>
    <row r="68" spans="1:51" outlineLevel="1" x14ac:dyDescent="0.3">
      <c r="A68" t="s">
        <v>304</v>
      </c>
      <c r="B68" s="11">
        <f ca="1">'Asset Register'!D61</f>
        <v>280000</v>
      </c>
      <c r="C68" s="11">
        <f ca="1">'Asset Register'!E61</f>
        <v>869400</v>
      </c>
      <c r="D68" s="11">
        <f ca="1">'Asset Register'!F61</f>
        <v>1799657.9999999998</v>
      </c>
      <c r="E68" s="11">
        <f ca="1">'Asset Register'!G61</f>
        <v>2793969.0449999999</v>
      </c>
      <c r="F68" s="11">
        <f ca="1">'Asset Register'!H61</f>
        <v>3855677.2820999995</v>
      </c>
      <c r="G68" s="11">
        <f ca="1">'Asset Register'!I61</f>
        <v>4988282.4837168735</v>
      </c>
      <c r="H68" s="11">
        <f ca="1">'Asset Register'!J61</f>
        <v>6195446.8447763566</v>
      </c>
      <c r="I68" s="11">
        <f ca="1">'Asset Register'!K61</f>
        <v>7481002.0650674496</v>
      </c>
      <c r="J68" s="11">
        <f ca="1">'Asset Register'!L61</f>
        <v>8848956.7283940688</v>
      </c>
      <c r="K68" s="11">
        <f ca="1">'Asset Register'!M61</f>
        <v>10303503.990623841</v>
      </c>
      <c r="L68" s="11">
        <f ca="1">'Asset Register'!N61</f>
        <v>11059094.28326959</v>
      </c>
      <c r="M68" s="11">
        <f ca="1">'Asset Register'!O61</f>
        <v>11446162.583184026</v>
      </c>
      <c r="N68" s="11">
        <f ca="1">'Asset Register'!P61</f>
        <v>11846778.273595465</v>
      </c>
      <c r="O68" s="11">
        <f ca="1">'Asset Register'!Q61</f>
        <v>12261415.513171304</v>
      </c>
      <c r="P68" s="11">
        <f ca="1">'Asset Register'!R61</f>
        <v>12690565.056132298</v>
      </c>
      <c r="Q68" s="11">
        <f ca="1">'Asset Register'!S61</f>
        <v>13134734.833096929</v>
      </c>
      <c r="R68" s="11">
        <f ca="1">'Asset Register'!T61</f>
        <v>13594450.552255319</v>
      </c>
      <c r="S68" s="11">
        <f ca="1">'Asset Register'!U61</f>
        <v>14070256.321584258</v>
      </c>
      <c r="T68" s="11">
        <f ca="1">'Asset Register'!V61</f>
        <v>14562715.292839706</v>
      </c>
      <c r="U68" s="11">
        <f ca="1">'Asset Register'!W61</f>
        <v>15072410.328089094</v>
      </c>
      <c r="V68" s="11">
        <f ca="1">'Asset Register'!X61</f>
        <v>15599944.689572208</v>
      </c>
      <c r="W68" s="11">
        <f ca="1">'Asset Register'!Y61</f>
        <v>16145942.753707234</v>
      </c>
      <c r="X68" s="11">
        <f ca="1">'Asset Register'!Z61</f>
        <v>17307873.991161525</v>
      </c>
      <c r="Y68" s="11">
        <f ca="1">'Asset Register'!AA61</f>
        <v>17913649.580852173</v>
      </c>
      <c r="Z68" s="11">
        <f ca="1">'Asset Register'!AB61</f>
        <v>18540627.316181999</v>
      </c>
      <c r="AA68" s="11">
        <f ca="1">'Asset Register'!AC61</f>
        <v>19189549.272248365</v>
      </c>
      <c r="AB68" s="11">
        <f ca="1">'Asset Register'!AD61</f>
        <v>20546051.893217642</v>
      </c>
      <c r="AC68" s="11">
        <f ca="1">'Asset Register'!AE61</f>
        <v>21265163.709480256</v>
      </c>
      <c r="AD68" s="11">
        <f ca="1">'Asset Register'!AF61</f>
        <v>22009444.439312071</v>
      </c>
      <c r="AE68" s="11">
        <f ca="1">'Asset Register'!AG61</f>
        <v>23539100.827844255</v>
      </c>
      <c r="AF68" s="11">
        <f ca="1">'Asset Register'!AH61</f>
        <v>24362969.356818803</v>
      </c>
      <c r="AG68" s="11">
        <f ca="1">'Asset Register'!AI61</f>
        <v>26029082.099930286</v>
      </c>
      <c r="AH68" s="11">
        <f ca="1">'Asset Register'!AJ61</f>
        <v>27781978.097597472</v>
      </c>
      <c r="AI68" s="11">
        <f ca="1">'Asset Register'!AK61</f>
        <v>28754347.331013374</v>
      </c>
      <c r="AJ68" s="11">
        <f ca="1">'Asset Register'!AL61</f>
        <v>30662590.381162442</v>
      </c>
      <c r="AK68" s="11">
        <f ca="1">'Asset Register'!AM61</f>
        <v>32669186.369341429</v>
      </c>
      <c r="AL68" s="11">
        <f ca="1">'Asset Register'!AN61</f>
        <v>33812607.892268404</v>
      </c>
      <c r="AM68" s="11">
        <f ca="1">'Asset Register'!AO61</f>
        <v>35995936.287597723</v>
      </c>
      <c r="AN68" s="11">
        <f ca="1">'Asset Register'!AP61</f>
        <v>38290677.225932077</v>
      </c>
      <c r="AO68" s="11">
        <f ca="1">'Asset Register'!AQ61</f>
        <v>40701955.007997513</v>
      </c>
      <c r="AP68" s="11">
        <f ca="1">'Asset Register'!AR61</f>
        <v>43235116.155205756</v>
      </c>
      <c r="AQ68" s="11">
        <f ca="1">'Asset Register'!AS61</f>
        <v>45895738.687833838</v>
      </c>
      <c r="AR68" s="11">
        <f ca="1">'Asset Register'!AT61</f>
        <v>48689641.780455679</v>
      </c>
      <c r="AS68" s="11">
        <f ca="1">'Asset Register'!AU61</f>
        <v>51622895.809668534</v>
      </c>
      <c r="AT68" s="11">
        <f ca="1">'Asset Register'!AV61</f>
        <v>54701832.809745185</v>
      </c>
      <c r="AU68" s="11">
        <f ca="1">'Asset Register'!AW61</f>
        <v>57933057.352460392</v>
      </c>
      <c r="AV68" s="11">
        <f ca="1">'Asset Register'!AX61</f>
        <v>62686201.376150817</v>
      </c>
      <c r="AW68" s="11">
        <f ca="1">'Asset Register'!AY61</f>
        <v>66290657.955279455</v>
      </c>
      <c r="AX68" s="11">
        <f ca="1">'Asset Register'!AZ61</f>
        <v>70070635.898261458</v>
      </c>
      <c r="AY68" s="11">
        <f ca="1">'Asset Register'!BA61</f>
        <v>74034006.241256818</v>
      </c>
    </row>
    <row r="69" spans="1:51" outlineLevel="1" x14ac:dyDescent="0.3">
      <c r="A69" t="s">
        <v>215</v>
      </c>
      <c r="B69" s="11">
        <f ca="1">'Capital &amp; Debt'!D56</f>
        <v>53300</v>
      </c>
      <c r="C69" s="11">
        <f ca="1">'Capital &amp; Debt'!E56</f>
        <v>465436.7109375</v>
      </c>
      <c r="D69" s="11">
        <f ca="1">'Capital &amp; Debt'!F56</f>
        <v>1165356.977776489</v>
      </c>
      <c r="E69" s="11">
        <f ca="1">'Capital &amp; Debt'!G56</f>
        <v>1860651.4576776596</v>
      </c>
      <c r="F69" s="11">
        <f ca="1">'Capital &amp; Debt'!H56</f>
        <v>2631621.5852154121</v>
      </c>
      <c r="G69" s="11">
        <f ca="1">'Capital &amp; Debt'!I56</f>
        <v>3451190.3387635429</v>
      </c>
      <c r="H69" s="11">
        <f ca="1">'Capital &amp; Debt'!J56</f>
        <v>4336812.7913434496</v>
      </c>
      <c r="I69" s="11">
        <f ca="1">'Capital &amp; Debt'!K56</f>
        <v>5236701.4455472147</v>
      </c>
      <c r="J69" s="11">
        <f ca="1">'Capital &amp; Debt'!L56</f>
        <v>6194269.7098758481</v>
      </c>
      <c r="K69" s="11">
        <f ca="1">'Capital &amp; Debt'!M56</f>
        <v>7212452.7934366884</v>
      </c>
      <c r="L69" s="11">
        <f ca="1">'Capital &amp; Debt'!N56</f>
        <v>7392764.1132726055</v>
      </c>
      <c r="M69" s="11">
        <f ca="1">'Capital &amp; Debt'!O56</f>
        <v>7577583.2161044208</v>
      </c>
      <c r="N69" s="11">
        <f ca="1">'Capital &amp; Debt'!P56</f>
        <v>7767022.7965070317</v>
      </c>
      <c r="O69" s="11">
        <f ca="1">'Capital &amp; Debt'!Q56</f>
        <v>7961198.3664197074</v>
      </c>
      <c r="P69" s="11">
        <f ca="1">'Capital &amp; Debt'!R56</f>
        <v>8160228.3255802002</v>
      </c>
      <c r="Q69" s="11">
        <f ca="1">'Capital &amp; Debt'!S56</f>
        <v>8364234.0337197054</v>
      </c>
      <c r="R69" s="11">
        <f ca="1">'Capital &amp; Debt'!T56</f>
        <v>8573339.8845626973</v>
      </c>
      <c r="S69" s="11">
        <f ca="1">'Capital &amp; Debt'!U56</f>
        <v>8787673.3816767652</v>
      </c>
      <c r="T69" s="11">
        <f ca="1">'Capital &amp; Debt'!V56</f>
        <v>9007365.2162186839</v>
      </c>
      <c r="U69" s="11">
        <f ca="1">'Capital &amp; Debt'!W56</f>
        <v>9232549.3466241509</v>
      </c>
      <c r="V69" s="11">
        <f ca="1">'Capital &amp; Debt'!X56</f>
        <v>9463363.080289755</v>
      </c>
      <c r="W69" s="11">
        <f ca="1">'Capital &amp; Debt'!Y56</f>
        <v>9699947.1572969984</v>
      </c>
      <c r="X69" s="11">
        <f ca="1">'Capital &amp; Debt'!Z56</f>
        <v>9942445.8362294231</v>
      </c>
      <c r="Y69" s="11">
        <f ca="1">'Capital &amp; Debt'!AA56</f>
        <v>10191006.982135158</v>
      </c>
      <c r="Z69" s="11">
        <f ca="1">'Capital &amp; Debt'!AB56</f>
        <v>9819035.2272872254</v>
      </c>
      <c r="AA69" s="11">
        <f ca="1">'Capital &amp; Debt'!AC56</f>
        <v>9460640.4414912425</v>
      </c>
      <c r="AB69" s="11">
        <f ca="1">'Capital &amp; Debt'!AD56</f>
        <v>9115327.0653768126</v>
      </c>
      <c r="AC69" s="11">
        <f ca="1">'Capital &amp; Debt'!AE56</f>
        <v>8782617.6274905577</v>
      </c>
      <c r="AD69" s="11">
        <f ca="1">'Capital &amp; Debt'!AF56</f>
        <v>8462052.084087152</v>
      </c>
      <c r="AE69" s="11">
        <f ca="1">'Capital &amp; Debt'!AG56</f>
        <v>8153187.183017971</v>
      </c>
      <c r="AF69" s="11">
        <f ca="1">'Capital &amp; Debt'!AH56</f>
        <v>7855595.8508378146</v>
      </c>
      <c r="AG69" s="11">
        <f ca="1">'Capital &amp; Debt'!AI56</f>
        <v>7568866.6022822345</v>
      </c>
      <c r="AH69" s="11">
        <f ca="1">'Capital &amp; Debt'!AJ56</f>
        <v>7292602.971298933</v>
      </c>
      <c r="AI69" s="11">
        <f ca="1">'Capital &amp; Debt'!AK56</f>
        <v>7026422.9628465213</v>
      </c>
      <c r="AJ69" s="11">
        <f ca="1">'Capital &amp; Debt'!AL56</f>
        <v>6769958.5247026235</v>
      </c>
      <c r="AK69" s="11">
        <f ca="1">'Capital &amp; Debt'!AM56</f>
        <v>6522855.0385509785</v>
      </c>
      <c r="AL69" s="11">
        <f ca="1">'Capital &amp; Debt'!AN56</f>
        <v>6284770.8296438679</v>
      </c>
      <c r="AM69" s="11">
        <f ca="1">'Capital &amp; Debt'!AO56</f>
        <v>6055376.6943618665</v>
      </c>
      <c r="AN69" s="11">
        <f ca="1">'Capital &amp; Debt'!AP56</f>
        <v>5834355.4450176582</v>
      </c>
      <c r="AO69" s="11">
        <f ca="1">'Capital &amp; Debt'!AQ56</f>
        <v>5621401.4712745138</v>
      </c>
      <c r="AP69" s="11">
        <f ca="1">'Capital &amp; Debt'!AR56</f>
        <v>5416220.3175729932</v>
      </c>
      <c r="AQ69" s="11">
        <f ca="1">'Capital &amp; Debt'!AS56</f>
        <v>5218528.275981579</v>
      </c>
      <c r="AR69" s="11">
        <f ca="1">'Capital &amp; Debt'!AT56</f>
        <v>5028051.9939082516</v>
      </c>
      <c r="AS69" s="11">
        <f ca="1">'Capital &amp; Debt'!AU56</f>
        <v>4844528.0961306002</v>
      </c>
      <c r="AT69" s="11">
        <f ca="1">'Capital &amp; Debt'!AV56</f>
        <v>4667702.8206218332</v>
      </c>
      <c r="AU69" s="11">
        <f ca="1">'Capital &amp; Debt'!AW56</f>
        <v>4497331.6676691361</v>
      </c>
      <c r="AV69" s="11">
        <f ca="1">'Capital &amp; Debt'!AX56</f>
        <v>4333179.0617992124</v>
      </c>
      <c r="AW69" s="11">
        <f ca="1">'Capital &amp; Debt'!AY56</f>
        <v>4175018.0260435408</v>
      </c>
      <c r="AX69" s="11">
        <f ca="1">'Capital &amp; Debt'!AZ56</f>
        <v>4022629.8680929518</v>
      </c>
      <c r="AY69" s="11">
        <f ca="1">'Capital &amp; Debt'!BA56</f>
        <v>3875803.8779075588</v>
      </c>
    </row>
    <row r="70" spans="1:51" outlineLevel="1" x14ac:dyDescent="0.3"/>
    <row r="71" spans="1:51" outlineLevel="1" x14ac:dyDescent="0.3">
      <c r="A71" t="s">
        <v>303</v>
      </c>
      <c r="B71">
        <v>1</v>
      </c>
      <c r="C71">
        <v>2</v>
      </c>
      <c r="D71">
        <v>3</v>
      </c>
      <c r="E71">
        <v>4</v>
      </c>
      <c r="F71">
        <v>5</v>
      </c>
      <c r="G71">
        <v>6</v>
      </c>
      <c r="H71">
        <v>7</v>
      </c>
      <c r="I71">
        <v>8</v>
      </c>
      <c r="J71">
        <v>9</v>
      </c>
      <c r="K71">
        <v>10</v>
      </c>
      <c r="L71">
        <v>11</v>
      </c>
      <c r="M71">
        <v>12</v>
      </c>
      <c r="N71">
        <v>13</v>
      </c>
      <c r="O71">
        <v>14</v>
      </c>
      <c r="P71">
        <v>15</v>
      </c>
      <c r="Q71">
        <v>16</v>
      </c>
      <c r="R71">
        <v>17</v>
      </c>
      <c r="S71">
        <v>18</v>
      </c>
      <c r="T71">
        <v>19</v>
      </c>
      <c r="U71">
        <v>20</v>
      </c>
      <c r="V71">
        <v>21</v>
      </c>
      <c r="W71">
        <v>22</v>
      </c>
      <c r="X71">
        <v>23</v>
      </c>
      <c r="Y71">
        <v>24</v>
      </c>
      <c r="Z71">
        <v>25</v>
      </c>
      <c r="AA71">
        <v>26</v>
      </c>
      <c r="AB71">
        <v>27</v>
      </c>
      <c r="AC71">
        <v>28</v>
      </c>
      <c r="AD71">
        <v>29</v>
      </c>
      <c r="AE71">
        <v>30</v>
      </c>
      <c r="AF71">
        <v>31</v>
      </c>
      <c r="AG71">
        <v>32</v>
      </c>
      <c r="AH71">
        <v>33</v>
      </c>
      <c r="AI71">
        <v>34</v>
      </c>
      <c r="AJ71">
        <v>35</v>
      </c>
      <c r="AK71">
        <v>36</v>
      </c>
      <c r="AL71">
        <v>37</v>
      </c>
      <c r="AM71">
        <v>38</v>
      </c>
      <c r="AN71">
        <v>39</v>
      </c>
      <c r="AO71">
        <v>40</v>
      </c>
      <c r="AP71">
        <v>41</v>
      </c>
      <c r="AQ71">
        <v>42</v>
      </c>
      <c r="AR71">
        <v>43</v>
      </c>
      <c r="AS71">
        <v>44</v>
      </c>
      <c r="AT71">
        <v>45</v>
      </c>
      <c r="AU71">
        <v>46</v>
      </c>
      <c r="AV71">
        <v>47</v>
      </c>
      <c r="AW71">
        <v>48</v>
      </c>
      <c r="AX71">
        <v>49</v>
      </c>
      <c r="AY71">
        <v>50</v>
      </c>
    </row>
    <row r="72" spans="1:51" outlineLevel="1" x14ac:dyDescent="0.3">
      <c r="A72" t="s">
        <v>305</v>
      </c>
      <c r="B72" s="11">
        <f ca="1">'Financial Statements'!D10</f>
        <v>10640</v>
      </c>
      <c r="C72" s="11">
        <f ca="1">'Financial Statements'!E10</f>
        <v>32930.799999999996</v>
      </c>
      <c r="D72" s="11">
        <f ca="1">'Financial Statements'!F10</f>
        <v>67947.571999999986</v>
      </c>
      <c r="E72" s="11">
        <f ca="1">'Financial Statements'!G10</f>
        <v>105036.53586999999</v>
      </c>
      <c r="F72" s="11">
        <f ca="1">'Financial Statements'!H10</f>
        <v>144291.38344669994</v>
      </c>
      <c r="G72" s="11">
        <f ca="1">'Financial Statements'!I10</f>
        <v>185809.61490911571</v>
      </c>
      <c r="H72" s="11">
        <f ca="1">'Financial Statements'!J10</f>
        <v>229692.68529876048</v>
      </c>
      <c r="I72" s="11">
        <f ca="1">'Financial Statements'!K10</f>
        <v>276046.15649873856</v>
      </c>
      <c r="J72" s="11">
        <f ca="1">'Financial Statements'!L10</f>
        <v>324979.8548710788</v>
      </c>
      <c r="K72" s="11">
        <f ca="1">'Financial Statements'!M10</f>
        <v>376608.03475882305</v>
      </c>
      <c r="L72" s="11">
        <f ca="1">'Financial Statements'!N10</f>
        <v>401032.00644080224</v>
      </c>
      <c r="M72" s="11">
        <f ca="1">'Financial Statements'!O10</f>
        <v>411057.80660182226</v>
      </c>
      <c r="N72" s="11">
        <f ca="1">'Financial Statements'!P10</f>
        <v>421334.25176686782</v>
      </c>
      <c r="O72" s="11">
        <f ca="1">'Financial Statements'!Q10</f>
        <v>431867.60806103947</v>
      </c>
      <c r="P72" s="11">
        <f ca="1">'Financial Statements'!R10</f>
        <v>442664.2982625654</v>
      </c>
      <c r="Q72" s="11">
        <f ca="1">'Financial Statements'!S10</f>
        <v>453730.9057191296</v>
      </c>
      <c r="R72" s="11">
        <f ca="1">'Financial Statements'!T10</f>
        <v>465074.17836210766</v>
      </c>
      <c r="S72" s="11">
        <f ca="1">'Financial Statements'!U10</f>
        <v>476701.03282116039</v>
      </c>
      <c r="T72" s="11">
        <f ca="1">'Financial Statements'!V10</f>
        <v>488618.55864168925</v>
      </c>
      <c r="U72" s="11">
        <f ca="1">'Financial Statements'!W10</f>
        <v>500834.02260773152</v>
      </c>
      <c r="V72" s="11">
        <f ca="1">'Financial Statements'!X10</f>
        <v>513354.87317292474</v>
      </c>
      <c r="W72" s="11">
        <f ca="1">'Financial Statements'!Y10</f>
        <v>526188.74500224786</v>
      </c>
      <c r="X72" s="11">
        <f ca="1">'Financial Statements'!Z10</f>
        <v>562022.74678813643</v>
      </c>
      <c r="Y72" s="11">
        <f ca="1">'Financial Statements'!AA10</f>
        <v>576073.31545783975</v>
      </c>
      <c r="Z72" s="11">
        <f ca="1">'Financial Statements'!AB10</f>
        <v>590475.14834428579</v>
      </c>
      <c r="AA72" s="11">
        <f ca="1">'Financial Statements'!AC10</f>
        <v>605237.02705289272</v>
      </c>
      <c r="AB72" s="11">
        <f ca="1">'Financial Statements'!AD10</f>
        <v>646392.95179395739</v>
      </c>
      <c r="AC72" s="11">
        <f ca="1">'Financial Statements'!AE10</f>
        <v>662552.77558880625</v>
      </c>
      <c r="AD72" s="11">
        <f ca="1">'Financial Statements'!AF10</f>
        <v>679116.59497852635</v>
      </c>
      <c r="AE72" s="11">
        <f ca="1">'Financial Statements'!AG10</f>
        <v>724948.8915129276</v>
      </c>
      <c r="AF72" s="11">
        <f ca="1">'Financial Statements'!AH10</f>
        <v>743072.6138007507</v>
      </c>
      <c r="AG72" s="11">
        <f ca="1">'Financial Statements'!AI10</f>
        <v>792558.96413943649</v>
      </c>
      <c r="AH72" s="11">
        <f ca="1">'Financial Statements'!AJ10</f>
        <v>844364.30696136795</v>
      </c>
      <c r="AI72" s="11">
        <f ca="1">'Financial Statements'!AK10</f>
        <v>865473.41463540192</v>
      </c>
      <c r="AJ72" s="11">
        <f ca="1">'Financial Statements'!AL10</f>
        <v>921380.20395670389</v>
      </c>
      <c r="AK72" s="11">
        <f ca="1">'Financial Statements'!AM10</f>
        <v>979884.1113994777</v>
      </c>
      <c r="AL72" s="11">
        <f ca="1">'Financial Statements'!AN10</f>
        <v>1004381.2141844645</v>
      </c>
      <c r="AM72" s="11">
        <f ca="1">'Financial Statements'!AO10</f>
        <v>1067486.4550648741</v>
      </c>
      <c r="AN72" s="11">
        <f ca="1">'Financial Statements'!AP10</f>
        <v>1133499.1768356962</v>
      </c>
      <c r="AO72" s="11">
        <f ca="1">'Financial Statements'!AQ10</f>
        <v>1202538.6112645862</v>
      </c>
      <c r="AP72" s="11">
        <f ca="1">'Financial Statements'!AR10</f>
        <v>1274728.5999794777</v>
      </c>
      <c r="AQ72" s="11">
        <f ca="1">'Financial Statements'!AS10</f>
        <v>1350197.7667324068</v>
      </c>
      <c r="AR72" s="11">
        <f ca="1">'Financial Statements'!AT10</f>
        <v>1429079.6959655292</v>
      </c>
      <c r="AS72" s="11">
        <f ca="1">'Financial Statements'!AU10</f>
        <v>1511513.117906749</v>
      </c>
      <c r="AT72" s="11">
        <f ca="1">'Financial Statements'!AV10</f>
        <v>1597642.1004304711</v>
      </c>
      <c r="AU72" s="11">
        <f ca="1">'Financial Statements'!AW10</f>
        <v>1687616.2479274482</v>
      </c>
      <c r="AV72" s="11">
        <f ca="1">'Financial Statements'!AX10</f>
        <v>1833375.1607471011</v>
      </c>
      <c r="AW72" s="11">
        <f ca="1">'Financial Statements'!AY10</f>
        <v>1932806.2419423875</v>
      </c>
      <c r="AX72" s="11">
        <f ca="1">'Financial Statements'!AZ10</f>
        <v>2036598.9847437365</v>
      </c>
      <c r="AY72" s="11">
        <f ca="1">'Financial Statements'!BA10</f>
        <v>2144928.0866514682</v>
      </c>
    </row>
    <row r="73" spans="1:51" outlineLevel="1" x14ac:dyDescent="0.3">
      <c r="A73" t="s">
        <v>214</v>
      </c>
      <c r="B73" s="11">
        <f ca="1">'Capital &amp; Debt'!D55</f>
        <v>1665.625</v>
      </c>
      <c r="C73" s="11">
        <f ca="1">'Capital &amp; Debt'!E55</f>
        <v>16252.162841796875</v>
      </c>
      <c r="D73" s="11">
        <f ca="1">'Capital &amp; Debt'!F55</f>
        <v>51325.925202732076</v>
      </c>
      <c r="E73" s="11">
        <f ca="1">'Capital &amp; Debt'!G55</f>
        <v>95473.198746830021</v>
      </c>
      <c r="F73" s="11">
        <f ca="1">'Capital &amp; Debt'!H55</f>
        <v>141837.16654171917</v>
      </c>
      <c r="G73" s="11">
        <f ca="1">'Capital &amp; Debt'!I55</f>
        <v>192143.82698779189</v>
      </c>
      <c r="H73" s="11">
        <f ca="1">'Capital &amp; Debt'!J55</f>
        <v>246071.34026800253</v>
      </c>
      <c r="I73" s="11">
        <f ca="1">'Capital &amp; Debt'!K55</f>
        <v>302560.4548960703</v>
      </c>
      <c r="J73" s="11">
        <f ca="1">'Capital &amp; Debt'!L55</f>
        <v>361309.02161130449</v>
      </c>
      <c r="K73" s="11">
        <f ca="1">'Capital &amp; Debt'!M55</f>
        <v>423799.35143935727</v>
      </c>
      <c r="L73" s="11">
        <f ca="1">'Capital &amp; Debt'!N55</f>
        <v>462047.75707953784</v>
      </c>
      <c r="M73" s="11">
        <f ca="1">'Capital &amp; Debt'!O55</f>
        <v>473598.9510065263</v>
      </c>
      <c r="N73" s="11">
        <f ca="1">'Capital &amp; Debt'!P55</f>
        <v>485438.92478168948</v>
      </c>
      <c r="O73" s="11">
        <f ca="1">'Capital &amp; Debt'!Q55</f>
        <v>497574.89790123171</v>
      </c>
      <c r="P73" s="11">
        <f ca="1">'Capital &amp; Debt'!R55</f>
        <v>510014.27034876251</v>
      </c>
      <c r="Q73" s="11">
        <f ca="1">'Capital &amp; Debt'!S55</f>
        <v>522764.62710748159</v>
      </c>
      <c r="R73" s="11">
        <f ca="1">'Capital &amp; Debt'!T55</f>
        <v>535833.74278516858</v>
      </c>
      <c r="S73" s="11">
        <f ca="1">'Capital &amp; Debt'!U55</f>
        <v>549229.58635479782</v>
      </c>
      <c r="T73" s="11">
        <f ca="1">'Capital &amp; Debt'!V55</f>
        <v>562960.32601366774</v>
      </c>
      <c r="U73" s="11">
        <f ca="1">'Capital &amp; Debt'!W55</f>
        <v>577034.33416400943</v>
      </c>
      <c r="V73" s="11">
        <f ca="1">'Capital &amp; Debt'!X55</f>
        <v>591460.19251810969</v>
      </c>
      <c r="W73" s="11">
        <f ca="1">'Capital &amp; Debt'!Y55</f>
        <v>606246.6973310624</v>
      </c>
      <c r="X73" s="11">
        <f ca="1">'Capital &amp; Debt'!Z55</f>
        <v>621402.86476433894</v>
      </c>
      <c r="Y73" s="11">
        <f ca="1">'Capital &amp; Debt'!AA55</f>
        <v>636937.93638344738</v>
      </c>
      <c r="Z73" s="11">
        <f ca="1">'Capital &amp; Debt'!AB55</f>
        <v>652861.38479303359</v>
      </c>
      <c r="AA73" s="11">
        <f ca="1">'Capital &amp; Debt'!AC55</f>
        <v>629031.94424808794</v>
      </c>
      <c r="AB73" s="11">
        <f ca="1">'Capital &amp; Debt'!AD55</f>
        <v>606072.27828303271</v>
      </c>
      <c r="AC73" s="11">
        <f ca="1">'Capital &amp; Debt'!AE55</f>
        <v>583950.64012570202</v>
      </c>
      <c r="AD73" s="11">
        <f ca="1">'Capital &amp; Debt'!AF55</f>
        <v>562636.44176111382</v>
      </c>
      <c r="AE73" s="11">
        <f ca="1">'Capital &amp; Debt'!AG55</f>
        <v>542100.21163683315</v>
      </c>
      <c r="AF73" s="11">
        <f ca="1">'Capital &amp; Debt'!AH55</f>
        <v>522313.55391208874</v>
      </c>
      <c r="AG73" s="11">
        <f ca="1">'Capital &amp; Debt'!AI55</f>
        <v>503249.10919429752</v>
      </c>
      <c r="AH73" s="11">
        <f ca="1">'Capital &amp; Debt'!AJ55</f>
        <v>484880.51670870563</v>
      </c>
      <c r="AI73" s="11">
        <f ca="1">'Capital &amp; Debt'!AK55</f>
        <v>467182.37784883787</v>
      </c>
      <c r="AJ73" s="11">
        <f ca="1">'Capital &amp; Debt'!AL55</f>
        <v>450130.22105735529</v>
      </c>
      <c r="AK73" s="11">
        <f ca="1">'Capital &amp; Debt'!AM55</f>
        <v>433700.46798876184</v>
      </c>
      <c r="AL73" s="11">
        <f ca="1">'Capital &amp; Debt'!AN55</f>
        <v>417870.40090717206</v>
      </c>
      <c r="AM73" s="11">
        <f ca="1">'Capital &amp; Debt'!AO55</f>
        <v>402618.13127406029</v>
      </c>
      <c r="AN73" s="11">
        <f ca="1">'Capital &amp; Debt'!AP55</f>
        <v>387922.56948255707</v>
      </c>
      <c r="AO73" s="11">
        <f ca="1">'Capital &amp; Debt'!AQ55</f>
        <v>373763.39569644374</v>
      </c>
      <c r="AP73" s="11">
        <f ca="1">'Capital &amp; Debt'!AR55</f>
        <v>360121.03175352351</v>
      </c>
      <c r="AQ73" s="11">
        <f ca="1">'Capital &amp; Debt'!AS55</f>
        <v>346976.61409451987</v>
      </c>
      <c r="AR73" s="11">
        <f ca="1">'Capital &amp; Debt'!AT55</f>
        <v>334311.96768006991</v>
      </c>
      <c r="AS73" s="11">
        <f ca="1">'Capital &amp; Debt'!AU55</f>
        <v>322109.58085974737</v>
      </c>
      <c r="AT73" s="11">
        <f ca="1">'Capital &amp; Debt'!AV55</f>
        <v>310352.58115836658</v>
      </c>
      <c r="AU73" s="11">
        <f ca="1">'Capital &amp; Debt'!AW55</f>
        <v>299024.7119460862</v>
      </c>
      <c r="AV73" s="11">
        <f ca="1">'Capital &amp; Debt'!AX55</f>
        <v>288110.309960054</v>
      </c>
      <c r="AW73" s="11">
        <f ca="1">'Capital &amp; Debt'!AY55</f>
        <v>277594.28364651202</v>
      </c>
      <c r="AX73" s="11">
        <f ca="1">'Capital &amp; Debt'!AZ55</f>
        <v>267462.09229341435</v>
      </c>
      <c r="AY73" s="11">
        <f ca="1">'Capital &amp; Debt'!BA55</f>
        <v>257699.72592470472</v>
      </c>
    </row>
    <row r="74" spans="1:51" outlineLevel="1" x14ac:dyDescent="0.3">
      <c r="A74" t="s">
        <v>306</v>
      </c>
      <c r="B74" s="11">
        <f ca="1">'Financial Statements'!D65</f>
        <v>26824.375</v>
      </c>
      <c r="C74" s="11">
        <f ca="1">'Financial Statements'!E65</f>
        <v>26129.262158203113</v>
      </c>
      <c r="D74" s="11">
        <f ca="1">'Financial Statements'!F65</f>
        <v>10605.97614297102</v>
      </c>
      <c r="E74" s="11">
        <f ca="1">'Financial Statements'!G65</f>
        <v>-14514.878046141717</v>
      </c>
      <c r="F74" s="11">
        <f ca="1">'Financial Statements'!H65</f>
        <v>-23275.537432712274</v>
      </c>
      <c r="G74" s="11">
        <f ca="1">'Financial Statements'!I65</f>
        <v>-27162.479034554788</v>
      </c>
      <c r="H74" s="11">
        <f ca="1">'Financial Statements'!J65</f>
        <v>-23343.824067585563</v>
      </c>
      <c r="I74" s="11">
        <f ca="1">'Financial Statements'!K65</f>
        <v>-62488.727635740041</v>
      </c>
      <c r="J74" s="11">
        <f ca="1">'Financial Statements'!L65</f>
        <v>-115347.99220129132</v>
      </c>
      <c r="K74" s="11">
        <f ca="1">'Financial Statements'!M65</f>
        <v>-170626.02291606166</v>
      </c>
      <c r="L74" s="11">
        <f ca="1">'Financial Statements'!N65</f>
        <v>-317425.33328612219</v>
      </c>
      <c r="M74" s="11">
        <f ca="1">'Financial Statements'!O65</f>
        <v>-250808.81169438013</v>
      </c>
      <c r="N74" s="11">
        <f ca="1">'Financial Statements'!P65</f>
        <v>-173808.05807388973</v>
      </c>
      <c r="O74" s="11">
        <f ca="1">'Financial Statements'!Q65</f>
        <v>-94304.423787103035</v>
      </c>
      <c r="P74" s="11">
        <f ca="1">'Financial Statements'!R65</f>
        <v>-12358.542692436138</v>
      </c>
      <c r="Q74" s="11">
        <f ca="1">'Financial Statements'!S65</f>
        <v>72117.904604430893</v>
      </c>
      <c r="R74" s="11">
        <f ca="1">'Financial Statements'!T65</f>
        <v>163597.15593106713</v>
      </c>
      <c r="S74" s="11">
        <f ca="1">'Financial Statements'!U65</f>
        <v>258130.12040037801</v>
      </c>
      <c r="T74" s="11">
        <f ca="1">'Financial Statements'!V65</f>
        <v>356041.28623375943</v>
      </c>
      <c r="U74" s="11">
        <f ca="1">'Financial Statements'!W65</f>
        <v>457451.53862987389</v>
      </c>
      <c r="V74" s="11">
        <f ca="1">'Financial Statements'!X65</f>
        <v>562485.75520874024</v>
      </c>
      <c r="W74" s="11">
        <f ca="1">'Financial Statements'!Y65</f>
        <v>671185.63039411162</v>
      </c>
      <c r="X74" s="11">
        <f ca="1">'Financial Statements'!Z65</f>
        <v>192492.34211194422</v>
      </c>
      <c r="Y74" s="11">
        <f ca="1">'Financial Statements'!AA65</f>
        <v>331065.89356024261</v>
      </c>
      <c r="Z74" s="11">
        <f ca="1">'Financial Statements'!AB65</f>
        <v>482764.50695753889</v>
      </c>
      <c r="AA74" s="11">
        <f ca="1">'Financial Statements'!AC65</f>
        <v>679636.83754380164</v>
      </c>
      <c r="AB74" s="11">
        <f ca="1">'Financial Statements'!AD65</f>
        <v>253286.43186413613</v>
      </c>
      <c r="AC74" s="11">
        <f ca="1">'Financial Statements'!AE65</f>
        <v>584259.10158614698</v>
      </c>
      <c r="AD74" s="11">
        <f ca="1">'Financial Statements'!AF65</f>
        <v>978111.57499822741</v>
      </c>
      <c r="AE74" s="11">
        <f ca="1">'Financial Statements'!AG65</f>
        <v>617391.00439548225</v>
      </c>
      <c r="AF74" s="11">
        <f ca="1">'Financial Statements'!AH65</f>
        <v>1011408.8754308277</v>
      </c>
      <c r="AG74" s="11">
        <f ca="1">'Financial Statements'!AI65</f>
        <v>625491.6136231717</v>
      </c>
      <c r="AH74" s="11">
        <f ca="1">'Financial Statements'!AJ65</f>
        <v>283663.0674810753</v>
      </c>
      <c r="AI74" s="11">
        <f ca="1">'Financial Statements'!AK65</f>
        <v>862481.8204558224</v>
      </c>
      <c r="AJ74" s="11">
        <f ca="1">'Financial Statements'!AL65</f>
        <v>608257.706750846</v>
      </c>
      <c r="AK74" s="11">
        <f ca="1">'Financial Statements'!AM65</f>
        <v>403284.13107580948</v>
      </c>
      <c r="AL74" s="11">
        <f ca="1">'Financial Statements'!AN65</f>
        <v>1213829.1492717296</v>
      </c>
      <c r="AM74" s="11">
        <f ca="1">'Financial Statements'!AO65</f>
        <v>1096712.1791282389</v>
      </c>
      <c r="AN74" s="11">
        <f ca="1">'Financial Statements'!AP65</f>
        <v>1029517.7814767694</v>
      </c>
      <c r="AO74" s="11">
        <f ca="1">'Financial Statements'!AQ65</f>
        <v>1026589.6348409238</v>
      </c>
      <c r="AP74" s="11">
        <f ca="1">'Financial Statements'!AR65</f>
        <v>1089351.2703504201</v>
      </c>
      <c r="AQ74" s="11">
        <f ca="1">'Financial Statements'!AS65</f>
        <v>1218994.0296322971</v>
      </c>
      <c r="AR74" s="11">
        <f ca="1">'Financial Statements'!AT65</f>
        <v>1400990.4129516319</v>
      </c>
      <c r="AS74" s="11">
        <f ca="1">'Financial Statements'!AU65</f>
        <v>1623332.1769162412</v>
      </c>
      <c r="AT74" s="11">
        <f ca="1">'Financial Statements'!AV65</f>
        <v>1887027.7354710945</v>
      </c>
      <c r="AU74" s="11">
        <f ca="1">'Financial Statements'!AW65</f>
        <v>2193182.3780982317</v>
      </c>
      <c r="AV74" s="11">
        <f ca="1">'Financial Statements'!AX65</f>
        <v>1201065.7900676671</v>
      </c>
      <c r="AW74" s="11">
        <f ca="1">'Financial Statements'!AY65</f>
        <v>1644029.0753206639</v>
      </c>
      <c r="AX74" s="11">
        <f ca="1">'Financial Statements'!AZ65</f>
        <v>2135563.0721118827</v>
      </c>
      <c r="AY74" s="11">
        <f ca="1">'Financial Statements'!BA65</f>
        <v>2677875.3401039341</v>
      </c>
    </row>
  </sheetData>
  <mergeCells count="2">
    <mergeCell ref="A6:F6"/>
    <mergeCell ref="A7:F7"/>
  </mergeCells>
  <conditionalFormatting sqref="F30:F36">
    <cfRule type="containsText" dxfId="3" priority="1" operator="containsText" text="GREEN">
      <formula>NOT(ISERROR(SEARCH("GREEN",F30)))</formula>
    </cfRule>
  </conditionalFormatting>
  <conditionalFormatting sqref="F30:F36">
    <cfRule type="containsText" dxfId="2" priority="2" operator="containsText" text="AMBER">
      <formula>NOT(ISERROR(SEARCH("AMBER",F30)))</formula>
    </cfRule>
  </conditionalFormatting>
  <conditionalFormatting sqref="F30:F36">
    <cfRule type="containsText" dxfId="1" priority="3" operator="containsText" text="RED">
      <formula>NOT(ISERROR(SEARCH("RED",F30)))</formula>
    </cfRule>
  </conditionalFormatting>
  <dataValidations count="2">
    <dataValidation type="list" allowBlank="1" showInputMessage="1" showErrorMessage="1" sqref="C3" xr:uid="{E5B59C12-F21F-4803-B34D-B09E5BD5CD28}">
      <formula1>"Base,Optimistic,Stress"</formula1>
    </dataValidation>
    <dataValidation type="whole" allowBlank="1" showInputMessage="1" showErrorMessage="1" sqref="C4" xr:uid="{9E378778-0504-4EE2-B118-17343C79484E}">
      <formula1>1</formula1>
      <formula2>50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56DD-0461-45DC-8602-A7741B7780BD}">
  <dimension ref="A1:BK36"/>
  <sheetViews>
    <sheetView topLeftCell="A10" workbookViewId="0">
      <pane xSplit="3" topLeftCell="D1" activePane="topRight" state="frozen"/>
      <selection pane="topRight"/>
    </sheetView>
  </sheetViews>
  <sheetFormatPr defaultRowHeight="14.4" x14ac:dyDescent="0.3"/>
  <cols>
    <col min="1" max="1" width="55.5546875" customWidth="1"/>
    <col min="2" max="2" width="11.109375" customWidth="1"/>
    <col min="3" max="3" width="3" customWidth="1"/>
    <col min="4" max="63" width="13.33203125" customWidth="1"/>
  </cols>
  <sheetData>
    <row r="1" spans="1:63" ht="18" x14ac:dyDescent="0.35">
      <c r="A1" s="1" t="s">
        <v>381</v>
      </c>
    </row>
    <row r="2" spans="1:63" ht="42" customHeight="1" x14ac:dyDescent="0.3">
      <c r="A2" s="79" t="s">
        <v>382</v>
      </c>
    </row>
    <row r="6" spans="1:63" x14ac:dyDescent="0.3">
      <c r="A6" s="3" t="s">
        <v>383</v>
      </c>
      <c r="B6" s="3" t="s">
        <v>385</v>
      </c>
      <c r="D6">
        <f>1</f>
        <v>1</v>
      </c>
      <c r="E6">
        <f>2</f>
        <v>2</v>
      </c>
      <c r="F6">
        <f>3</f>
        <v>3</v>
      </c>
      <c r="G6">
        <f>4</f>
        <v>4</v>
      </c>
      <c r="H6">
        <f>5</f>
        <v>5</v>
      </c>
      <c r="I6">
        <f>6</f>
        <v>6</v>
      </c>
      <c r="J6">
        <f>7</f>
        <v>7</v>
      </c>
      <c r="K6">
        <f>8</f>
        <v>8</v>
      </c>
      <c r="L6">
        <f>9</f>
        <v>9</v>
      </c>
      <c r="M6">
        <f>10</f>
        <v>10</v>
      </c>
      <c r="N6">
        <f>11</f>
        <v>11</v>
      </c>
      <c r="O6">
        <f>12</f>
        <v>12</v>
      </c>
      <c r="P6">
        <f>13</f>
        <v>13</v>
      </c>
      <c r="Q6">
        <f>14</f>
        <v>14</v>
      </c>
      <c r="R6">
        <f>15</f>
        <v>15</v>
      </c>
      <c r="S6">
        <f>16</f>
        <v>16</v>
      </c>
      <c r="T6">
        <f>17</f>
        <v>17</v>
      </c>
      <c r="U6">
        <f>18</f>
        <v>18</v>
      </c>
      <c r="V6">
        <f>19</f>
        <v>19</v>
      </c>
      <c r="W6">
        <f>20</f>
        <v>20</v>
      </c>
      <c r="X6">
        <f>21</f>
        <v>21</v>
      </c>
      <c r="Y6">
        <f>22</f>
        <v>22</v>
      </c>
      <c r="Z6">
        <f>23</f>
        <v>23</v>
      </c>
      <c r="AA6">
        <f>24</f>
        <v>24</v>
      </c>
      <c r="AB6">
        <f>25</f>
        <v>25</v>
      </c>
      <c r="AC6">
        <f>26</f>
        <v>26</v>
      </c>
      <c r="AD6">
        <f>27</f>
        <v>27</v>
      </c>
      <c r="AE6">
        <f>28</f>
        <v>28</v>
      </c>
      <c r="AF6">
        <f>29</f>
        <v>29</v>
      </c>
      <c r="AG6">
        <f>30</f>
        <v>30</v>
      </c>
      <c r="AH6">
        <f>31</f>
        <v>31</v>
      </c>
      <c r="AI6">
        <f>32</f>
        <v>32</v>
      </c>
      <c r="AJ6">
        <f>33</f>
        <v>33</v>
      </c>
      <c r="AK6">
        <f>34</f>
        <v>34</v>
      </c>
      <c r="AL6">
        <f>35</f>
        <v>35</v>
      </c>
      <c r="AM6">
        <f>36</f>
        <v>36</v>
      </c>
      <c r="AN6">
        <f>37</f>
        <v>37</v>
      </c>
      <c r="AO6">
        <f>38</f>
        <v>38</v>
      </c>
      <c r="AP6">
        <f>39</f>
        <v>39</v>
      </c>
      <c r="AQ6">
        <f>40</f>
        <v>40</v>
      </c>
      <c r="AR6">
        <f>41</f>
        <v>41</v>
      </c>
      <c r="AS6">
        <f>42</f>
        <v>42</v>
      </c>
      <c r="AT6">
        <f>43</f>
        <v>43</v>
      </c>
      <c r="AU6">
        <f>44</f>
        <v>44</v>
      </c>
      <c r="AV6">
        <f>45</f>
        <v>45</v>
      </c>
      <c r="AW6">
        <f>46</f>
        <v>46</v>
      </c>
      <c r="AX6">
        <f>47</f>
        <v>47</v>
      </c>
      <c r="AY6">
        <f>48</f>
        <v>48</v>
      </c>
      <c r="AZ6">
        <f>49</f>
        <v>49</v>
      </c>
      <c r="BA6">
        <f>50</f>
        <v>50</v>
      </c>
      <c r="BB6">
        <f>51</f>
        <v>51</v>
      </c>
      <c r="BC6">
        <f>52</f>
        <v>52</v>
      </c>
      <c r="BD6">
        <f>53</f>
        <v>53</v>
      </c>
      <c r="BE6">
        <f>54</f>
        <v>54</v>
      </c>
      <c r="BF6">
        <f>55</f>
        <v>55</v>
      </c>
      <c r="BG6">
        <f>56</f>
        <v>56</v>
      </c>
      <c r="BH6">
        <f>57</f>
        <v>57</v>
      </c>
      <c r="BI6">
        <f>58</f>
        <v>58</v>
      </c>
      <c r="BJ6">
        <f>59</f>
        <v>59</v>
      </c>
      <c r="BK6">
        <f>60</f>
        <v>60</v>
      </c>
    </row>
    <row r="7" spans="1:63" x14ac:dyDescent="0.3">
      <c r="A7" s="3" t="s">
        <v>88</v>
      </c>
      <c r="B7" s="3" t="s">
        <v>15</v>
      </c>
      <c r="D7">
        <f t="shared" ref="D7:AI7" si="0">INT((D$6-1)/12)+1</f>
        <v>1</v>
      </c>
      <c r="E7">
        <f t="shared" si="0"/>
        <v>1</v>
      </c>
      <c r="F7">
        <f t="shared" si="0"/>
        <v>1</v>
      </c>
      <c r="G7">
        <f t="shared" si="0"/>
        <v>1</v>
      </c>
      <c r="H7">
        <f t="shared" si="0"/>
        <v>1</v>
      </c>
      <c r="I7">
        <f t="shared" si="0"/>
        <v>1</v>
      </c>
      <c r="J7">
        <f t="shared" si="0"/>
        <v>1</v>
      </c>
      <c r="K7">
        <f t="shared" si="0"/>
        <v>1</v>
      </c>
      <c r="L7">
        <f t="shared" si="0"/>
        <v>1</v>
      </c>
      <c r="M7">
        <f t="shared" si="0"/>
        <v>1</v>
      </c>
      <c r="N7">
        <f t="shared" si="0"/>
        <v>1</v>
      </c>
      <c r="O7">
        <f t="shared" si="0"/>
        <v>1</v>
      </c>
      <c r="P7">
        <f t="shared" si="0"/>
        <v>2</v>
      </c>
      <c r="Q7">
        <f t="shared" si="0"/>
        <v>2</v>
      </c>
      <c r="R7">
        <f t="shared" si="0"/>
        <v>2</v>
      </c>
      <c r="S7">
        <f t="shared" si="0"/>
        <v>2</v>
      </c>
      <c r="T7">
        <f t="shared" si="0"/>
        <v>2</v>
      </c>
      <c r="U7">
        <f t="shared" si="0"/>
        <v>2</v>
      </c>
      <c r="V7">
        <f t="shared" si="0"/>
        <v>2</v>
      </c>
      <c r="W7">
        <f t="shared" si="0"/>
        <v>2</v>
      </c>
      <c r="X7">
        <f t="shared" si="0"/>
        <v>2</v>
      </c>
      <c r="Y7">
        <f t="shared" si="0"/>
        <v>2</v>
      </c>
      <c r="Z7">
        <f t="shared" si="0"/>
        <v>2</v>
      </c>
      <c r="AA7">
        <f t="shared" si="0"/>
        <v>2</v>
      </c>
      <c r="AB7">
        <f t="shared" si="0"/>
        <v>3</v>
      </c>
      <c r="AC7">
        <f t="shared" si="0"/>
        <v>3</v>
      </c>
      <c r="AD7">
        <f t="shared" si="0"/>
        <v>3</v>
      </c>
      <c r="AE7">
        <f t="shared" si="0"/>
        <v>3</v>
      </c>
      <c r="AF7">
        <f t="shared" si="0"/>
        <v>3</v>
      </c>
      <c r="AG7">
        <f t="shared" si="0"/>
        <v>3</v>
      </c>
      <c r="AH7">
        <f t="shared" si="0"/>
        <v>3</v>
      </c>
      <c r="AI7">
        <f t="shared" si="0"/>
        <v>3</v>
      </c>
      <c r="AJ7">
        <f t="shared" ref="AJ7:BK7" si="1">INT((AJ$6-1)/12)+1</f>
        <v>3</v>
      </c>
      <c r="AK7">
        <f t="shared" si="1"/>
        <v>3</v>
      </c>
      <c r="AL7">
        <f t="shared" si="1"/>
        <v>3</v>
      </c>
      <c r="AM7">
        <f t="shared" si="1"/>
        <v>3</v>
      </c>
      <c r="AN7">
        <f t="shared" si="1"/>
        <v>4</v>
      </c>
      <c r="AO7">
        <f t="shared" si="1"/>
        <v>4</v>
      </c>
      <c r="AP7">
        <f t="shared" si="1"/>
        <v>4</v>
      </c>
      <c r="AQ7">
        <f t="shared" si="1"/>
        <v>4</v>
      </c>
      <c r="AR7">
        <f t="shared" si="1"/>
        <v>4</v>
      </c>
      <c r="AS7">
        <f t="shared" si="1"/>
        <v>4</v>
      </c>
      <c r="AT7">
        <f t="shared" si="1"/>
        <v>4</v>
      </c>
      <c r="AU7">
        <f t="shared" si="1"/>
        <v>4</v>
      </c>
      <c r="AV7">
        <f t="shared" si="1"/>
        <v>4</v>
      </c>
      <c r="AW7">
        <f t="shared" si="1"/>
        <v>4</v>
      </c>
      <c r="AX7">
        <f t="shared" si="1"/>
        <v>4</v>
      </c>
      <c r="AY7">
        <f t="shared" si="1"/>
        <v>4</v>
      </c>
      <c r="AZ7">
        <f t="shared" si="1"/>
        <v>5</v>
      </c>
      <c r="BA7">
        <f t="shared" si="1"/>
        <v>5</v>
      </c>
      <c r="BB7">
        <f t="shared" si="1"/>
        <v>5</v>
      </c>
      <c r="BC7">
        <f t="shared" si="1"/>
        <v>5</v>
      </c>
      <c r="BD7">
        <f t="shared" si="1"/>
        <v>5</v>
      </c>
      <c r="BE7">
        <f t="shared" si="1"/>
        <v>5</v>
      </c>
      <c r="BF7">
        <f t="shared" si="1"/>
        <v>5</v>
      </c>
      <c r="BG7">
        <f t="shared" si="1"/>
        <v>5</v>
      </c>
      <c r="BH7">
        <f t="shared" si="1"/>
        <v>5</v>
      </c>
      <c r="BI7">
        <f t="shared" si="1"/>
        <v>5</v>
      </c>
      <c r="BJ7">
        <f t="shared" si="1"/>
        <v>5</v>
      </c>
      <c r="BK7">
        <f t="shared" si="1"/>
        <v>5</v>
      </c>
    </row>
    <row r="8" spans="1:63" x14ac:dyDescent="0.3">
      <c r="A8" s="3" t="s">
        <v>384</v>
      </c>
      <c r="B8" s="3" t="s">
        <v>385</v>
      </c>
      <c r="D8">
        <f t="shared" ref="D8:AI8" si="2">D$6-12*(D$7-1)</f>
        <v>1</v>
      </c>
      <c r="E8">
        <f t="shared" si="2"/>
        <v>2</v>
      </c>
      <c r="F8">
        <f t="shared" si="2"/>
        <v>3</v>
      </c>
      <c r="G8">
        <f t="shared" si="2"/>
        <v>4</v>
      </c>
      <c r="H8">
        <f t="shared" si="2"/>
        <v>5</v>
      </c>
      <c r="I8">
        <f t="shared" si="2"/>
        <v>6</v>
      </c>
      <c r="J8">
        <f t="shared" si="2"/>
        <v>7</v>
      </c>
      <c r="K8">
        <f t="shared" si="2"/>
        <v>8</v>
      </c>
      <c r="L8">
        <f t="shared" si="2"/>
        <v>9</v>
      </c>
      <c r="M8">
        <f t="shared" si="2"/>
        <v>10</v>
      </c>
      <c r="N8">
        <f t="shared" si="2"/>
        <v>11</v>
      </c>
      <c r="O8">
        <f t="shared" si="2"/>
        <v>12</v>
      </c>
      <c r="P8">
        <f t="shared" si="2"/>
        <v>1</v>
      </c>
      <c r="Q8">
        <f t="shared" si="2"/>
        <v>2</v>
      </c>
      <c r="R8">
        <f t="shared" si="2"/>
        <v>3</v>
      </c>
      <c r="S8">
        <f t="shared" si="2"/>
        <v>4</v>
      </c>
      <c r="T8">
        <f t="shared" si="2"/>
        <v>5</v>
      </c>
      <c r="U8">
        <f t="shared" si="2"/>
        <v>6</v>
      </c>
      <c r="V8">
        <f t="shared" si="2"/>
        <v>7</v>
      </c>
      <c r="W8">
        <f t="shared" si="2"/>
        <v>8</v>
      </c>
      <c r="X8">
        <f t="shared" si="2"/>
        <v>9</v>
      </c>
      <c r="Y8">
        <f t="shared" si="2"/>
        <v>10</v>
      </c>
      <c r="Z8">
        <f t="shared" si="2"/>
        <v>11</v>
      </c>
      <c r="AA8">
        <f t="shared" si="2"/>
        <v>12</v>
      </c>
      <c r="AB8">
        <f t="shared" si="2"/>
        <v>1</v>
      </c>
      <c r="AC8">
        <f t="shared" si="2"/>
        <v>2</v>
      </c>
      <c r="AD8">
        <f t="shared" si="2"/>
        <v>3</v>
      </c>
      <c r="AE8">
        <f t="shared" si="2"/>
        <v>4</v>
      </c>
      <c r="AF8">
        <f t="shared" si="2"/>
        <v>5</v>
      </c>
      <c r="AG8">
        <f t="shared" si="2"/>
        <v>6</v>
      </c>
      <c r="AH8">
        <f t="shared" si="2"/>
        <v>7</v>
      </c>
      <c r="AI8">
        <f t="shared" si="2"/>
        <v>8</v>
      </c>
      <c r="AJ8">
        <f t="shared" ref="AJ8:BK8" si="3">AJ$6-12*(AJ$7-1)</f>
        <v>9</v>
      </c>
      <c r="AK8">
        <f t="shared" si="3"/>
        <v>10</v>
      </c>
      <c r="AL8">
        <f t="shared" si="3"/>
        <v>11</v>
      </c>
      <c r="AM8">
        <f t="shared" si="3"/>
        <v>12</v>
      </c>
      <c r="AN8">
        <f t="shared" si="3"/>
        <v>1</v>
      </c>
      <c r="AO8">
        <f t="shared" si="3"/>
        <v>2</v>
      </c>
      <c r="AP8">
        <f t="shared" si="3"/>
        <v>3</v>
      </c>
      <c r="AQ8">
        <f t="shared" si="3"/>
        <v>4</v>
      </c>
      <c r="AR8">
        <f t="shared" si="3"/>
        <v>5</v>
      </c>
      <c r="AS8">
        <f t="shared" si="3"/>
        <v>6</v>
      </c>
      <c r="AT8">
        <f t="shared" si="3"/>
        <v>7</v>
      </c>
      <c r="AU8">
        <f t="shared" si="3"/>
        <v>8</v>
      </c>
      <c r="AV8">
        <f t="shared" si="3"/>
        <v>9</v>
      </c>
      <c r="AW8">
        <f t="shared" si="3"/>
        <v>10</v>
      </c>
      <c r="AX8">
        <f t="shared" si="3"/>
        <v>11</v>
      </c>
      <c r="AY8">
        <f t="shared" si="3"/>
        <v>12</v>
      </c>
      <c r="AZ8">
        <f t="shared" si="3"/>
        <v>1</v>
      </c>
      <c r="BA8">
        <f t="shared" si="3"/>
        <v>2</v>
      </c>
      <c r="BB8">
        <f t="shared" si="3"/>
        <v>3</v>
      </c>
      <c r="BC8">
        <f t="shared" si="3"/>
        <v>4</v>
      </c>
      <c r="BD8">
        <f t="shared" si="3"/>
        <v>5</v>
      </c>
      <c r="BE8">
        <f t="shared" si="3"/>
        <v>6</v>
      </c>
      <c r="BF8">
        <f t="shared" si="3"/>
        <v>7</v>
      </c>
      <c r="BG8">
        <f t="shared" si="3"/>
        <v>8</v>
      </c>
      <c r="BH8">
        <f t="shared" si="3"/>
        <v>9</v>
      </c>
      <c r="BI8">
        <f t="shared" si="3"/>
        <v>10</v>
      </c>
      <c r="BJ8">
        <f t="shared" si="3"/>
        <v>11</v>
      </c>
      <c r="BK8">
        <f t="shared" si="3"/>
        <v>12</v>
      </c>
    </row>
    <row r="10" spans="1:63" x14ac:dyDescent="0.3">
      <c r="A10" s="37" t="s">
        <v>386</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row>
    <row r="11" spans="1:63" x14ac:dyDescent="0.3">
      <c r="A11" t="s">
        <v>387</v>
      </c>
      <c r="B11" t="s">
        <v>48</v>
      </c>
      <c r="D11" s="62" cm="1">
        <f t="array" aca="1" ref="D11" ca="1">INDEX('Financial Statements'!$D$10:$BA$10,D$7)/12</f>
        <v>886.66666666666663</v>
      </c>
      <c r="E11" s="62" cm="1">
        <f t="array" aca="1" ref="E11" ca="1">INDEX('Financial Statements'!$D$10:$BA$10,E$7)/12</f>
        <v>886.66666666666663</v>
      </c>
      <c r="F11" s="62" cm="1">
        <f t="array" aca="1" ref="F11" ca="1">INDEX('Financial Statements'!$D$10:$BA$10,F$7)/12</f>
        <v>886.66666666666663</v>
      </c>
      <c r="G11" s="62" cm="1">
        <f t="array" aca="1" ref="G11" ca="1">INDEX('Financial Statements'!$D$10:$BA$10,G$7)/12</f>
        <v>886.66666666666663</v>
      </c>
      <c r="H11" s="62" cm="1">
        <f t="array" aca="1" ref="H11" ca="1">INDEX('Financial Statements'!$D$10:$BA$10,H$7)/12</f>
        <v>886.66666666666663</v>
      </c>
      <c r="I11" s="62" cm="1">
        <f t="array" aca="1" ref="I11" ca="1">INDEX('Financial Statements'!$D$10:$BA$10,I$7)/12</f>
        <v>886.66666666666663</v>
      </c>
      <c r="J11" s="62" cm="1">
        <f t="array" aca="1" ref="J11" ca="1">INDEX('Financial Statements'!$D$10:$BA$10,J$7)/12</f>
        <v>886.66666666666663</v>
      </c>
      <c r="K11" s="62" cm="1">
        <f t="array" aca="1" ref="K11" ca="1">INDEX('Financial Statements'!$D$10:$BA$10,K$7)/12</f>
        <v>886.66666666666663</v>
      </c>
      <c r="L11" s="62" cm="1">
        <f t="array" aca="1" ref="L11" ca="1">INDEX('Financial Statements'!$D$10:$BA$10,L$7)/12</f>
        <v>886.66666666666663</v>
      </c>
      <c r="M11" s="62" cm="1">
        <f t="array" aca="1" ref="M11" ca="1">INDEX('Financial Statements'!$D$10:$BA$10,M$7)/12</f>
        <v>886.66666666666663</v>
      </c>
      <c r="N11" s="62" cm="1">
        <f t="array" aca="1" ref="N11" ca="1">INDEX('Financial Statements'!$D$10:$BA$10,N$7)/12</f>
        <v>886.66666666666663</v>
      </c>
      <c r="O11" s="62" cm="1">
        <f t="array" aca="1" ref="O11" ca="1">INDEX('Financial Statements'!$D$10:$BA$10,O$7)/12</f>
        <v>886.66666666666663</v>
      </c>
      <c r="P11" s="62" cm="1">
        <f t="array" aca="1" ref="P11" ca="1">INDEX('Financial Statements'!$D$10:$BA$10,P$7)/12</f>
        <v>2744.2333333333331</v>
      </c>
      <c r="Q11" s="62" cm="1">
        <f t="array" aca="1" ref="Q11" ca="1">INDEX('Financial Statements'!$D$10:$BA$10,Q$7)/12</f>
        <v>2744.2333333333331</v>
      </c>
      <c r="R11" s="62" cm="1">
        <f t="array" aca="1" ref="R11" ca="1">INDEX('Financial Statements'!$D$10:$BA$10,R$7)/12</f>
        <v>2744.2333333333331</v>
      </c>
      <c r="S11" s="62" cm="1">
        <f t="array" aca="1" ref="S11" ca="1">INDEX('Financial Statements'!$D$10:$BA$10,S$7)/12</f>
        <v>2744.2333333333331</v>
      </c>
      <c r="T11" s="62" cm="1">
        <f t="array" aca="1" ref="T11" ca="1">INDEX('Financial Statements'!$D$10:$BA$10,T$7)/12</f>
        <v>2744.2333333333331</v>
      </c>
      <c r="U11" s="62" cm="1">
        <f t="array" aca="1" ref="U11" ca="1">INDEX('Financial Statements'!$D$10:$BA$10,U$7)/12</f>
        <v>2744.2333333333331</v>
      </c>
      <c r="V11" s="62" cm="1">
        <f t="array" aca="1" ref="V11" ca="1">INDEX('Financial Statements'!$D$10:$BA$10,V$7)/12</f>
        <v>2744.2333333333331</v>
      </c>
      <c r="W11" s="62" cm="1">
        <f t="array" aca="1" ref="W11" ca="1">INDEX('Financial Statements'!$D$10:$BA$10,W$7)/12</f>
        <v>2744.2333333333331</v>
      </c>
      <c r="X11" s="62" cm="1">
        <f t="array" aca="1" ref="X11" ca="1">INDEX('Financial Statements'!$D$10:$BA$10,X$7)/12</f>
        <v>2744.2333333333331</v>
      </c>
      <c r="Y11" s="62" cm="1">
        <f t="array" aca="1" ref="Y11" ca="1">INDEX('Financial Statements'!$D$10:$BA$10,Y$7)/12</f>
        <v>2744.2333333333331</v>
      </c>
      <c r="Z11" s="62" cm="1">
        <f t="array" aca="1" ref="Z11" ca="1">INDEX('Financial Statements'!$D$10:$BA$10,Z$7)/12</f>
        <v>2744.2333333333331</v>
      </c>
      <c r="AA11" s="62" cm="1">
        <f t="array" aca="1" ref="AA11" ca="1">INDEX('Financial Statements'!$D$10:$BA$10,AA$7)/12</f>
        <v>2744.2333333333331</v>
      </c>
      <c r="AB11" s="62" cm="1">
        <f t="array" aca="1" ref="AB11" ca="1">INDEX('Financial Statements'!$D$10:$BA$10,AB$7)/12</f>
        <v>5662.2976666666655</v>
      </c>
      <c r="AC11" s="62" cm="1">
        <f t="array" aca="1" ref="AC11" ca="1">INDEX('Financial Statements'!$D$10:$BA$10,AC$7)/12</f>
        <v>5662.2976666666655</v>
      </c>
      <c r="AD11" s="62" cm="1">
        <f t="array" aca="1" ref="AD11" ca="1">INDEX('Financial Statements'!$D$10:$BA$10,AD$7)/12</f>
        <v>5662.2976666666655</v>
      </c>
      <c r="AE11" s="62" cm="1">
        <f t="array" aca="1" ref="AE11" ca="1">INDEX('Financial Statements'!$D$10:$BA$10,AE$7)/12</f>
        <v>5662.2976666666655</v>
      </c>
      <c r="AF11" s="62" cm="1">
        <f t="array" aca="1" ref="AF11" ca="1">INDEX('Financial Statements'!$D$10:$BA$10,AF$7)/12</f>
        <v>5662.2976666666655</v>
      </c>
      <c r="AG11" s="62" cm="1">
        <f t="array" aca="1" ref="AG11" ca="1">INDEX('Financial Statements'!$D$10:$BA$10,AG$7)/12</f>
        <v>5662.2976666666655</v>
      </c>
      <c r="AH11" s="62" cm="1">
        <f t="array" aca="1" ref="AH11" ca="1">INDEX('Financial Statements'!$D$10:$BA$10,AH$7)/12</f>
        <v>5662.2976666666655</v>
      </c>
      <c r="AI11" s="62" cm="1">
        <f t="array" aca="1" ref="AI11" ca="1">INDEX('Financial Statements'!$D$10:$BA$10,AI$7)/12</f>
        <v>5662.2976666666655</v>
      </c>
      <c r="AJ11" s="62" cm="1">
        <f t="array" aca="1" ref="AJ11" ca="1">INDEX('Financial Statements'!$D$10:$BA$10,AJ$7)/12</f>
        <v>5662.2976666666655</v>
      </c>
      <c r="AK11" s="62" cm="1">
        <f t="array" aca="1" ref="AK11" ca="1">INDEX('Financial Statements'!$D$10:$BA$10,AK$7)/12</f>
        <v>5662.2976666666655</v>
      </c>
      <c r="AL11" s="62" cm="1">
        <f t="array" aca="1" ref="AL11" ca="1">INDEX('Financial Statements'!$D$10:$BA$10,AL$7)/12</f>
        <v>5662.2976666666655</v>
      </c>
      <c r="AM11" s="62" cm="1">
        <f t="array" aca="1" ref="AM11" ca="1">INDEX('Financial Statements'!$D$10:$BA$10,AM$7)/12</f>
        <v>5662.2976666666655</v>
      </c>
      <c r="AN11" s="62" cm="1">
        <f t="array" aca="1" ref="AN11" ca="1">INDEX('Financial Statements'!$D$10:$BA$10,AN$7)/12</f>
        <v>8753.0446558333333</v>
      </c>
      <c r="AO11" s="62" cm="1">
        <f t="array" aca="1" ref="AO11" ca="1">INDEX('Financial Statements'!$D$10:$BA$10,AO$7)/12</f>
        <v>8753.0446558333333</v>
      </c>
      <c r="AP11" s="62" cm="1">
        <f t="array" aca="1" ref="AP11" ca="1">INDEX('Financial Statements'!$D$10:$BA$10,AP$7)/12</f>
        <v>8753.0446558333333</v>
      </c>
      <c r="AQ11" s="62" cm="1">
        <f t="array" aca="1" ref="AQ11" ca="1">INDEX('Financial Statements'!$D$10:$BA$10,AQ$7)/12</f>
        <v>8753.0446558333333</v>
      </c>
      <c r="AR11" s="62" cm="1">
        <f t="array" aca="1" ref="AR11" ca="1">INDEX('Financial Statements'!$D$10:$BA$10,AR$7)/12</f>
        <v>8753.0446558333333</v>
      </c>
      <c r="AS11" s="62" cm="1">
        <f t="array" aca="1" ref="AS11" ca="1">INDEX('Financial Statements'!$D$10:$BA$10,AS$7)/12</f>
        <v>8753.0446558333333</v>
      </c>
      <c r="AT11" s="62" cm="1">
        <f t="array" aca="1" ref="AT11" ca="1">INDEX('Financial Statements'!$D$10:$BA$10,AT$7)/12</f>
        <v>8753.0446558333333</v>
      </c>
      <c r="AU11" s="62" cm="1">
        <f t="array" aca="1" ref="AU11" ca="1">INDEX('Financial Statements'!$D$10:$BA$10,AU$7)/12</f>
        <v>8753.0446558333333</v>
      </c>
      <c r="AV11" s="62" cm="1">
        <f t="array" aca="1" ref="AV11" ca="1">INDEX('Financial Statements'!$D$10:$BA$10,AV$7)/12</f>
        <v>8753.0446558333333</v>
      </c>
      <c r="AW11" s="62" cm="1">
        <f t="array" aca="1" ref="AW11" ca="1">INDEX('Financial Statements'!$D$10:$BA$10,AW$7)/12</f>
        <v>8753.0446558333333</v>
      </c>
      <c r="AX11" s="62" cm="1">
        <f t="array" aca="1" ref="AX11" ca="1">INDEX('Financial Statements'!$D$10:$BA$10,AX$7)/12</f>
        <v>8753.0446558333333</v>
      </c>
      <c r="AY11" s="62" cm="1">
        <f t="array" aca="1" ref="AY11" ca="1">INDEX('Financial Statements'!$D$10:$BA$10,AY$7)/12</f>
        <v>8753.0446558333333</v>
      </c>
      <c r="AZ11" s="62" cm="1">
        <f t="array" aca="1" ref="AZ11" ca="1">INDEX('Financial Statements'!$D$10:$BA$10,AZ$7)/12</f>
        <v>12024.281953891661</v>
      </c>
      <c r="BA11" s="62" cm="1">
        <f t="array" aca="1" ref="BA11" ca="1">INDEX('Financial Statements'!$D$10:$BA$10,BA$7)/12</f>
        <v>12024.281953891661</v>
      </c>
      <c r="BB11" s="62" cm="1">
        <f t="array" aca="1" ref="BB11" ca="1">INDEX('Financial Statements'!$D$10:$BA$10,BB$7)/12</f>
        <v>12024.281953891661</v>
      </c>
      <c r="BC11" s="62" cm="1">
        <f t="array" aca="1" ref="BC11" ca="1">INDEX('Financial Statements'!$D$10:$BA$10,BC$7)/12</f>
        <v>12024.281953891661</v>
      </c>
      <c r="BD11" s="62" cm="1">
        <f t="array" aca="1" ref="BD11" ca="1">INDEX('Financial Statements'!$D$10:$BA$10,BD$7)/12</f>
        <v>12024.281953891661</v>
      </c>
      <c r="BE11" s="62" cm="1">
        <f t="array" aca="1" ref="BE11" ca="1">INDEX('Financial Statements'!$D$10:$BA$10,BE$7)/12</f>
        <v>12024.281953891661</v>
      </c>
      <c r="BF11" s="62" cm="1">
        <f t="array" aca="1" ref="BF11" ca="1">INDEX('Financial Statements'!$D$10:$BA$10,BF$7)/12</f>
        <v>12024.281953891661</v>
      </c>
      <c r="BG11" s="62" cm="1">
        <f t="array" aca="1" ref="BG11" ca="1">INDEX('Financial Statements'!$D$10:$BA$10,BG$7)/12</f>
        <v>12024.281953891661</v>
      </c>
      <c r="BH11" s="62" cm="1">
        <f t="array" aca="1" ref="BH11" ca="1">INDEX('Financial Statements'!$D$10:$BA$10,BH$7)/12</f>
        <v>12024.281953891661</v>
      </c>
      <c r="BI11" s="62" cm="1">
        <f t="array" aca="1" ref="BI11" ca="1">INDEX('Financial Statements'!$D$10:$BA$10,BI$7)/12</f>
        <v>12024.281953891661</v>
      </c>
      <c r="BJ11" s="62" cm="1">
        <f t="array" aca="1" ref="BJ11" ca="1">INDEX('Financial Statements'!$D$10:$BA$10,BJ$7)/12</f>
        <v>12024.281953891661</v>
      </c>
      <c r="BK11" s="62" cm="1">
        <f t="array" aca="1" ref="BK11" ca="1">INDEX('Financial Statements'!$D$10:$BA$10,BK$7)/12</f>
        <v>12024.281953891661</v>
      </c>
    </row>
    <row r="12" spans="1:63" x14ac:dyDescent="0.3">
      <c r="A12" t="s">
        <v>388</v>
      </c>
      <c r="B12" t="s">
        <v>48</v>
      </c>
      <c r="D12" s="62" cm="1">
        <f t="array" ref="D12">(INDEX('Capital &amp; Debt'!$D$10:$BA$10,D$7)+INDEX('Capital &amp; Debt'!$D$11:$BA$11,D$7)+INDEX('Capital &amp; Debt'!$D$13:$BA$13,D$7))/12</f>
        <v>9166.6666666666661</v>
      </c>
      <c r="E12" s="62" cm="1">
        <f t="array" ref="E12">(INDEX('Capital &amp; Debt'!$D$10:$BA$10,E$7)+INDEX('Capital &amp; Debt'!$D$11:$BA$11,E$7)+INDEX('Capital &amp; Debt'!$D$13:$BA$13,E$7))/12</f>
        <v>9166.6666666666661</v>
      </c>
      <c r="F12" s="62" cm="1">
        <f t="array" ref="F12">(INDEX('Capital &amp; Debt'!$D$10:$BA$10,F$7)+INDEX('Capital &amp; Debt'!$D$11:$BA$11,F$7)+INDEX('Capital &amp; Debt'!$D$13:$BA$13,F$7))/12</f>
        <v>9166.6666666666661</v>
      </c>
      <c r="G12" s="62" cm="1">
        <f t="array" ref="G12">(INDEX('Capital &amp; Debt'!$D$10:$BA$10,G$7)+INDEX('Capital &amp; Debt'!$D$11:$BA$11,G$7)+INDEX('Capital &amp; Debt'!$D$13:$BA$13,G$7))/12</f>
        <v>9166.6666666666661</v>
      </c>
      <c r="H12" s="62" cm="1">
        <f t="array" ref="H12">(INDEX('Capital &amp; Debt'!$D$10:$BA$10,H$7)+INDEX('Capital &amp; Debt'!$D$11:$BA$11,H$7)+INDEX('Capital &amp; Debt'!$D$13:$BA$13,H$7))/12</f>
        <v>9166.6666666666661</v>
      </c>
      <c r="I12" s="62" cm="1">
        <f t="array" ref="I12">(INDEX('Capital &amp; Debt'!$D$10:$BA$10,I$7)+INDEX('Capital &amp; Debt'!$D$11:$BA$11,I$7)+INDEX('Capital &amp; Debt'!$D$13:$BA$13,I$7))/12</f>
        <v>9166.6666666666661</v>
      </c>
      <c r="J12" s="62" cm="1">
        <f t="array" ref="J12">(INDEX('Capital &amp; Debt'!$D$10:$BA$10,J$7)+INDEX('Capital &amp; Debt'!$D$11:$BA$11,J$7)+INDEX('Capital &amp; Debt'!$D$13:$BA$13,J$7))/12</f>
        <v>9166.6666666666661</v>
      </c>
      <c r="K12" s="62" cm="1">
        <f t="array" ref="K12">(INDEX('Capital &amp; Debt'!$D$10:$BA$10,K$7)+INDEX('Capital &amp; Debt'!$D$11:$BA$11,K$7)+INDEX('Capital &amp; Debt'!$D$13:$BA$13,K$7))/12</f>
        <v>9166.6666666666661</v>
      </c>
      <c r="L12" s="62" cm="1">
        <f t="array" ref="L12">(INDEX('Capital &amp; Debt'!$D$10:$BA$10,L$7)+INDEX('Capital &amp; Debt'!$D$11:$BA$11,L$7)+INDEX('Capital &amp; Debt'!$D$13:$BA$13,L$7))/12</f>
        <v>9166.6666666666661</v>
      </c>
      <c r="M12" s="62" cm="1">
        <f t="array" ref="M12">(INDEX('Capital &amp; Debt'!$D$10:$BA$10,M$7)+INDEX('Capital &amp; Debt'!$D$11:$BA$11,M$7)+INDEX('Capital &amp; Debt'!$D$13:$BA$13,M$7))/12</f>
        <v>9166.6666666666661</v>
      </c>
      <c r="N12" s="62" cm="1">
        <f t="array" ref="N12">(INDEX('Capital &amp; Debt'!$D$10:$BA$10,N$7)+INDEX('Capital &amp; Debt'!$D$11:$BA$11,N$7)+INDEX('Capital &amp; Debt'!$D$13:$BA$13,N$7))/12</f>
        <v>9166.6666666666661</v>
      </c>
      <c r="O12" s="62" cm="1">
        <f t="array" ref="O12">(INDEX('Capital &amp; Debt'!$D$10:$BA$10,O$7)+INDEX('Capital &amp; Debt'!$D$11:$BA$11,O$7)+INDEX('Capital &amp; Debt'!$D$13:$BA$13,O$7))/12</f>
        <v>9166.6666666666661</v>
      </c>
      <c r="P12" s="62" cm="1">
        <f t="array" ref="P12">(INDEX('Capital &amp; Debt'!$D$10:$BA$10,P$7)+INDEX('Capital &amp; Debt'!$D$11:$BA$11,P$7)+INDEX('Capital &amp; Debt'!$D$13:$BA$13,P$7))/12</f>
        <v>9395.8333333333339</v>
      </c>
      <c r="Q12" s="62" cm="1">
        <f t="array" ref="Q12">(INDEX('Capital &amp; Debt'!$D$10:$BA$10,Q$7)+INDEX('Capital &amp; Debt'!$D$11:$BA$11,Q$7)+INDEX('Capital &amp; Debt'!$D$13:$BA$13,Q$7))/12</f>
        <v>9395.8333333333339</v>
      </c>
      <c r="R12" s="62" cm="1">
        <f t="array" ref="R12">(INDEX('Capital &amp; Debt'!$D$10:$BA$10,R$7)+INDEX('Capital &amp; Debt'!$D$11:$BA$11,R$7)+INDEX('Capital &amp; Debt'!$D$13:$BA$13,R$7))/12</f>
        <v>9395.8333333333339</v>
      </c>
      <c r="S12" s="62" cm="1">
        <f t="array" ref="S12">(INDEX('Capital &amp; Debt'!$D$10:$BA$10,S$7)+INDEX('Capital &amp; Debt'!$D$11:$BA$11,S$7)+INDEX('Capital &amp; Debt'!$D$13:$BA$13,S$7))/12</f>
        <v>9395.8333333333339</v>
      </c>
      <c r="T12" s="62" cm="1">
        <f t="array" ref="T12">(INDEX('Capital &amp; Debt'!$D$10:$BA$10,T$7)+INDEX('Capital &amp; Debt'!$D$11:$BA$11,T$7)+INDEX('Capital &amp; Debt'!$D$13:$BA$13,T$7))/12</f>
        <v>9395.8333333333339</v>
      </c>
      <c r="U12" s="62" cm="1">
        <f t="array" ref="U12">(INDEX('Capital &amp; Debt'!$D$10:$BA$10,U$7)+INDEX('Capital &amp; Debt'!$D$11:$BA$11,U$7)+INDEX('Capital &amp; Debt'!$D$13:$BA$13,U$7))/12</f>
        <v>9395.8333333333339</v>
      </c>
      <c r="V12" s="62" cm="1">
        <f t="array" ref="V12">(INDEX('Capital &amp; Debt'!$D$10:$BA$10,V$7)+INDEX('Capital &amp; Debt'!$D$11:$BA$11,V$7)+INDEX('Capital &amp; Debt'!$D$13:$BA$13,V$7))/12</f>
        <v>9395.8333333333339</v>
      </c>
      <c r="W12" s="62" cm="1">
        <f t="array" ref="W12">(INDEX('Capital &amp; Debt'!$D$10:$BA$10,W$7)+INDEX('Capital &amp; Debt'!$D$11:$BA$11,W$7)+INDEX('Capital &amp; Debt'!$D$13:$BA$13,W$7))/12</f>
        <v>9395.8333333333339</v>
      </c>
      <c r="X12" s="62" cm="1">
        <f t="array" ref="X12">(INDEX('Capital &amp; Debt'!$D$10:$BA$10,X$7)+INDEX('Capital &amp; Debt'!$D$11:$BA$11,X$7)+INDEX('Capital &amp; Debt'!$D$13:$BA$13,X$7))/12</f>
        <v>9395.8333333333339</v>
      </c>
      <c r="Y12" s="62" cm="1">
        <f t="array" ref="Y12">(INDEX('Capital &amp; Debt'!$D$10:$BA$10,Y$7)+INDEX('Capital &amp; Debt'!$D$11:$BA$11,Y$7)+INDEX('Capital &amp; Debt'!$D$13:$BA$13,Y$7))/12</f>
        <v>9395.8333333333339</v>
      </c>
      <c r="Z12" s="62" cm="1">
        <f t="array" ref="Z12">(INDEX('Capital &amp; Debt'!$D$10:$BA$10,Z$7)+INDEX('Capital &amp; Debt'!$D$11:$BA$11,Z$7)+INDEX('Capital &amp; Debt'!$D$13:$BA$13,Z$7))/12</f>
        <v>9395.8333333333339</v>
      </c>
      <c r="AA12" s="62" cm="1">
        <f t="array" ref="AA12">(INDEX('Capital &amp; Debt'!$D$10:$BA$10,AA$7)+INDEX('Capital &amp; Debt'!$D$11:$BA$11,AA$7)+INDEX('Capital &amp; Debt'!$D$13:$BA$13,AA$7))/12</f>
        <v>9395.8333333333339</v>
      </c>
      <c r="AB12" s="62" cm="1">
        <f t="array" ref="AB12">(INDEX('Capital &amp; Debt'!$D$10:$BA$10,AB$7)+INDEX('Capital &amp; Debt'!$D$11:$BA$11,AB$7)+INDEX('Capital &amp; Debt'!$D$13:$BA$13,AB$7))/12</f>
        <v>9630.7291666666661</v>
      </c>
      <c r="AC12" s="62" cm="1">
        <f t="array" ref="AC12">(INDEX('Capital &amp; Debt'!$D$10:$BA$10,AC$7)+INDEX('Capital &amp; Debt'!$D$11:$BA$11,AC$7)+INDEX('Capital &amp; Debt'!$D$13:$BA$13,AC$7))/12</f>
        <v>9630.7291666666661</v>
      </c>
      <c r="AD12" s="62" cm="1">
        <f t="array" ref="AD12">(INDEX('Capital &amp; Debt'!$D$10:$BA$10,AD$7)+INDEX('Capital &amp; Debt'!$D$11:$BA$11,AD$7)+INDEX('Capital &amp; Debt'!$D$13:$BA$13,AD$7))/12</f>
        <v>9630.7291666666661</v>
      </c>
      <c r="AE12" s="62" cm="1">
        <f t="array" ref="AE12">(INDEX('Capital &amp; Debt'!$D$10:$BA$10,AE$7)+INDEX('Capital &amp; Debt'!$D$11:$BA$11,AE$7)+INDEX('Capital &amp; Debt'!$D$13:$BA$13,AE$7))/12</f>
        <v>9630.7291666666661</v>
      </c>
      <c r="AF12" s="62" cm="1">
        <f t="array" ref="AF12">(INDEX('Capital &amp; Debt'!$D$10:$BA$10,AF$7)+INDEX('Capital &amp; Debt'!$D$11:$BA$11,AF$7)+INDEX('Capital &amp; Debt'!$D$13:$BA$13,AF$7))/12</f>
        <v>9630.7291666666661</v>
      </c>
      <c r="AG12" s="62" cm="1">
        <f t="array" ref="AG12">(INDEX('Capital &amp; Debt'!$D$10:$BA$10,AG$7)+INDEX('Capital &amp; Debt'!$D$11:$BA$11,AG$7)+INDEX('Capital &amp; Debt'!$D$13:$BA$13,AG$7))/12</f>
        <v>9630.7291666666661</v>
      </c>
      <c r="AH12" s="62" cm="1">
        <f t="array" ref="AH12">(INDEX('Capital &amp; Debt'!$D$10:$BA$10,AH$7)+INDEX('Capital &amp; Debt'!$D$11:$BA$11,AH$7)+INDEX('Capital &amp; Debt'!$D$13:$BA$13,AH$7))/12</f>
        <v>9630.7291666666661</v>
      </c>
      <c r="AI12" s="62" cm="1">
        <f t="array" ref="AI12">(INDEX('Capital &amp; Debt'!$D$10:$BA$10,AI$7)+INDEX('Capital &amp; Debt'!$D$11:$BA$11,AI$7)+INDEX('Capital &amp; Debt'!$D$13:$BA$13,AI$7))/12</f>
        <v>9630.7291666666661</v>
      </c>
      <c r="AJ12" s="62" cm="1">
        <f t="array" ref="AJ12">(INDEX('Capital &amp; Debt'!$D$10:$BA$10,AJ$7)+INDEX('Capital &amp; Debt'!$D$11:$BA$11,AJ$7)+INDEX('Capital &amp; Debt'!$D$13:$BA$13,AJ$7))/12</f>
        <v>9630.7291666666661</v>
      </c>
      <c r="AK12" s="62" cm="1">
        <f t="array" ref="AK12">(INDEX('Capital &amp; Debt'!$D$10:$BA$10,AK$7)+INDEX('Capital &amp; Debt'!$D$11:$BA$11,AK$7)+INDEX('Capital &amp; Debt'!$D$13:$BA$13,AK$7))/12</f>
        <v>9630.7291666666661</v>
      </c>
      <c r="AL12" s="62" cm="1">
        <f t="array" ref="AL12">(INDEX('Capital &amp; Debt'!$D$10:$BA$10,AL$7)+INDEX('Capital &amp; Debt'!$D$11:$BA$11,AL$7)+INDEX('Capital &amp; Debt'!$D$13:$BA$13,AL$7))/12</f>
        <v>9630.7291666666661</v>
      </c>
      <c r="AM12" s="62" cm="1">
        <f t="array" ref="AM12">(INDEX('Capital &amp; Debt'!$D$10:$BA$10,AM$7)+INDEX('Capital &amp; Debt'!$D$11:$BA$11,AM$7)+INDEX('Capital &amp; Debt'!$D$13:$BA$13,AM$7))/12</f>
        <v>9630.7291666666661</v>
      </c>
      <c r="AN12" s="62" cm="1">
        <f t="array" ref="AN12">(INDEX('Capital &amp; Debt'!$D$10:$BA$10,AN$7)+INDEX('Capital &amp; Debt'!$D$11:$BA$11,AN$7)+INDEX('Capital &amp; Debt'!$D$13:$BA$13,AN$7))/12</f>
        <v>9871.4973958333321</v>
      </c>
      <c r="AO12" s="62" cm="1">
        <f t="array" ref="AO12">(INDEX('Capital &amp; Debt'!$D$10:$BA$10,AO$7)+INDEX('Capital &amp; Debt'!$D$11:$BA$11,AO$7)+INDEX('Capital &amp; Debt'!$D$13:$BA$13,AO$7))/12</f>
        <v>9871.4973958333321</v>
      </c>
      <c r="AP12" s="62" cm="1">
        <f t="array" ref="AP12">(INDEX('Capital &amp; Debt'!$D$10:$BA$10,AP$7)+INDEX('Capital &amp; Debt'!$D$11:$BA$11,AP$7)+INDEX('Capital &amp; Debt'!$D$13:$BA$13,AP$7))/12</f>
        <v>9871.4973958333321</v>
      </c>
      <c r="AQ12" s="62" cm="1">
        <f t="array" ref="AQ12">(INDEX('Capital &amp; Debt'!$D$10:$BA$10,AQ$7)+INDEX('Capital &amp; Debt'!$D$11:$BA$11,AQ$7)+INDEX('Capital &amp; Debt'!$D$13:$BA$13,AQ$7))/12</f>
        <v>9871.4973958333321</v>
      </c>
      <c r="AR12" s="62" cm="1">
        <f t="array" ref="AR12">(INDEX('Capital &amp; Debt'!$D$10:$BA$10,AR$7)+INDEX('Capital &amp; Debt'!$D$11:$BA$11,AR$7)+INDEX('Capital &amp; Debt'!$D$13:$BA$13,AR$7))/12</f>
        <v>9871.4973958333321</v>
      </c>
      <c r="AS12" s="62" cm="1">
        <f t="array" ref="AS12">(INDEX('Capital &amp; Debt'!$D$10:$BA$10,AS$7)+INDEX('Capital &amp; Debt'!$D$11:$BA$11,AS$7)+INDEX('Capital &amp; Debt'!$D$13:$BA$13,AS$7))/12</f>
        <v>9871.4973958333321</v>
      </c>
      <c r="AT12" s="62" cm="1">
        <f t="array" ref="AT12">(INDEX('Capital &amp; Debt'!$D$10:$BA$10,AT$7)+INDEX('Capital &amp; Debt'!$D$11:$BA$11,AT$7)+INDEX('Capital &amp; Debt'!$D$13:$BA$13,AT$7))/12</f>
        <v>9871.4973958333321</v>
      </c>
      <c r="AU12" s="62" cm="1">
        <f t="array" ref="AU12">(INDEX('Capital &amp; Debt'!$D$10:$BA$10,AU$7)+INDEX('Capital &amp; Debt'!$D$11:$BA$11,AU$7)+INDEX('Capital &amp; Debt'!$D$13:$BA$13,AU$7))/12</f>
        <v>9871.4973958333321</v>
      </c>
      <c r="AV12" s="62" cm="1">
        <f t="array" ref="AV12">(INDEX('Capital &amp; Debt'!$D$10:$BA$10,AV$7)+INDEX('Capital &amp; Debt'!$D$11:$BA$11,AV$7)+INDEX('Capital &amp; Debt'!$D$13:$BA$13,AV$7))/12</f>
        <v>9871.4973958333321</v>
      </c>
      <c r="AW12" s="62" cm="1">
        <f t="array" ref="AW12">(INDEX('Capital &amp; Debt'!$D$10:$BA$10,AW$7)+INDEX('Capital &amp; Debt'!$D$11:$BA$11,AW$7)+INDEX('Capital &amp; Debt'!$D$13:$BA$13,AW$7))/12</f>
        <v>9871.4973958333321</v>
      </c>
      <c r="AX12" s="62" cm="1">
        <f t="array" ref="AX12">(INDEX('Capital &amp; Debt'!$D$10:$BA$10,AX$7)+INDEX('Capital &amp; Debt'!$D$11:$BA$11,AX$7)+INDEX('Capital &amp; Debt'!$D$13:$BA$13,AX$7))/12</f>
        <v>9871.4973958333321</v>
      </c>
      <c r="AY12" s="62" cm="1">
        <f t="array" ref="AY12">(INDEX('Capital &amp; Debt'!$D$10:$BA$10,AY$7)+INDEX('Capital &amp; Debt'!$D$11:$BA$11,AY$7)+INDEX('Capital &amp; Debt'!$D$13:$BA$13,AY$7))/12</f>
        <v>9871.4973958333321</v>
      </c>
      <c r="AZ12" s="62" cm="1">
        <f t="array" ref="AZ12">(INDEX('Capital &amp; Debt'!$D$10:$BA$10,AZ$7)+INDEX('Capital &amp; Debt'!$D$11:$BA$11,AZ$7)+INDEX('Capital &amp; Debt'!$D$13:$BA$13,AZ$7))/12</f>
        <v>10118.284830729164</v>
      </c>
      <c r="BA12" s="62" cm="1">
        <f t="array" ref="BA12">(INDEX('Capital &amp; Debt'!$D$10:$BA$10,BA$7)+INDEX('Capital &amp; Debt'!$D$11:$BA$11,BA$7)+INDEX('Capital &amp; Debt'!$D$13:$BA$13,BA$7))/12</f>
        <v>10118.284830729164</v>
      </c>
      <c r="BB12" s="62" cm="1">
        <f t="array" ref="BB12">(INDEX('Capital &amp; Debt'!$D$10:$BA$10,BB$7)+INDEX('Capital &amp; Debt'!$D$11:$BA$11,BB$7)+INDEX('Capital &amp; Debt'!$D$13:$BA$13,BB$7))/12</f>
        <v>10118.284830729164</v>
      </c>
      <c r="BC12" s="62" cm="1">
        <f t="array" ref="BC12">(INDEX('Capital &amp; Debt'!$D$10:$BA$10,BC$7)+INDEX('Capital &amp; Debt'!$D$11:$BA$11,BC$7)+INDEX('Capital &amp; Debt'!$D$13:$BA$13,BC$7))/12</f>
        <v>10118.284830729164</v>
      </c>
      <c r="BD12" s="62" cm="1">
        <f t="array" ref="BD12">(INDEX('Capital &amp; Debt'!$D$10:$BA$10,BD$7)+INDEX('Capital &amp; Debt'!$D$11:$BA$11,BD$7)+INDEX('Capital &amp; Debt'!$D$13:$BA$13,BD$7))/12</f>
        <v>10118.284830729164</v>
      </c>
      <c r="BE12" s="62" cm="1">
        <f t="array" ref="BE12">(INDEX('Capital &amp; Debt'!$D$10:$BA$10,BE$7)+INDEX('Capital &amp; Debt'!$D$11:$BA$11,BE$7)+INDEX('Capital &amp; Debt'!$D$13:$BA$13,BE$7))/12</f>
        <v>10118.284830729164</v>
      </c>
      <c r="BF12" s="62" cm="1">
        <f t="array" ref="BF12">(INDEX('Capital &amp; Debt'!$D$10:$BA$10,BF$7)+INDEX('Capital &amp; Debt'!$D$11:$BA$11,BF$7)+INDEX('Capital &amp; Debt'!$D$13:$BA$13,BF$7))/12</f>
        <v>10118.284830729164</v>
      </c>
      <c r="BG12" s="62" cm="1">
        <f t="array" ref="BG12">(INDEX('Capital &amp; Debt'!$D$10:$BA$10,BG$7)+INDEX('Capital &amp; Debt'!$D$11:$BA$11,BG$7)+INDEX('Capital &amp; Debt'!$D$13:$BA$13,BG$7))/12</f>
        <v>10118.284830729164</v>
      </c>
      <c r="BH12" s="62" cm="1">
        <f t="array" ref="BH12">(INDEX('Capital &amp; Debt'!$D$10:$BA$10,BH$7)+INDEX('Capital &amp; Debt'!$D$11:$BA$11,BH$7)+INDEX('Capital &amp; Debt'!$D$13:$BA$13,BH$7))/12</f>
        <v>10118.284830729164</v>
      </c>
      <c r="BI12" s="62" cm="1">
        <f t="array" ref="BI12">(INDEX('Capital &amp; Debt'!$D$10:$BA$10,BI$7)+INDEX('Capital &amp; Debt'!$D$11:$BA$11,BI$7)+INDEX('Capital &amp; Debt'!$D$13:$BA$13,BI$7))/12</f>
        <v>10118.284830729164</v>
      </c>
      <c r="BJ12" s="62" cm="1">
        <f t="array" ref="BJ12">(INDEX('Capital &amp; Debt'!$D$10:$BA$10,BJ$7)+INDEX('Capital &amp; Debt'!$D$11:$BA$11,BJ$7)+INDEX('Capital &amp; Debt'!$D$13:$BA$13,BJ$7))/12</f>
        <v>10118.284830729164</v>
      </c>
      <c r="BK12" s="62" cm="1">
        <f t="array" ref="BK12">(INDEX('Capital &amp; Debt'!$D$10:$BA$10,BK$7)+INDEX('Capital &amp; Debt'!$D$11:$BA$11,BK$7)+INDEX('Capital &amp; Debt'!$D$13:$BA$13,BK$7))/12</f>
        <v>10118.284830729164</v>
      </c>
    </row>
    <row r="13" spans="1:63" x14ac:dyDescent="0.3">
      <c r="A13" t="s">
        <v>363</v>
      </c>
      <c r="B13" t="s">
        <v>48</v>
      </c>
      <c r="D13" s="62">
        <f>IF(AND(D$7=1,D$8=1),founding_capital,0)</f>
        <v>150000</v>
      </c>
      <c r="E13" s="62">
        <f>IF(AND(E$7=1,E$8=1),founding_capital,0)</f>
        <v>0</v>
      </c>
      <c r="F13" s="62">
        <f>IF(AND(F$7=1,F$8=1),founding_capital,0)</f>
        <v>0</v>
      </c>
      <c r="G13" s="62">
        <f>IF(AND(G$7=1,G$8=1),founding_capital,0)</f>
        <v>0</v>
      </c>
      <c r="H13" s="62">
        <f>IF(AND(H$7=1,H$8=1),founding_capital,0)</f>
        <v>0</v>
      </c>
      <c r="I13" s="62">
        <f>IF(AND(I$7=1,I$8=1),founding_capital,0)</f>
        <v>0</v>
      </c>
      <c r="J13" s="62">
        <f>IF(AND(J$7=1,J$8=1),founding_capital,0)</f>
        <v>0</v>
      </c>
      <c r="K13" s="62">
        <f>IF(AND(K$7=1,K$8=1),founding_capital,0)</f>
        <v>0</v>
      </c>
      <c r="L13" s="62">
        <f>IF(AND(L$7=1,L$8=1),founding_capital,0)</f>
        <v>0</v>
      </c>
      <c r="M13" s="62">
        <f>IF(AND(M$7=1,M$8=1),founding_capital,0)</f>
        <v>0</v>
      </c>
      <c r="N13" s="62">
        <f>IF(AND(N$7=1,N$8=1),founding_capital,0)</f>
        <v>0</v>
      </c>
      <c r="O13" s="62">
        <f>IF(AND(O$7=1,O$8=1),founding_capital,0)</f>
        <v>0</v>
      </c>
      <c r="P13" s="62">
        <f>IF(AND(P$7=1,P$8=1),founding_capital,0)</f>
        <v>0</v>
      </c>
      <c r="Q13" s="62">
        <f>IF(AND(Q$7=1,Q$8=1),founding_capital,0)</f>
        <v>0</v>
      </c>
      <c r="R13" s="62">
        <f>IF(AND(R$7=1,R$8=1),founding_capital,0)</f>
        <v>0</v>
      </c>
      <c r="S13" s="62">
        <f>IF(AND(S$7=1,S$8=1),founding_capital,0)</f>
        <v>0</v>
      </c>
      <c r="T13" s="62">
        <f>IF(AND(T$7=1,T$8=1),founding_capital,0)</f>
        <v>0</v>
      </c>
      <c r="U13" s="62">
        <f>IF(AND(U$7=1,U$8=1),founding_capital,0)</f>
        <v>0</v>
      </c>
      <c r="V13" s="62">
        <f>IF(AND(V$7=1,V$8=1),founding_capital,0)</f>
        <v>0</v>
      </c>
      <c r="W13" s="62">
        <f>IF(AND(W$7=1,W$8=1),founding_capital,0)</f>
        <v>0</v>
      </c>
      <c r="X13" s="62">
        <f>IF(AND(X$7=1,X$8=1),founding_capital,0)</f>
        <v>0</v>
      </c>
      <c r="Y13" s="62">
        <f>IF(AND(Y$7=1,Y$8=1),founding_capital,0)</f>
        <v>0</v>
      </c>
      <c r="Z13" s="62">
        <f>IF(AND(Z$7=1,Z$8=1),founding_capital,0)</f>
        <v>0</v>
      </c>
      <c r="AA13" s="62">
        <f>IF(AND(AA$7=1,AA$8=1),founding_capital,0)</f>
        <v>0</v>
      </c>
      <c r="AB13" s="62">
        <f>IF(AND(AB$7=1,AB$8=1),founding_capital,0)</f>
        <v>0</v>
      </c>
      <c r="AC13" s="62">
        <f>IF(AND(AC$7=1,AC$8=1),founding_capital,0)</f>
        <v>0</v>
      </c>
      <c r="AD13" s="62">
        <f>IF(AND(AD$7=1,AD$8=1),founding_capital,0)</f>
        <v>0</v>
      </c>
      <c r="AE13" s="62">
        <f>IF(AND(AE$7=1,AE$8=1),founding_capital,0)</f>
        <v>0</v>
      </c>
      <c r="AF13" s="62">
        <f>IF(AND(AF$7=1,AF$8=1),founding_capital,0)</f>
        <v>0</v>
      </c>
      <c r="AG13" s="62">
        <f>IF(AND(AG$7=1,AG$8=1),founding_capital,0)</f>
        <v>0</v>
      </c>
      <c r="AH13" s="62">
        <f>IF(AND(AH$7=1,AH$8=1),founding_capital,0)</f>
        <v>0</v>
      </c>
      <c r="AI13" s="62">
        <f>IF(AND(AI$7=1,AI$8=1),founding_capital,0)</f>
        <v>0</v>
      </c>
      <c r="AJ13" s="62">
        <f>IF(AND(AJ$7=1,AJ$8=1),founding_capital,0)</f>
        <v>0</v>
      </c>
      <c r="AK13" s="62">
        <f>IF(AND(AK$7=1,AK$8=1),founding_capital,0)</f>
        <v>0</v>
      </c>
      <c r="AL13" s="62">
        <f>IF(AND(AL$7=1,AL$8=1),founding_capital,0)</f>
        <v>0</v>
      </c>
      <c r="AM13" s="62">
        <f>IF(AND(AM$7=1,AM$8=1),founding_capital,0)</f>
        <v>0</v>
      </c>
      <c r="AN13" s="62">
        <f>IF(AND(AN$7=1,AN$8=1),founding_capital,0)</f>
        <v>0</v>
      </c>
      <c r="AO13" s="62">
        <f>IF(AND(AO$7=1,AO$8=1),founding_capital,0)</f>
        <v>0</v>
      </c>
      <c r="AP13" s="62">
        <f>IF(AND(AP$7=1,AP$8=1),founding_capital,0)</f>
        <v>0</v>
      </c>
      <c r="AQ13" s="62">
        <f>IF(AND(AQ$7=1,AQ$8=1),founding_capital,0)</f>
        <v>0</v>
      </c>
      <c r="AR13" s="62">
        <f>IF(AND(AR$7=1,AR$8=1),founding_capital,0)</f>
        <v>0</v>
      </c>
      <c r="AS13" s="62">
        <f>IF(AND(AS$7=1,AS$8=1),founding_capital,0)</f>
        <v>0</v>
      </c>
      <c r="AT13" s="62">
        <f>IF(AND(AT$7=1,AT$8=1),founding_capital,0)</f>
        <v>0</v>
      </c>
      <c r="AU13" s="62">
        <f>IF(AND(AU$7=1,AU$8=1),founding_capital,0)</f>
        <v>0</v>
      </c>
      <c r="AV13" s="62">
        <f>IF(AND(AV$7=1,AV$8=1),founding_capital,0)</f>
        <v>0</v>
      </c>
      <c r="AW13" s="62">
        <f>IF(AND(AW$7=1,AW$8=1),founding_capital,0)</f>
        <v>0</v>
      </c>
      <c r="AX13" s="62">
        <f>IF(AND(AX$7=1,AX$8=1),founding_capital,0)</f>
        <v>0</v>
      </c>
      <c r="AY13" s="62">
        <f>IF(AND(AY$7=1,AY$8=1),founding_capital,0)</f>
        <v>0</v>
      </c>
      <c r="AZ13" s="62">
        <f>IF(AND(AZ$7=1,AZ$8=1),founding_capital,0)</f>
        <v>0</v>
      </c>
      <c r="BA13" s="62">
        <f>IF(AND(BA$7=1,BA$8=1),founding_capital,0)</f>
        <v>0</v>
      </c>
      <c r="BB13" s="62">
        <f>IF(AND(BB$7=1,BB$8=1),founding_capital,0)</f>
        <v>0</v>
      </c>
      <c r="BC13" s="62">
        <f>IF(AND(BC$7=1,BC$8=1),founding_capital,0)</f>
        <v>0</v>
      </c>
      <c r="BD13" s="62">
        <f>IF(AND(BD$7=1,BD$8=1),founding_capital,0)</f>
        <v>0</v>
      </c>
      <c r="BE13" s="62">
        <f>IF(AND(BE$7=1,BE$8=1),founding_capital,0)</f>
        <v>0</v>
      </c>
      <c r="BF13" s="62">
        <f>IF(AND(BF$7=1,BF$8=1),founding_capital,0)</f>
        <v>0</v>
      </c>
      <c r="BG13" s="62">
        <f>IF(AND(BG$7=1,BG$8=1),founding_capital,0)</f>
        <v>0</v>
      </c>
      <c r="BH13" s="62">
        <f>IF(AND(BH$7=1,BH$8=1),founding_capital,0)</f>
        <v>0</v>
      </c>
      <c r="BI13" s="62">
        <f>IF(AND(BI$7=1,BI$8=1),founding_capital,0)</f>
        <v>0</v>
      </c>
      <c r="BJ13" s="62">
        <f>IF(AND(BJ$7=1,BJ$8=1),founding_capital,0)</f>
        <v>0</v>
      </c>
      <c r="BK13" s="62">
        <f>IF(AND(BK$7=1,BK$8=1),founding_capital,0)</f>
        <v>0</v>
      </c>
    </row>
    <row r="14" spans="1:63" x14ac:dyDescent="0.3">
      <c r="A14" t="s">
        <v>389</v>
      </c>
      <c r="B14" t="s">
        <v>48</v>
      </c>
      <c r="D14" s="62" cm="1">
        <f t="array" ref="D14">IF(D$8=acq_month,INDEX('Financial Statements'!$D$56:$BA$56,D$7),0)</f>
        <v>0</v>
      </c>
      <c r="E14" s="62" cm="1">
        <f t="array" ref="E14">IF(E$8=acq_month,INDEX('Financial Statements'!$D$56:$BA$56,E$7),0)</f>
        <v>0</v>
      </c>
      <c r="F14" s="62" cm="1">
        <f t="array" ref="F14">IF(F$8=acq_month,INDEX('Financial Statements'!$D$56:$BA$56,F$7),0)</f>
        <v>0</v>
      </c>
      <c r="G14" s="62" cm="1">
        <f t="array" ref="G14">IF(G$8=acq_month,INDEX('Financial Statements'!$D$56:$BA$56,G$7),0)</f>
        <v>0</v>
      </c>
      <c r="H14" s="62" cm="1">
        <f t="array" ref="H14">IF(H$8=acq_month,INDEX('Financial Statements'!$D$56:$BA$56,H$7),0)</f>
        <v>0</v>
      </c>
      <c r="I14" s="62" cm="1">
        <f t="array" ref="I14">IF(I$8=acq_month,INDEX('Financial Statements'!$D$56:$BA$56,I$7),0)</f>
        <v>0</v>
      </c>
      <c r="J14" s="62" cm="1">
        <f t="array" ref="J14">IF(J$8=acq_month,INDEX('Financial Statements'!$D$56:$BA$56,J$7),0)</f>
        <v>0</v>
      </c>
      <c r="K14" s="62" cm="1">
        <f t="array" ref="K14">IF(K$8=acq_month,INDEX('Financial Statements'!$D$56:$BA$56,K$7),0)</f>
        <v>0</v>
      </c>
      <c r="L14" s="62" cm="1">
        <f t="array" ref="L14">IF(L$8=acq_month,INDEX('Financial Statements'!$D$56:$BA$56,L$7),0)</f>
        <v>0</v>
      </c>
      <c r="M14" s="62" cm="1">
        <f t="array" ref="M14">IF(M$8=acq_month,INDEX('Financial Statements'!$D$56:$BA$56,M$7),0)</f>
        <v>0</v>
      </c>
      <c r="N14" s="62" cm="1">
        <f t="array" ref="N14">IF(N$8=acq_month,INDEX('Financial Statements'!$D$56:$BA$56,N$7),0)</f>
        <v>0</v>
      </c>
      <c r="O14" s="62" cm="1">
        <f t="array" aca="1" ref="O14" ca="1">IF(O$8=acq_month,INDEX('Financial Statements'!$D$56:$BA$56,O$7),0)</f>
        <v>53300</v>
      </c>
      <c r="P14" s="62" cm="1">
        <f t="array" ref="P14">IF(P$8=acq_month,INDEX('Financial Statements'!$D$56:$BA$56,P$7),0)</f>
        <v>0</v>
      </c>
      <c r="Q14" s="62" cm="1">
        <f t="array" ref="Q14">IF(Q$8=acq_month,INDEX('Financial Statements'!$D$56:$BA$56,Q$7),0)</f>
        <v>0</v>
      </c>
      <c r="R14" s="62" cm="1">
        <f t="array" ref="R14">IF(R$8=acq_month,INDEX('Financial Statements'!$D$56:$BA$56,R$7),0)</f>
        <v>0</v>
      </c>
      <c r="S14" s="62" cm="1">
        <f t="array" ref="S14">IF(S$8=acq_month,INDEX('Financial Statements'!$D$56:$BA$56,S$7),0)</f>
        <v>0</v>
      </c>
      <c r="T14" s="62" cm="1">
        <f t="array" ref="T14">IF(T$8=acq_month,INDEX('Financial Statements'!$D$56:$BA$56,T$7),0)</f>
        <v>0</v>
      </c>
      <c r="U14" s="62" cm="1">
        <f t="array" ref="U14">IF(U$8=acq_month,INDEX('Financial Statements'!$D$56:$BA$56,U$7),0)</f>
        <v>0</v>
      </c>
      <c r="V14" s="62" cm="1">
        <f t="array" ref="V14">IF(V$8=acq_month,INDEX('Financial Statements'!$D$56:$BA$56,V$7),0)</f>
        <v>0</v>
      </c>
      <c r="W14" s="62" cm="1">
        <f t="array" ref="W14">IF(W$8=acq_month,INDEX('Financial Statements'!$D$56:$BA$56,W$7),0)</f>
        <v>0</v>
      </c>
      <c r="X14" s="62" cm="1">
        <f t="array" ref="X14">IF(X$8=acq_month,INDEX('Financial Statements'!$D$56:$BA$56,X$7),0)</f>
        <v>0</v>
      </c>
      <c r="Y14" s="62" cm="1">
        <f t="array" ref="Y14">IF(Y$8=acq_month,INDEX('Financial Statements'!$D$56:$BA$56,Y$7),0)</f>
        <v>0</v>
      </c>
      <c r="Z14" s="62" cm="1">
        <f t="array" ref="Z14">IF(Z$8=acq_month,INDEX('Financial Statements'!$D$56:$BA$56,Z$7),0)</f>
        <v>0</v>
      </c>
      <c r="AA14" s="62" cm="1">
        <f t="array" aca="1" ref="AA14" ca="1">IF(AA$8=acq_month,INDEX('Financial Statements'!$D$56:$BA$56,AA$7),0)</f>
        <v>410804.2109375</v>
      </c>
      <c r="AB14" s="62" cm="1">
        <f t="array" ref="AB14">IF(AB$8=acq_month,INDEX('Financial Statements'!$D$56:$BA$56,AB$7),0)</f>
        <v>0</v>
      </c>
      <c r="AC14" s="62" cm="1">
        <f t="array" ref="AC14">IF(AC$8=acq_month,INDEX('Financial Statements'!$D$56:$BA$56,AC$7),0)</f>
        <v>0</v>
      </c>
      <c r="AD14" s="62" cm="1">
        <f t="array" ref="AD14">IF(AD$8=acq_month,INDEX('Financial Statements'!$D$56:$BA$56,AD$7),0)</f>
        <v>0</v>
      </c>
      <c r="AE14" s="62" cm="1">
        <f t="array" ref="AE14">IF(AE$8=acq_month,INDEX('Financial Statements'!$D$56:$BA$56,AE$7),0)</f>
        <v>0</v>
      </c>
      <c r="AF14" s="62" cm="1">
        <f t="array" ref="AF14">IF(AF$8=acq_month,INDEX('Financial Statements'!$D$56:$BA$56,AF$7),0)</f>
        <v>0</v>
      </c>
      <c r="AG14" s="62" cm="1">
        <f t="array" ref="AG14">IF(AG$8=acq_month,INDEX('Financial Statements'!$D$56:$BA$56,AG$7),0)</f>
        <v>0</v>
      </c>
      <c r="AH14" s="62" cm="1">
        <f t="array" ref="AH14">IF(AH$8=acq_month,INDEX('Financial Statements'!$D$56:$BA$56,AH$7),0)</f>
        <v>0</v>
      </c>
      <c r="AI14" s="62" cm="1">
        <f t="array" ref="AI14">IF(AI$8=acq_month,INDEX('Financial Statements'!$D$56:$BA$56,AI$7),0)</f>
        <v>0</v>
      </c>
      <c r="AJ14" s="62" cm="1">
        <f t="array" ref="AJ14">IF(AJ$8=acq_month,INDEX('Financial Statements'!$D$56:$BA$56,AJ$7),0)</f>
        <v>0</v>
      </c>
      <c r="AK14" s="62" cm="1">
        <f t="array" ref="AK14">IF(AK$8=acq_month,INDEX('Financial Statements'!$D$56:$BA$56,AK$7),0)</f>
        <v>0</v>
      </c>
      <c r="AL14" s="62" cm="1">
        <f t="array" ref="AL14">IF(AL$8=acq_month,INDEX('Financial Statements'!$D$56:$BA$56,AL$7),0)</f>
        <v>0</v>
      </c>
      <c r="AM14" s="62" cm="1">
        <f t="array" aca="1" ref="AM14" ca="1">IF(AM$8=acq_month,INDEX('Financial Statements'!$D$56:$BA$56,AM$7),0)</f>
        <v>688284.34906555153</v>
      </c>
      <c r="AN14" s="62" cm="1">
        <f t="array" ref="AN14">IF(AN$8=acq_month,INDEX('Financial Statements'!$D$56:$BA$56,AN$7),0)</f>
        <v>0</v>
      </c>
      <c r="AO14" s="62" cm="1">
        <f t="array" ref="AO14">IF(AO$8=acq_month,INDEX('Financial Statements'!$D$56:$BA$56,AO$7),0)</f>
        <v>0</v>
      </c>
      <c r="AP14" s="62" cm="1">
        <f t="array" ref="AP14">IF(AP$8=acq_month,INDEX('Financial Statements'!$D$56:$BA$56,AP$7),0)</f>
        <v>0</v>
      </c>
      <c r="AQ14" s="62" cm="1">
        <f t="array" ref="AQ14">IF(AQ$8=acq_month,INDEX('Financial Statements'!$D$56:$BA$56,AQ$7),0)</f>
        <v>0</v>
      </c>
      <c r="AR14" s="62" cm="1">
        <f t="array" ref="AR14">IF(AR$8=acq_month,INDEX('Financial Statements'!$D$56:$BA$56,AR$7),0)</f>
        <v>0</v>
      </c>
      <c r="AS14" s="62" cm="1">
        <f t="array" ref="AS14">IF(AS$8=acq_month,INDEX('Financial Statements'!$D$56:$BA$56,AS$7),0)</f>
        <v>0</v>
      </c>
      <c r="AT14" s="62" cm="1">
        <f t="array" ref="AT14">IF(AT$8=acq_month,INDEX('Financial Statements'!$D$56:$BA$56,AT$7),0)</f>
        <v>0</v>
      </c>
      <c r="AU14" s="62" cm="1">
        <f t="array" ref="AU14">IF(AU$8=acq_month,INDEX('Financial Statements'!$D$56:$BA$56,AU$7),0)</f>
        <v>0</v>
      </c>
      <c r="AV14" s="62" cm="1">
        <f t="array" ref="AV14">IF(AV$8=acq_month,INDEX('Financial Statements'!$D$56:$BA$56,AV$7),0)</f>
        <v>0</v>
      </c>
      <c r="AW14" s="62" cm="1">
        <f t="array" ref="AW14">IF(AW$8=acq_month,INDEX('Financial Statements'!$D$56:$BA$56,AW$7),0)</f>
        <v>0</v>
      </c>
      <c r="AX14" s="62" cm="1">
        <f t="array" ref="AX14">IF(AX$8=acq_month,INDEX('Financial Statements'!$D$56:$BA$56,AX$7),0)</f>
        <v>0</v>
      </c>
      <c r="AY14" s="62" cm="1">
        <f t="array" aca="1" ref="AY14" ca="1">IF(AY$8=acq_month,INDEX('Financial Statements'!$D$56:$BA$56,AY$7),0)</f>
        <v>666160.55545675848</v>
      </c>
      <c r="AZ14" s="62" cm="1">
        <f t="array" ref="AZ14">IF(AZ$8=acq_month,INDEX('Financial Statements'!$D$56:$BA$56,AZ$7),0)</f>
        <v>0</v>
      </c>
      <c r="BA14" s="62" cm="1">
        <f t="array" ref="BA14">IF(BA$8=acq_month,INDEX('Financial Statements'!$D$56:$BA$56,BA$7),0)</f>
        <v>0</v>
      </c>
      <c r="BB14" s="62" cm="1">
        <f t="array" ref="BB14">IF(BB$8=acq_month,INDEX('Financial Statements'!$D$56:$BA$56,BB$7),0)</f>
        <v>0</v>
      </c>
      <c r="BC14" s="62" cm="1">
        <f t="array" ref="BC14">IF(BC$8=acq_month,INDEX('Financial Statements'!$D$56:$BA$56,BC$7),0)</f>
        <v>0</v>
      </c>
      <c r="BD14" s="62" cm="1">
        <f t="array" ref="BD14">IF(BD$8=acq_month,INDEX('Financial Statements'!$D$56:$BA$56,BD$7),0)</f>
        <v>0</v>
      </c>
      <c r="BE14" s="62" cm="1">
        <f t="array" ref="BE14">IF(BE$8=acq_month,INDEX('Financial Statements'!$D$56:$BA$56,BE$7),0)</f>
        <v>0</v>
      </c>
      <c r="BF14" s="62" cm="1">
        <f t="array" ref="BF14">IF(BF$8=acq_month,INDEX('Financial Statements'!$D$56:$BA$56,BF$7),0)</f>
        <v>0</v>
      </c>
      <c r="BG14" s="62" cm="1">
        <f t="array" ref="BG14">IF(BG$8=acq_month,INDEX('Financial Statements'!$D$56:$BA$56,BG$7),0)</f>
        <v>0</v>
      </c>
      <c r="BH14" s="62" cm="1">
        <f t="array" ref="BH14">IF(BH$8=acq_month,INDEX('Financial Statements'!$D$56:$BA$56,BH$7),0)</f>
        <v>0</v>
      </c>
      <c r="BI14" s="62" cm="1">
        <f t="array" ref="BI14">IF(BI$8=acq_month,INDEX('Financial Statements'!$D$56:$BA$56,BI$7),0)</f>
        <v>0</v>
      </c>
      <c r="BJ14" s="62" cm="1">
        <f t="array" ref="BJ14">IF(BJ$8=acq_month,INDEX('Financial Statements'!$D$56:$BA$56,BJ$7),0)</f>
        <v>0</v>
      </c>
      <c r="BK14" s="62" cm="1">
        <f t="array" aca="1" ref="BK14" ca="1">IF(BK$8=acq_month,INDEX('Financial Statements'!$D$56:$BA$56,BK$7),0)</f>
        <v>724453.84109581087</v>
      </c>
    </row>
    <row r="15" spans="1:63" x14ac:dyDescent="0.3">
      <c r="A15" t="s">
        <v>258</v>
      </c>
      <c r="B15" t="s">
        <v>48</v>
      </c>
      <c r="D15" s="62" cm="1">
        <f t="array" ref="D15">INDEX('Financial Statements'!$D$57:$BA$57,D$7)/12</f>
        <v>0</v>
      </c>
      <c r="E15" s="62" cm="1">
        <f t="array" ref="E15">INDEX('Financial Statements'!$D$57:$BA$57,E$7)/12</f>
        <v>0</v>
      </c>
      <c r="F15" s="62" cm="1">
        <f t="array" ref="F15">INDEX('Financial Statements'!$D$57:$BA$57,F$7)/12</f>
        <v>0</v>
      </c>
      <c r="G15" s="62" cm="1">
        <f t="array" ref="G15">INDEX('Financial Statements'!$D$57:$BA$57,G$7)/12</f>
        <v>0</v>
      </c>
      <c r="H15" s="62" cm="1">
        <f t="array" ref="H15">INDEX('Financial Statements'!$D$57:$BA$57,H$7)/12</f>
        <v>0</v>
      </c>
      <c r="I15" s="62" cm="1">
        <f t="array" ref="I15">INDEX('Financial Statements'!$D$57:$BA$57,I$7)/12</f>
        <v>0</v>
      </c>
      <c r="J15" s="62" cm="1">
        <f t="array" ref="J15">INDEX('Financial Statements'!$D$57:$BA$57,J$7)/12</f>
        <v>0</v>
      </c>
      <c r="K15" s="62" cm="1">
        <f t="array" ref="K15">INDEX('Financial Statements'!$D$57:$BA$57,K$7)/12</f>
        <v>0</v>
      </c>
      <c r="L15" s="62" cm="1">
        <f t="array" ref="L15">INDEX('Financial Statements'!$D$57:$BA$57,L$7)/12</f>
        <v>0</v>
      </c>
      <c r="M15" s="62" cm="1">
        <f t="array" ref="M15">INDEX('Financial Statements'!$D$57:$BA$57,M$7)/12</f>
        <v>0</v>
      </c>
      <c r="N15" s="62" cm="1">
        <f t="array" ref="N15">INDEX('Financial Statements'!$D$57:$BA$57,N$7)/12</f>
        <v>0</v>
      </c>
      <c r="O15" s="62" cm="1">
        <f t="array" ref="O15">INDEX('Financial Statements'!$D$57:$BA$57,O$7)/12</f>
        <v>0</v>
      </c>
      <c r="P15" s="62" cm="1">
        <f t="array" aca="1" ref="P15" ca="1">INDEX('Financial Statements'!$D$57:$BA$57,P$7)/12</f>
        <v>6408.841145833333</v>
      </c>
      <c r="Q15" s="62" cm="1">
        <f t="array" aca="1" ref="Q15" ca="1">INDEX('Financial Statements'!$D$57:$BA$57,Q$7)/12</f>
        <v>6408.841145833333</v>
      </c>
      <c r="R15" s="62" cm="1">
        <f t="array" aca="1" ref="R15" ca="1">INDEX('Financial Statements'!$D$57:$BA$57,R$7)/12</f>
        <v>6408.841145833333</v>
      </c>
      <c r="S15" s="62" cm="1">
        <f t="array" aca="1" ref="S15" ca="1">INDEX('Financial Statements'!$D$57:$BA$57,S$7)/12</f>
        <v>6408.841145833333</v>
      </c>
      <c r="T15" s="62" cm="1">
        <f t="array" aca="1" ref="T15" ca="1">INDEX('Financial Statements'!$D$57:$BA$57,T$7)/12</f>
        <v>6408.841145833333</v>
      </c>
      <c r="U15" s="62" cm="1">
        <f t="array" aca="1" ref="U15" ca="1">INDEX('Financial Statements'!$D$57:$BA$57,U$7)/12</f>
        <v>6408.841145833333</v>
      </c>
      <c r="V15" s="62" cm="1">
        <f t="array" aca="1" ref="V15" ca="1">INDEX('Financial Statements'!$D$57:$BA$57,V$7)/12</f>
        <v>6408.841145833333</v>
      </c>
      <c r="W15" s="62" cm="1">
        <f t="array" aca="1" ref="W15" ca="1">INDEX('Financial Statements'!$D$57:$BA$57,W$7)/12</f>
        <v>6408.841145833333</v>
      </c>
      <c r="X15" s="62" cm="1">
        <f t="array" aca="1" ref="X15" ca="1">INDEX('Financial Statements'!$D$57:$BA$57,X$7)/12</f>
        <v>6408.841145833333</v>
      </c>
      <c r="Y15" s="62" cm="1">
        <f t="array" aca="1" ref="Y15" ca="1">INDEX('Financial Statements'!$D$57:$BA$57,Y$7)/12</f>
        <v>6408.841145833333</v>
      </c>
      <c r="Z15" s="62" cm="1">
        <f t="array" aca="1" ref="Z15" ca="1">INDEX('Financial Statements'!$D$57:$BA$57,Z$7)/12</f>
        <v>6408.841145833333</v>
      </c>
      <c r="AA15" s="62" cm="1">
        <f t="array" aca="1" ref="AA15" ca="1">INDEX('Financial Statements'!$D$57:$BA$57,AA$7)/12</f>
        <v>6408.841145833333</v>
      </c>
      <c r="AB15" s="62" cm="1">
        <f t="array" aca="1" ref="AB15" ca="1">INDEX('Financial Statements'!$D$57:$BA$57,AB$7)/12</f>
        <v>10713.724862670899</v>
      </c>
      <c r="AC15" s="62" cm="1">
        <f t="array" aca="1" ref="AC15" ca="1">INDEX('Financial Statements'!$D$57:$BA$57,AC$7)/12</f>
        <v>10713.724862670899</v>
      </c>
      <c r="AD15" s="62" cm="1">
        <f t="array" aca="1" ref="AD15" ca="1">INDEX('Financial Statements'!$D$57:$BA$57,AD$7)/12</f>
        <v>10713.724862670899</v>
      </c>
      <c r="AE15" s="62" cm="1">
        <f t="array" aca="1" ref="AE15" ca="1">INDEX('Financial Statements'!$D$57:$BA$57,AE$7)/12</f>
        <v>10713.724862670899</v>
      </c>
      <c r="AF15" s="62" cm="1">
        <f t="array" aca="1" ref="AF15" ca="1">INDEX('Financial Statements'!$D$57:$BA$57,AF$7)/12</f>
        <v>10713.724862670899</v>
      </c>
      <c r="AG15" s="62" cm="1">
        <f t="array" aca="1" ref="AG15" ca="1">INDEX('Financial Statements'!$D$57:$BA$57,AG$7)/12</f>
        <v>10713.724862670899</v>
      </c>
      <c r="AH15" s="62" cm="1">
        <f t="array" aca="1" ref="AH15" ca="1">INDEX('Financial Statements'!$D$57:$BA$57,AH$7)/12</f>
        <v>10713.724862670899</v>
      </c>
      <c r="AI15" s="62" cm="1">
        <f t="array" aca="1" ref="AI15" ca="1">INDEX('Financial Statements'!$D$57:$BA$57,AI$7)/12</f>
        <v>10713.724862670899</v>
      </c>
      <c r="AJ15" s="62" cm="1">
        <f t="array" aca="1" ref="AJ15" ca="1">INDEX('Financial Statements'!$D$57:$BA$57,AJ$7)/12</f>
        <v>10713.724862670899</v>
      </c>
      <c r="AK15" s="62" cm="1">
        <f t="array" aca="1" ref="AK15" ca="1">INDEX('Financial Statements'!$D$57:$BA$57,AK$7)/12</f>
        <v>10713.724862670899</v>
      </c>
      <c r="AL15" s="62" cm="1">
        <f t="array" aca="1" ref="AL15" ca="1">INDEX('Financial Statements'!$D$57:$BA$57,AL$7)/12</f>
        <v>10713.724862670899</v>
      </c>
      <c r="AM15" s="62" cm="1">
        <f t="array" aca="1" ref="AM15" ca="1">INDEX('Financial Statements'!$D$57:$BA$57,AM$7)/12</f>
        <v>10713.724862670899</v>
      </c>
      <c r="AN15" s="62" cm="1">
        <f t="array" aca="1" ref="AN15" ca="1">INDEX('Financial Statements'!$D$57:$BA$57,AN$7)/12</f>
        <v>16483.60449234827</v>
      </c>
      <c r="AO15" s="62" cm="1">
        <f t="array" aca="1" ref="AO15" ca="1">INDEX('Financial Statements'!$D$57:$BA$57,AO$7)/12</f>
        <v>16483.60449234827</v>
      </c>
      <c r="AP15" s="62" cm="1">
        <f t="array" aca="1" ref="AP15" ca="1">INDEX('Financial Statements'!$D$57:$BA$57,AP$7)/12</f>
        <v>16483.60449234827</v>
      </c>
      <c r="AQ15" s="62" cm="1">
        <f t="array" aca="1" ref="AQ15" ca="1">INDEX('Financial Statements'!$D$57:$BA$57,AQ$7)/12</f>
        <v>16483.60449234827</v>
      </c>
      <c r="AR15" s="62" cm="1">
        <f t="array" aca="1" ref="AR15" ca="1">INDEX('Financial Statements'!$D$57:$BA$57,AR$7)/12</f>
        <v>16483.60449234827</v>
      </c>
      <c r="AS15" s="62" cm="1">
        <f t="array" aca="1" ref="AS15" ca="1">INDEX('Financial Statements'!$D$57:$BA$57,AS$7)/12</f>
        <v>16483.60449234827</v>
      </c>
      <c r="AT15" s="62" cm="1">
        <f t="array" aca="1" ref="AT15" ca="1">INDEX('Financial Statements'!$D$57:$BA$57,AT$7)/12</f>
        <v>16483.60449234827</v>
      </c>
      <c r="AU15" s="62" cm="1">
        <f t="array" aca="1" ref="AU15" ca="1">INDEX('Financial Statements'!$D$57:$BA$57,AU$7)/12</f>
        <v>16483.60449234827</v>
      </c>
      <c r="AV15" s="62" cm="1">
        <f t="array" aca="1" ref="AV15" ca="1">INDEX('Financial Statements'!$D$57:$BA$57,AV$7)/12</f>
        <v>16483.60449234827</v>
      </c>
      <c r="AW15" s="62" cm="1">
        <f t="array" aca="1" ref="AW15" ca="1">INDEX('Financial Statements'!$D$57:$BA$57,AW$7)/12</f>
        <v>16483.60449234827</v>
      </c>
      <c r="AX15" s="62" cm="1">
        <f t="array" aca="1" ref="AX15" ca="1">INDEX('Financial Statements'!$D$57:$BA$57,AX$7)/12</f>
        <v>16483.60449234827</v>
      </c>
      <c r="AY15" s="62" cm="1">
        <f t="array" aca="1" ref="AY15" ca="1">INDEX('Financial Statements'!$D$57:$BA$57,AY$7)/12</f>
        <v>16483.60449234827</v>
      </c>
      <c r="AZ15" s="62" cm="1">
        <f t="array" aca="1" ref="AZ15" ca="1">INDEX('Financial Statements'!$D$57:$BA$57,AZ$7)/12</f>
        <v>16232.094779223082</v>
      </c>
      <c r="BA15" s="62" cm="1">
        <f t="array" aca="1" ref="BA15" ca="1">INDEX('Financial Statements'!$D$57:$BA$57,BA$7)/12</f>
        <v>16232.094779223082</v>
      </c>
      <c r="BB15" s="62" cm="1">
        <f t="array" aca="1" ref="BB15" ca="1">INDEX('Financial Statements'!$D$57:$BA$57,BB$7)/12</f>
        <v>16232.094779223082</v>
      </c>
      <c r="BC15" s="62" cm="1">
        <f t="array" aca="1" ref="BC15" ca="1">INDEX('Financial Statements'!$D$57:$BA$57,BC$7)/12</f>
        <v>16232.094779223082</v>
      </c>
      <c r="BD15" s="62" cm="1">
        <f t="array" aca="1" ref="BD15" ca="1">INDEX('Financial Statements'!$D$57:$BA$57,BD$7)/12</f>
        <v>16232.094779223082</v>
      </c>
      <c r="BE15" s="62" cm="1">
        <f t="array" aca="1" ref="BE15" ca="1">INDEX('Financial Statements'!$D$57:$BA$57,BE$7)/12</f>
        <v>16232.094779223082</v>
      </c>
      <c r="BF15" s="62" cm="1">
        <f t="array" aca="1" ref="BF15" ca="1">INDEX('Financial Statements'!$D$57:$BA$57,BF$7)/12</f>
        <v>16232.094779223082</v>
      </c>
      <c r="BG15" s="62" cm="1">
        <f t="array" aca="1" ref="BG15" ca="1">INDEX('Financial Statements'!$D$57:$BA$57,BG$7)/12</f>
        <v>16232.094779223082</v>
      </c>
      <c r="BH15" s="62" cm="1">
        <f t="array" aca="1" ref="BH15" ca="1">INDEX('Financial Statements'!$D$57:$BA$57,BH$7)/12</f>
        <v>16232.094779223082</v>
      </c>
      <c r="BI15" s="62" cm="1">
        <f t="array" aca="1" ref="BI15" ca="1">INDEX('Financial Statements'!$D$57:$BA$57,BI$7)/12</f>
        <v>16232.094779223082</v>
      </c>
      <c r="BJ15" s="62" cm="1">
        <f t="array" aca="1" ref="BJ15" ca="1">INDEX('Financial Statements'!$D$57:$BA$57,BJ$7)/12</f>
        <v>16232.094779223082</v>
      </c>
      <c r="BK15" s="62" cm="1">
        <f t="array" aca="1" ref="BK15" ca="1">INDEX('Financial Statements'!$D$57:$BA$57,BK$7)/12</f>
        <v>16232.094779223082</v>
      </c>
    </row>
    <row r="17" spans="1:63" x14ac:dyDescent="0.3">
      <c r="A17" s="37" t="s">
        <v>390</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row>
    <row r="18" spans="1:63" x14ac:dyDescent="0.3">
      <c r="A18" t="s">
        <v>224</v>
      </c>
      <c r="B18" t="s">
        <v>48</v>
      </c>
      <c r="D18" s="62" cm="1">
        <f t="array" aca="1" ref="D18" ca="1">INDEX('Financial Statements'!$D$14:$BA$14,D$7)/12</f>
        <v>-470.83333333333331</v>
      </c>
      <c r="E18" s="62" cm="1">
        <f t="array" aca="1" ref="E18" ca="1">INDEX('Financial Statements'!$D$14:$BA$14,E$7)/12</f>
        <v>-470.83333333333331</v>
      </c>
      <c r="F18" s="62" cm="1">
        <f t="array" aca="1" ref="F18" ca="1">INDEX('Financial Statements'!$D$14:$BA$14,F$7)/12</f>
        <v>-470.83333333333331</v>
      </c>
      <c r="G18" s="62" cm="1">
        <f t="array" aca="1" ref="G18" ca="1">INDEX('Financial Statements'!$D$14:$BA$14,G$7)/12</f>
        <v>-470.83333333333331</v>
      </c>
      <c r="H18" s="62" cm="1">
        <f t="array" aca="1" ref="H18" ca="1">INDEX('Financial Statements'!$D$14:$BA$14,H$7)/12</f>
        <v>-470.83333333333331</v>
      </c>
      <c r="I18" s="62" cm="1">
        <f t="array" aca="1" ref="I18" ca="1">INDEX('Financial Statements'!$D$14:$BA$14,I$7)/12</f>
        <v>-470.83333333333331</v>
      </c>
      <c r="J18" s="62" cm="1">
        <f t="array" aca="1" ref="J18" ca="1">INDEX('Financial Statements'!$D$14:$BA$14,J$7)/12</f>
        <v>-470.83333333333331</v>
      </c>
      <c r="K18" s="62" cm="1">
        <f t="array" aca="1" ref="K18" ca="1">INDEX('Financial Statements'!$D$14:$BA$14,K$7)/12</f>
        <v>-470.83333333333331</v>
      </c>
      <c r="L18" s="62" cm="1">
        <f t="array" aca="1" ref="L18" ca="1">INDEX('Financial Statements'!$D$14:$BA$14,L$7)/12</f>
        <v>-470.83333333333331</v>
      </c>
      <c r="M18" s="62" cm="1">
        <f t="array" aca="1" ref="M18" ca="1">INDEX('Financial Statements'!$D$14:$BA$14,M$7)/12</f>
        <v>-470.83333333333331</v>
      </c>
      <c r="N18" s="62" cm="1">
        <f t="array" aca="1" ref="N18" ca="1">INDEX('Financial Statements'!$D$14:$BA$14,N$7)/12</f>
        <v>-470.83333333333331</v>
      </c>
      <c r="O18" s="62" cm="1">
        <f t="array" aca="1" ref="O18" ca="1">INDEX('Financial Statements'!$D$14:$BA$14,O$7)/12</f>
        <v>-470.83333333333331</v>
      </c>
      <c r="P18" s="62" cm="1">
        <f t="array" aca="1" ref="P18" ca="1">INDEX('Financial Statements'!$D$14:$BA$14,P$7)/12</f>
        <v>-1063.4374999999998</v>
      </c>
      <c r="Q18" s="62" cm="1">
        <f t="array" aca="1" ref="Q18" ca="1">INDEX('Financial Statements'!$D$14:$BA$14,Q$7)/12</f>
        <v>-1063.4374999999998</v>
      </c>
      <c r="R18" s="62" cm="1">
        <f t="array" aca="1" ref="R18" ca="1">INDEX('Financial Statements'!$D$14:$BA$14,R$7)/12</f>
        <v>-1063.4374999999998</v>
      </c>
      <c r="S18" s="62" cm="1">
        <f t="array" aca="1" ref="S18" ca="1">INDEX('Financial Statements'!$D$14:$BA$14,S$7)/12</f>
        <v>-1063.4374999999998</v>
      </c>
      <c r="T18" s="62" cm="1">
        <f t="array" aca="1" ref="T18" ca="1">INDEX('Financial Statements'!$D$14:$BA$14,T$7)/12</f>
        <v>-1063.4374999999998</v>
      </c>
      <c r="U18" s="62" cm="1">
        <f t="array" aca="1" ref="U18" ca="1">INDEX('Financial Statements'!$D$14:$BA$14,U$7)/12</f>
        <v>-1063.4374999999998</v>
      </c>
      <c r="V18" s="62" cm="1">
        <f t="array" aca="1" ref="V18" ca="1">INDEX('Financial Statements'!$D$14:$BA$14,V$7)/12</f>
        <v>-1063.4374999999998</v>
      </c>
      <c r="W18" s="62" cm="1">
        <f t="array" aca="1" ref="W18" ca="1">INDEX('Financial Statements'!$D$14:$BA$14,W$7)/12</f>
        <v>-1063.4374999999998</v>
      </c>
      <c r="X18" s="62" cm="1">
        <f t="array" aca="1" ref="X18" ca="1">INDEX('Financial Statements'!$D$14:$BA$14,X$7)/12</f>
        <v>-1063.4374999999998</v>
      </c>
      <c r="Y18" s="62" cm="1">
        <f t="array" aca="1" ref="Y18" ca="1">INDEX('Financial Statements'!$D$14:$BA$14,Y$7)/12</f>
        <v>-1063.4374999999998</v>
      </c>
      <c r="Z18" s="62" cm="1">
        <f t="array" aca="1" ref="Z18" ca="1">INDEX('Financial Statements'!$D$14:$BA$14,Z$7)/12</f>
        <v>-1063.4374999999998</v>
      </c>
      <c r="AA18" s="62" cm="1">
        <f t="array" aca="1" ref="AA18" ca="1">INDEX('Financial Statements'!$D$14:$BA$14,AA$7)/12</f>
        <v>-1063.4374999999998</v>
      </c>
      <c r="AB18" s="62" cm="1">
        <f t="array" aca="1" ref="AB18" ca="1">INDEX('Financial Statements'!$D$14:$BA$14,AB$7)/12</f>
        <v>-1698.5104166666667</v>
      </c>
      <c r="AC18" s="62" cm="1">
        <f t="array" aca="1" ref="AC18" ca="1">INDEX('Financial Statements'!$D$14:$BA$14,AC$7)/12</f>
        <v>-1698.5104166666667</v>
      </c>
      <c r="AD18" s="62" cm="1">
        <f t="array" aca="1" ref="AD18" ca="1">INDEX('Financial Statements'!$D$14:$BA$14,AD$7)/12</f>
        <v>-1698.5104166666667</v>
      </c>
      <c r="AE18" s="62" cm="1">
        <f t="array" aca="1" ref="AE18" ca="1">INDEX('Financial Statements'!$D$14:$BA$14,AE$7)/12</f>
        <v>-1698.5104166666667</v>
      </c>
      <c r="AF18" s="62" cm="1">
        <f t="array" aca="1" ref="AF18" ca="1">INDEX('Financial Statements'!$D$14:$BA$14,AF$7)/12</f>
        <v>-1698.5104166666667</v>
      </c>
      <c r="AG18" s="62" cm="1">
        <f t="array" aca="1" ref="AG18" ca="1">INDEX('Financial Statements'!$D$14:$BA$14,AG$7)/12</f>
        <v>-1698.5104166666667</v>
      </c>
      <c r="AH18" s="62" cm="1">
        <f t="array" aca="1" ref="AH18" ca="1">INDEX('Financial Statements'!$D$14:$BA$14,AH$7)/12</f>
        <v>-1698.5104166666667</v>
      </c>
      <c r="AI18" s="62" cm="1">
        <f t="array" aca="1" ref="AI18" ca="1">INDEX('Financial Statements'!$D$14:$BA$14,AI$7)/12</f>
        <v>-1698.5104166666667</v>
      </c>
      <c r="AJ18" s="62" cm="1">
        <f t="array" aca="1" ref="AJ18" ca="1">INDEX('Financial Statements'!$D$14:$BA$14,AJ$7)/12</f>
        <v>-1698.5104166666667</v>
      </c>
      <c r="AK18" s="62" cm="1">
        <f t="array" aca="1" ref="AK18" ca="1">INDEX('Financial Statements'!$D$14:$BA$14,AK$7)/12</f>
        <v>-1698.5104166666667</v>
      </c>
      <c r="AL18" s="62" cm="1">
        <f t="array" aca="1" ref="AL18" ca="1">INDEX('Financial Statements'!$D$14:$BA$14,AL$7)/12</f>
        <v>-1698.5104166666667</v>
      </c>
      <c r="AM18" s="62" cm="1">
        <f t="array" aca="1" ref="AM18" ca="1">INDEX('Financial Statements'!$D$14:$BA$14,AM$7)/12</f>
        <v>-1698.5104166666667</v>
      </c>
      <c r="AN18" s="62" cm="1">
        <f t="array" aca="1" ref="AN18" ca="1">INDEX('Financial Statements'!$D$14:$BA$14,AN$7)/12</f>
        <v>-2364.6723307291663</v>
      </c>
      <c r="AO18" s="62" cm="1">
        <f t="array" aca="1" ref="AO18" ca="1">INDEX('Financial Statements'!$D$14:$BA$14,AO$7)/12</f>
        <v>-2364.6723307291663</v>
      </c>
      <c r="AP18" s="62" cm="1">
        <f t="array" aca="1" ref="AP18" ca="1">INDEX('Financial Statements'!$D$14:$BA$14,AP$7)/12</f>
        <v>-2364.6723307291663</v>
      </c>
      <c r="AQ18" s="62" cm="1">
        <f t="array" aca="1" ref="AQ18" ca="1">INDEX('Financial Statements'!$D$14:$BA$14,AQ$7)/12</f>
        <v>-2364.6723307291663</v>
      </c>
      <c r="AR18" s="62" cm="1">
        <f t="array" aca="1" ref="AR18" ca="1">INDEX('Financial Statements'!$D$14:$BA$14,AR$7)/12</f>
        <v>-2364.6723307291663</v>
      </c>
      <c r="AS18" s="62" cm="1">
        <f t="array" aca="1" ref="AS18" ca="1">INDEX('Financial Statements'!$D$14:$BA$14,AS$7)/12</f>
        <v>-2364.6723307291663</v>
      </c>
      <c r="AT18" s="62" cm="1">
        <f t="array" aca="1" ref="AT18" ca="1">INDEX('Financial Statements'!$D$14:$BA$14,AT$7)/12</f>
        <v>-2364.6723307291663</v>
      </c>
      <c r="AU18" s="62" cm="1">
        <f t="array" aca="1" ref="AU18" ca="1">INDEX('Financial Statements'!$D$14:$BA$14,AU$7)/12</f>
        <v>-2364.6723307291663</v>
      </c>
      <c r="AV18" s="62" cm="1">
        <f t="array" aca="1" ref="AV18" ca="1">INDEX('Financial Statements'!$D$14:$BA$14,AV$7)/12</f>
        <v>-2364.6723307291663</v>
      </c>
      <c r="AW18" s="62" cm="1">
        <f t="array" aca="1" ref="AW18" ca="1">INDEX('Financial Statements'!$D$14:$BA$14,AW$7)/12</f>
        <v>-2364.6723307291663</v>
      </c>
      <c r="AX18" s="62" cm="1">
        <f t="array" aca="1" ref="AX18" ca="1">INDEX('Financial Statements'!$D$14:$BA$14,AX$7)/12</f>
        <v>-2364.6723307291663</v>
      </c>
      <c r="AY18" s="62" cm="1">
        <f t="array" aca="1" ref="AY18" ca="1">INDEX('Financial Statements'!$D$14:$BA$14,AY$7)/12</f>
        <v>-2364.6723307291663</v>
      </c>
      <c r="AZ18" s="62" cm="1">
        <f t="array" aca="1" ref="AZ18" ca="1">INDEX('Financial Statements'!$D$14:$BA$14,AZ$7)/12</f>
        <v>-2465.1821223958327</v>
      </c>
      <c r="BA18" s="62" cm="1">
        <f t="array" aca="1" ref="BA18" ca="1">INDEX('Financial Statements'!$D$14:$BA$14,BA$7)/12</f>
        <v>-2465.1821223958327</v>
      </c>
      <c r="BB18" s="62" cm="1">
        <f t="array" aca="1" ref="BB18" ca="1">INDEX('Financial Statements'!$D$14:$BA$14,BB$7)/12</f>
        <v>-2465.1821223958327</v>
      </c>
      <c r="BC18" s="62" cm="1">
        <f t="array" aca="1" ref="BC18" ca="1">INDEX('Financial Statements'!$D$14:$BA$14,BC$7)/12</f>
        <v>-2465.1821223958327</v>
      </c>
      <c r="BD18" s="62" cm="1">
        <f t="array" aca="1" ref="BD18" ca="1">INDEX('Financial Statements'!$D$14:$BA$14,BD$7)/12</f>
        <v>-2465.1821223958327</v>
      </c>
      <c r="BE18" s="62" cm="1">
        <f t="array" aca="1" ref="BE18" ca="1">INDEX('Financial Statements'!$D$14:$BA$14,BE$7)/12</f>
        <v>-2465.1821223958327</v>
      </c>
      <c r="BF18" s="62" cm="1">
        <f t="array" aca="1" ref="BF18" ca="1">INDEX('Financial Statements'!$D$14:$BA$14,BF$7)/12</f>
        <v>-2465.1821223958327</v>
      </c>
      <c r="BG18" s="62" cm="1">
        <f t="array" aca="1" ref="BG18" ca="1">INDEX('Financial Statements'!$D$14:$BA$14,BG$7)/12</f>
        <v>-2465.1821223958327</v>
      </c>
      <c r="BH18" s="62" cm="1">
        <f t="array" aca="1" ref="BH18" ca="1">INDEX('Financial Statements'!$D$14:$BA$14,BH$7)/12</f>
        <v>-2465.1821223958327</v>
      </c>
      <c r="BI18" s="62" cm="1">
        <f t="array" aca="1" ref="BI18" ca="1">INDEX('Financial Statements'!$D$14:$BA$14,BI$7)/12</f>
        <v>-2465.1821223958327</v>
      </c>
      <c r="BJ18" s="62" cm="1">
        <f t="array" aca="1" ref="BJ18" ca="1">INDEX('Financial Statements'!$D$14:$BA$14,BJ$7)/12</f>
        <v>-2465.1821223958327</v>
      </c>
      <c r="BK18" s="62" cm="1">
        <f t="array" aca="1" ref="BK18" ca="1">INDEX('Financial Statements'!$D$14:$BA$14,BK$7)/12</f>
        <v>-2465.1821223958327</v>
      </c>
    </row>
    <row r="19" spans="1:63" x14ac:dyDescent="0.3">
      <c r="A19" t="s">
        <v>226</v>
      </c>
      <c r="B19" t="s">
        <v>48</v>
      </c>
      <c r="D19" s="62" cm="1">
        <f t="array" aca="1" ref="D19" ca="1">INDEX('Financial Statements'!$D$16:$BA$16,D$7)/12</f>
        <v>-58.333333333333336</v>
      </c>
      <c r="E19" s="62" cm="1">
        <f t="array" aca="1" ref="E19" ca="1">INDEX('Financial Statements'!$D$16:$BA$16,E$7)/12</f>
        <v>-58.333333333333336</v>
      </c>
      <c r="F19" s="62" cm="1">
        <f t="array" aca="1" ref="F19" ca="1">INDEX('Financial Statements'!$D$16:$BA$16,F$7)/12</f>
        <v>-58.333333333333336</v>
      </c>
      <c r="G19" s="62" cm="1">
        <f t="array" aca="1" ref="G19" ca="1">INDEX('Financial Statements'!$D$16:$BA$16,G$7)/12</f>
        <v>-58.333333333333336</v>
      </c>
      <c r="H19" s="62" cm="1">
        <f t="array" aca="1" ref="H19" ca="1">INDEX('Financial Statements'!$D$16:$BA$16,H$7)/12</f>
        <v>-58.333333333333336</v>
      </c>
      <c r="I19" s="62" cm="1">
        <f t="array" aca="1" ref="I19" ca="1">INDEX('Financial Statements'!$D$16:$BA$16,I$7)/12</f>
        <v>-58.333333333333336</v>
      </c>
      <c r="J19" s="62" cm="1">
        <f t="array" aca="1" ref="J19" ca="1">INDEX('Financial Statements'!$D$16:$BA$16,J$7)/12</f>
        <v>-58.333333333333336</v>
      </c>
      <c r="K19" s="62" cm="1">
        <f t="array" aca="1" ref="K19" ca="1">INDEX('Financial Statements'!$D$16:$BA$16,K$7)/12</f>
        <v>-58.333333333333336</v>
      </c>
      <c r="L19" s="62" cm="1">
        <f t="array" aca="1" ref="L19" ca="1">INDEX('Financial Statements'!$D$16:$BA$16,L$7)/12</f>
        <v>-58.333333333333336</v>
      </c>
      <c r="M19" s="62" cm="1">
        <f t="array" aca="1" ref="M19" ca="1">INDEX('Financial Statements'!$D$16:$BA$16,M$7)/12</f>
        <v>-58.333333333333336</v>
      </c>
      <c r="N19" s="62" cm="1">
        <f t="array" aca="1" ref="N19" ca="1">INDEX('Financial Statements'!$D$16:$BA$16,N$7)/12</f>
        <v>-58.333333333333336</v>
      </c>
      <c r="O19" s="62" cm="1">
        <f t="array" aca="1" ref="O19" ca="1">INDEX('Financial Statements'!$D$16:$BA$16,O$7)/12</f>
        <v>-58.333333333333336</v>
      </c>
      <c r="P19" s="62" cm="1">
        <f t="array" aca="1" ref="P19" ca="1">INDEX('Financial Statements'!$D$16:$BA$16,P$7)/12</f>
        <v>-179.375</v>
      </c>
      <c r="Q19" s="62" cm="1">
        <f t="array" aca="1" ref="Q19" ca="1">INDEX('Financial Statements'!$D$16:$BA$16,Q$7)/12</f>
        <v>-179.375</v>
      </c>
      <c r="R19" s="62" cm="1">
        <f t="array" aca="1" ref="R19" ca="1">INDEX('Financial Statements'!$D$16:$BA$16,R$7)/12</f>
        <v>-179.375</v>
      </c>
      <c r="S19" s="62" cm="1">
        <f t="array" aca="1" ref="S19" ca="1">INDEX('Financial Statements'!$D$16:$BA$16,S$7)/12</f>
        <v>-179.375</v>
      </c>
      <c r="T19" s="62" cm="1">
        <f t="array" aca="1" ref="T19" ca="1">INDEX('Financial Statements'!$D$16:$BA$16,T$7)/12</f>
        <v>-179.375</v>
      </c>
      <c r="U19" s="62" cm="1">
        <f t="array" aca="1" ref="U19" ca="1">INDEX('Financial Statements'!$D$16:$BA$16,U$7)/12</f>
        <v>-179.375</v>
      </c>
      <c r="V19" s="62" cm="1">
        <f t="array" aca="1" ref="V19" ca="1">INDEX('Financial Statements'!$D$16:$BA$16,V$7)/12</f>
        <v>-179.375</v>
      </c>
      <c r="W19" s="62" cm="1">
        <f t="array" aca="1" ref="W19" ca="1">INDEX('Financial Statements'!$D$16:$BA$16,W$7)/12</f>
        <v>-179.375</v>
      </c>
      <c r="X19" s="62" cm="1">
        <f t="array" aca="1" ref="X19" ca="1">INDEX('Financial Statements'!$D$16:$BA$16,X$7)/12</f>
        <v>-179.375</v>
      </c>
      <c r="Y19" s="62" cm="1">
        <f t="array" aca="1" ref="Y19" ca="1">INDEX('Financial Statements'!$D$16:$BA$16,Y$7)/12</f>
        <v>-179.375</v>
      </c>
      <c r="Z19" s="62" cm="1">
        <f t="array" aca="1" ref="Z19" ca="1">INDEX('Financial Statements'!$D$16:$BA$16,Z$7)/12</f>
        <v>-179.375</v>
      </c>
      <c r="AA19" s="62" cm="1">
        <f t="array" aca="1" ref="AA19" ca="1">INDEX('Financial Statements'!$D$16:$BA$16,AA$7)/12</f>
        <v>-179.375</v>
      </c>
      <c r="AB19" s="62" cm="1">
        <f t="array" aca="1" ref="AB19" ca="1">INDEX('Financial Statements'!$D$16:$BA$16,AB$7)/12</f>
        <v>-367.71875</v>
      </c>
      <c r="AC19" s="62" cm="1">
        <f t="array" aca="1" ref="AC19" ca="1">INDEX('Financial Statements'!$D$16:$BA$16,AC$7)/12</f>
        <v>-367.71875</v>
      </c>
      <c r="AD19" s="62" cm="1">
        <f t="array" aca="1" ref="AD19" ca="1">INDEX('Financial Statements'!$D$16:$BA$16,AD$7)/12</f>
        <v>-367.71875</v>
      </c>
      <c r="AE19" s="62" cm="1">
        <f t="array" aca="1" ref="AE19" ca="1">INDEX('Financial Statements'!$D$16:$BA$16,AE$7)/12</f>
        <v>-367.71875</v>
      </c>
      <c r="AF19" s="62" cm="1">
        <f t="array" aca="1" ref="AF19" ca="1">INDEX('Financial Statements'!$D$16:$BA$16,AF$7)/12</f>
        <v>-367.71875</v>
      </c>
      <c r="AG19" s="62" cm="1">
        <f t="array" aca="1" ref="AG19" ca="1">INDEX('Financial Statements'!$D$16:$BA$16,AG$7)/12</f>
        <v>-367.71875</v>
      </c>
      <c r="AH19" s="62" cm="1">
        <f t="array" aca="1" ref="AH19" ca="1">INDEX('Financial Statements'!$D$16:$BA$16,AH$7)/12</f>
        <v>-367.71875</v>
      </c>
      <c r="AI19" s="62" cm="1">
        <f t="array" aca="1" ref="AI19" ca="1">INDEX('Financial Statements'!$D$16:$BA$16,AI$7)/12</f>
        <v>-367.71875</v>
      </c>
      <c r="AJ19" s="62" cm="1">
        <f t="array" aca="1" ref="AJ19" ca="1">INDEX('Financial Statements'!$D$16:$BA$16,AJ$7)/12</f>
        <v>-367.71875</v>
      </c>
      <c r="AK19" s="62" cm="1">
        <f t="array" aca="1" ref="AK19" ca="1">INDEX('Financial Statements'!$D$16:$BA$16,AK$7)/12</f>
        <v>-367.71875</v>
      </c>
      <c r="AL19" s="62" cm="1">
        <f t="array" aca="1" ref="AL19" ca="1">INDEX('Financial Statements'!$D$16:$BA$16,AL$7)/12</f>
        <v>-367.71875</v>
      </c>
      <c r="AM19" s="62" cm="1">
        <f t="array" aca="1" ref="AM19" ca="1">INDEX('Financial Statements'!$D$16:$BA$16,AM$7)/12</f>
        <v>-367.71875</v>
      </c>
      <c r="AN19" s="62" cm="1">
        <f t="array" aca="1" ref="AN19" ca="1">INDEX('Financial Statements'!$D$16:$BA$16,AN$7)/12</f>
        <v>-565.36757812499991</v>
      </c>
      <c r="AO19" s="62" cm="1">
        <f t="array" aca="1" ref="AO19" ca="1">INDEX('Financial Statements'!$D$16:$BA$16,AO$7)/12</f>
        <v>-565.36757812499991</v>
      </c>
      <c r="AP19" s="62" cm="1">
        <f t="array" aca="1" ref="AP19" ca="1">INDEX('Financial Statements'!$D$16:$BA$16,AP$7)/12</f>
        <v>-565.36757812499991</v>
      </c>
      <c r="AQ19" s="62" cm="1">
        <f t="array" aca="1" ref="AQ19" ca="1">INDEX('Financial Statements'!$D$16:$BA$16,AQ$7)/12</f>
        <v>-565.36757812499991</v>
      </c>
      <c r="AR19" s="62" cm="1">
        <f t="array" aca="1" ref="AR19" ca="1">INDEX('Financial Statements'!$D$16:$BA$16,AR$7)/12</f>
        <v>-565.36757812499991</v>
      </c>
      <c r="AS19" s="62" cm="1">
        <f t="array" aca="1" ref="AS19" ca="1">INDEX('Financial Statements'!$D$16:$BA$16,AS$7)/12</f>
        <v>-565.36757812499991</v>
      </c>
      <c r="AT19" s="62" cm="1">
        <f t="array" aca="1" ref="AT19" ca="1">INDEX('Financial Statements'!$D$16:$BA$16,AT$7)/12</f>
        <v>-565.36757812499991</v>
      </c>
      <c r="AU19" s="62" cm="1">
        <f t="array" aca="1" ref="AU19" ca="1">INDEX('Financial Statements'!$D$16:$BA$16,AU$7)/12</f>
        <v>-565.36757812499991</v>
      </c>
      <c r="AV19" s="62" cm="1">
        <f t="array" aca="1" ref="AV19" ca="1">INDEX('Financial Statements'!$D$16:$BA$16,AV$7)/12</f>
        <v>-565.36757812499991</v>
      </c>
      <c r="AW19" s="62" cm="1">
        <f t="array" aca="1" ref="AW19" ca="1">INDEX('Financial Statements'!$D$16:$BA$16,AW$7)/12</f>
        <v>-565.36757812499991</v>
      </c>
      <c r="AX19" s="62" cm="1">
        <f t="array" aca="1" ref="AX19" ca="1">INDEX('Financial Statements'!$D$16:$BA$16,AX$7)/12</f>
        <v>-565.36757812499991</v>
      </c>
      <c r="AY19" s="62" cm="1">
        <f t="array" aca="1" ref="AY19" ca="1">INDEX('Financial Statements'!$D$16:$BA$16,AY$7)/12</f>
        <v>-565.36757812499991</v>
      </c>
      <c r="AZ19" s="62" cm="1">
        <f t="array" aca="1" ref="AZ19" ca="1">INDEX('Financial Statements'!$D$16:$BA$16,AZ$7)/12</f>
        <v>-772.66902343749973</v>
      </c>
      <c r="BA19" s="62" cm="1">
        <f t="array" aca="1" ref="BA19" ca="1">INDEX('Financial Statements'!$D$16:$BA$16,BA$7)/12</f>
        <v>-772.66902343749973</v>
      </c>
      <c r="BB19" s="62" cm="1">
        <f t="array" aca="1" ref="BB19" ca="1">INDEX('Financial Statements'!$D$16:$BA$16,BB$7)/12</f>
        <v>-772.66902343749973</v>
      </c>
      <c r="BC19" s="62" cm="1">
        <f t="array" aca="1" ref="BC19" ca="1">INDEX('Financial Statements'!$D$16:$BA$16,BC$7)/12</f>
        <v>-772.66902343749973</v>
      </c>
      <c r="BD19" s="62" cm="1">
        <f t="array" aca="1" ref="BD19" ca="1">INDEX('Financial Statements'!$D$16:$BA$16,BD$7)/12</f>
        <v>-772.66902343749973</v>
      </c>
      <c r="BE19" s="62" cm="1">
        <f t="array" aca="1" ref="BE19" ca="1">INDEX('Financial Statements'!$D$16:$BA$16,BE$7)/12</f>
        <v>-772.66902343749973</v>
      </c>
      <c r="BF19" s="62" cm="1">
        <f t="array" aca="1" ref="BF19" ca="1">INDEX('Financial Statements'!$D$16:$BA$16,BF$7)/12</f>
        <v>-772.66902343749973</v>
      </c>
      <c r="BG19" s="62" cm="1">
        <f t="array" aca="1" ref="BG19" ca="1">INDEX('Financial Statements'!$D$16:$BA$16,BG$7)/12</f>
        <v>-772.66902343749973</v>
      </c>
      <c r="BH19" s="62" cm="1">
        <f t="array" aca="1" ref="BH19" ca="1">INDEX('Financial Statements'!$D$16:$BA$16,BH$7)/12</f>
        <v>-772.66902343749973</v>
      </c>
      <c r="BI19" s="62" cm="1">
        <f t="array" aca="1" ref="BI19" ca="1">INDEX('Financial Statements'!$D$16:$BA$16,BI$7)/12</f>
        <v>-772.66902343749973</v>
      </c>
      <c r="BJ19" s="62" cm="1">
        <f t="array" aca="1" ref="BJ19" ca="1">INDEX('Financial Statements'!$D$16:$BA$16,BJ$7)/12</f>
        <v>-772.66902343749973</v>
      </c>
      <c r="BK19" s="62" cm="1">
        <f t="array" aca="1" ref="BK19" ca="1">INDEX('Financial Statements'!$D$16:$BA$16,BK$7)/12</f>
        <v>-772.66902343749973</v>
      </c>
    </row>
    <row r="20" spans="1:63" x14ac:dyDescent="0.3">
      <c r="A20" t="s">
        <v>225</v>
      </c>
      <c r="B20" t="s">
        <v>48</v>
      </c>
      <c r="D20" s="62" cm="1">
        <f t="array" ref="D20">IF(D$8=acq_month,INDEX('Financial Statements'!$D$15:$BA$15,D$7),0)</f>
        <v>0</v>
      </c>
      <c r="E20" s="62" cm="1">
        <f t="array" ref="E20">IF(E$8=acq_month,INDEX('Financial Statements'!$D$15:$BA$15,E$7),0)</f>
        <v>0</v>
      </c>
      <c r="F20" s="62" cm="1">
        <f t="array" ref="F20">IF(F$8=acq_month,INDEX('Financial Statements'!$D$15:$BA$15,F$7),0)</f>
        <v>0</v>
      </c>
      <c r="G20" s="62" cm="1">
        <f t="array" ref="G20">IF(G$8=acq_month,INDEX('Financial Statements'!$D$15:$BA$15,G$7),0)</f>
        <v>0</v>
      </c>
      <c r="H20" s="62" cm="1">
        <f t="array" ref="H20">IF(H$8=acq_month,INDEX('Financial Statements'!$D$15:$BA$15,H$7),0)</f>
        <v>0</v>
      </c>
      <c r="I20" s="62" cm="1">
        <f t="array" ref="I20">IF(I$8=acq_month,INDEX('Financial Statements'!$D$15:$BA$15,I$7),0)</f>
        <v>0</v>
      </c>
      <c r="J20" s="62" cm="1">
        <f t="array" ref="J20">IF(J$8=acq_month,INDEX('Financial Statements'!$D$15:$BA$15,J$7),0)</f>
        <v>0</v>
      </c>
      <c r="K20" s="62" cm="1">
        <f t="array" ref="K20">IF(K$8=acq_month,INDEX('Financial Statements'!$D$15:$BA$15,K$7),0)</f>
        <v>0</v>
      </c>
      <c r="L20" s="62" cm="1">
        <f t="array" ref="L20">IF(L$8=acq_month,INDEX('Financial Statements'!$D$15:$BA$15,L$7),0)</f>
        <v>0</v>
      </c>
      <c r="M20" s="62" cm="1">
        <f t="array" ref="M20">IF(M$8=acq_month,INDEX('Financial Statements'!$D$15:$BA$15,M$7),0)</f>
        <v>0</v>
      </c>
      <c r="N20" s="62" cm="1">
        <f t="array" ref="N20">IF(N$8=acq_month,INDEX('Financial Statements'!$D$15:$BA$15,N$7),0)</f>
        <v>0</v>
      </c>
      <c r="O20" s="62" cm="1">
        <f t="array" aca="1" ref="O20" ca="1">IF(O$8=acq_month,INDEX('Financial Statements'!$D$15:$BA$15,O$7),0)</f>
        <v>-8300</v>
      </c>
      <c r="P20" s="62" cm="1">
        <f t="array" ref="P20">IF(P$8=acq_month,INDEX('Financial Statements'!$D$15:$BA$15,P$7),0)</f>
        <v>0</v>
      </c>
      <c r="Q20" s="62" cm="1">
        <f t="array" ref="Q20">IF(Q$8=acq_month,INDEX('Financial Statements'!$D$15:$BA$15,Q$7),0)</f>
        <v>0</v>
      </c>
      <c r="R20" s="62" cm="1">
        <f t="array" ref="R20">IF(R$8=acq_month,INDEX('Financial Statements'!$D$15:$BA$15,R$7),0)</f>
        <v>0</v>
      </c>
      <c r="S20" s="62" cm="1">
        <f t="array" ref="S20">IF(S$8=acq_month,INDEX('Financial Statements'!$D$15:$BA$15,S$7),0)</f>
        <v>0</v>
      </c>
      <c r="T20" s="62" cm="1">
        <f t="array" ref="T20">IF(T$8=acq_month,INDEX('Financial Statements'!$D$15:$BA$15,T$7),0)</f>
        <v>0</v>
      </c>
      <c r="U20" s="62" cm="1">
        <f t="array" ref="U20">IF(U$8=acq_month,INDEX('Financial Statements'!$D$15:$BA$15,U$7),0)</f>
        <v>0</v>
      </c>
      <c r="V20" s="62" cm="1">
        <f t="array" ref="V20">IF(V$8=acq_month,INDEX('Financial Statements'!$D$15:$BA$15,V$7),0)</f>
        <v>0</v>
      </c>
      <c r="W20" s="62" cm="1">
        <f t="array" ref="W20">IF(W$8=acq_month,INDEX('Financial Statements'!$D$15:$BA$15,W$7),0)</f>
        <v>0</v>
      </c>
      <c r="X20" s="62" cm="1">
        <f t="array" ref="X20">IF(X$8=acq_month,INDEX('Financial Statements'!$D$15:$BA$15,X$7),0)</f>
        <v>0</v>
      </c>
      <c r="Y20" s="62" cm="1">
        <f t="array" ref="Y20">IF(Y$8=acq_month,INDEX('Financial Statements'!$D$15:$BA$15,Y$7),0)</f>
        <v>0</v>
      </c>
      <c r="Z20" s="62" cm="1">
        <f t="array" ref="Z20">IF(Z$8=acq_month,INDEX('Financial Statements'!$D$15:$BA$15,Z$7),0)</f>
        <v>0</v>
      </c>
      <c r="AA20" s="62" cm="1">
        <f t="array" aca="1" ref="AA20" ca="1">IF(AA$8=acq_month,INDEX('Financial Statements'!$D$15:$BA$15,AA$7),0)</f>
        <v>-17015</v>
      </c>
      <c r="AB20" s="62" cm="1">
        <f t="array" ref="AB20">IF(AB$8=acq_month,INDEX('Financial Statements'!$D$15:$BA$15,AB$7),0)</f>
        <v>0</v>
      </c>
      <c r="AC20" s="62" cm="1">
        <f t="array" ref="AC20">IF(AC$8=acq_month,INDEX('Financial Statements'!$D$15:$BA$15,AC$7),0)</f>
        <v>0</v>
      </c>
      <c r="AD20" s="62" cm="1">
        <f t="array" ref="AD20">IF(AD$8=acq_month,INDEX('Financial Statements'!$D$15:$BA$15,AD$7),0)</f>
        <v>0</v>
      </c>
      <c r="AE20" s="62" cm="1">
        <f t="array" ref="AE20">IF(AE$8=acq_month,INDEX('Financial Statements'!$D$15:$BA$15,AE$7),0)</f>
        <v>0</v>
      </c>
      <c r="AF20" s="62" cm="1">
        <f t="array" ref="AF20">IF(AF$8=acq_month,INDEX('Financial Statements'!$D$15:$BA$15,AF$7),0)</f>
        <v>0</v>
      </c>
      <c r="AG20" s="62" cm="1">
        <f t="array" ref="AG20">IF(AG$8=acq_month,INDEX('Financial Statements'!$D$15:$BA$15,AG$7),0)</f>
        <v>0</v>
      </c>
      <c r="AH20" s="62" cm="1">
        <f t="array" ref="AH20">IF(AH$8=acq_month,INDEX('Financial Statements'!$D$15:$BA$15,AH$7),0)</f>
        <v>0</v>
      </c>
      <c r="AI20" s="62" cm="1">
        <f t="array" ref="AI20">IF(AI$8=acq_month,INDEX('Financial Statements'!$D$15:$BA$15,AI$7),0)</f>
        <v>0</v>
      </c>
      <c r="AJ20" s="62" cm="1">
        <f t="array" ref="AJ20">IF(AJ$8=acq_month,INDEX('Financial Statements'!$D$15:$BA$15,AJ$7),0)</f>
        <v>0</v>
      </c>
      <c r="AK20" s="62" cm="1">
        <f t="array" ref="AK20">IF(AK$8=acq_month,INDEX('Financial Statements'!$D$15:$BA$15,AK$7),0)</f>
        <v>0</v>
      </c>
      <c r="AL20" s="62" cm="1">
        <f t="array" ref="AL20">IF(AL$8=acq_month,INDEX('Financial Statements'!$D$15:$BA$15,AL$7),0)</f>
        <v>0</v>
      </c>
      <c r="AM20" s="62" cm="1">
        <f t="array" aca="1" ref="AM20" ca="1">IF(AM$8=acq_month,INDEX('Financial Statements'!$D$15:$BA$15,AM$7),0)</f>
        <v>-26160.5625</v>
      </c>
      <c r="AN20" s="62" cm="1">
        <f t="array" ref="AN20">IF(AN$8=acq_month,INDEX('Financial Statements'!$D$15:$BA$15,AN$7),0)</f>
        <v>0</v>
      </c>
      <c r="AO20" s="62" cm="1">
        <f t="array" ref="AO20">IF(AO$8=acq_month,INDEX('Financial Statements'!$D$15:$BA$15,AO$7),0)</f>
        <v>0</v>
      </c>
      <c r="AP20" s="62" cm="1">
        <f t="array" ref="AP20">IF(AP$8=acq_month,INDEX('Financial Statements'!$D$15:$BA$15,AP$7),0)</f>
        <v>0</v>
      </c>
      <c r="AQ20" s="62" cm="1">
        <f t="array" ref="AQ20">IF(AQ$8=acq_month,INDEX('Financial Statements'!$D$15:$BA$15,AQ$7),0)</f>
        <v>0</v>
      </c>
      <c r="AR20" s="62" cm="1">
        <f t="array" ref="AR20">IF(AR$8=acq_month,INDEX('Financial Statements'!$D$15:$BA$15,AR$7),0)</f>
        <v>0</v>
      </c>
      <c r="AS20" s="62" cm="1">
        <f t="array" ref="AS20">IF(AS$8=acq_month,INDEX('Financial Statements'!$D$15:$BA$15,AS$7),0)</f>
        <v>0</v>
      </c>
      <c r="AT20" s="62" cm="1">
        <f t="array" ref="AT20">IF(AT$8=acq_month,INDEX('Financial Statements'!$D$15:$BA$15,AT$7),0)</f>
        <v>0</v>
      </c>
      <c r="AU20" s="62" cm="1">
        <f t="array" ref="AU20">IF(AU$8=acq_month,INDEX('Financial Statements'!$D$15:$BA$15,AU$7),0)</f>
        <v>0</v>
      </c>
      <c r="AV20" s="62" cm="1">
        <f t="array" ref="AV20">IF(AV$8=acq_month,INDEX('Financial Statements'!$D$15:$BA$15,AV$7),0)</f>
        <v>0</v>
      </c>
      <c r="AW20" s="62" cm="1">
        <f t="array" ref="AW20">IF(AW$8=acq_month,INDEX('Financial Statements'!$D$15:$BA$15,AW$7),0)</f>
        <v>0</v>
      </c>
      <c r="AX20" s="62" cm="1">
        <f t="array" ref="AX20">IF(AX$8=acq_month,INDEX('Financial Statements'!$D$15:$BA$15,AX$7),0)</f>
        <v>0</v>
      </c>
      <c r="AY20" s="62" cm="1">
        <f t="array" aca="1" ref="AY20" ca="1">IF(AY$8=acq_month,INDEX('Financial Statements'!$D$15:$BA$15,AY$7),0)</f>
        <v>-26814.576562499999</v>
      </c>
      <c r="AZ20" s="62" cm="1">
        <f t="array" ref="AZ20">IF(AZ$8=acq_month,INDEX('Financial Statements'!$D$15:$BA$15,AZ$7),0)</f>
        <v>0</v>
      </c>
      <c r="BA20" s="62" cm="1">
        <f t="array" ref="BA20">IF(BA$8=acq_month,INDEX('Financial Statements'!$D$15:$BA$15,BA$7),0)</f>
        <v>0</v>
      </c>
      <c r="BB20" s="62" cm="1">
        <f t="array" ref="BB20">IF(BB$8=acq_month,INDEX('Financial Statements'!$D$15:$BA$15,BB$7),0)</f>
        <v>0</v>
      </c>
      <c r="BC20" s="62" cm="1">
        <f t="array" ref="BC20">IF(BC$8=acq_month,INDEX('Financial Statements'!$D$15:$BA$15,BC$7),0)</f>
        <v>0</v>
      </c>
      <c r="BD20" s="62" cm="1">
        <f t="array" ref="BD20">IF(BD$8=acq_month,INDEX('Financial Statements'!$D$15:$BA$15,BD$7),0)</f>
        <v>0</v>
      </c>
      <c r="BE20" s="62" cm="1">
        <f t="array" ref="BE20">IF(BE$8=acq_month,INDEX('Financial Statements'!$D$15:$BA$15,BE$7),0)</f>
        <v>0</v>
      </c>
      <c r="BF20" s="62" cm="1">
        <f t="array" ref="BF20">IF(BF$8=acq_month,INDEX('Financial Statements'!$D$15:$BA$15,BF$7),0)</f>
        <v>0</v>
      </c>
      <c r="BG20" s="62" cm="1">
        <f t="array" ref="BG20">IF(BG$8=acq_month,INDEX('Financial Statements'!$D$15:$BA$15,BG$7),0)</f>
        <v>0</v>
      </c>
      <c r="BH20" s="62" cm="1">
        <f t="array" ref="BH20">IF(BH$8=acq_month,INDEX('Financial Statements'!$D$15:$BA$15,BH$7),0)</f>
        <v>0</v>
      </c>
      <c r="BI20" s="62" cm="1">
        <f t="array" ref="BI20">IF(BI$8=acq_month,INDEX('Financial Statements'!$D$15:$BA$15,BI$7),0)</f>
        <v>0</v>
      </c>
      <c r="BJ20" s="62" cm="1">
        <f t="array" ref="BJ20">IF(BJ$8=acq_month,INDEX('Financial Statements'!$D$15:$BA$15,BJ$7),0)</f>
        <v>0</v>
      </c>
      <c r="BK20" s="62" cm="1">
        <f t="array" aca="1" ref="BK20" ca="1">IF(BK$8=acq_month,INDEX('Financial Statements'!$D$15:$BA$15,BK$7),0)</f>
        <v>-27484.940976562495</v>
      </c>
    </row>
    <row r="21" spans="1:63" x14ac:dyDescent="0.3">
      <c r="A21" t="s">
        <v>391</v>
      </c>
      <c r="B21" t="s">
        <v>48</v>
      </c>
      <c r="D21" s="62" cm="1">
        <f t="array" ref="D21">INDEX('Financial Statements'!$D$17:$BA$17,D$7)/12</f>
        <v>0</v>
      </c>
      <c r="E21" s="62" cm="1">
        <f t="array" ref="E21">INDEX('Financial Statements'!$D$17:$BA$17,E$7)/12</f>
        <v>0</v>
      </c>
      <c r="F21" s="62" cm="1">
        <f t="array" ref="F21">INDEX('Financial Statements'!$D$17:$BA$17,F$7)/12</f>
        <v>0</v>
      </c>
      <c r="G21" s="62" cm="1">
        <f t="array" ref="G21">INDEX('Financial Statements'!$D$17:$BA$17,G$7)/12</f>
        <v>0</v>
      </c>
      <c r="H21" s="62" cm="1">
        <f t="array" ref="H21">INDEX('Financial Statements'!$D$17:$BA$17,H$7)/12</f>
        <v>0</v>
      </c>
      <c r="I21" s="62" cm="1">
        <f t="array" ref="I21">INDEX('Financial Statements'!$D$17:$BA$17,I$7)/12</f>
        <v>0</v>
      </c>
      <c r="J21" s="62" cm="1">
        <f t="array" ref="J21">INDEX('Financial Statements'!$D$17:$BA$17,J$7)/12</f>
        <v>0</v>
      </c>
      <c r="K21" s="62" cm="1">
        <f t="array" ref="K21">INDEX('Financial Statements'!$D$17:$BA$17,K$7)/12</f>
        <v>0</v>
      </c>
      <c r="L21" s="62" cm="1">
        <f t="array" ref="L21">INDEX('Financial Statements'!$D$17:$BA$17,L$7)/12</f>
        <v>0</v>
      </c>
      <c r="M21" s="62" cm="1">
        <f t="array" ref="M21">INDEX('Financial Statements'!$D$17:$BA$17,M$7)/12</f>
        <v>0</v>
      </c>
      <c r="N21" s="62" cm="1">
        <f t="array" ref="N21">INDEX('Financial Statements'!$D$17:$BA$17,N$7)/12</f>
        <v>0</v>
      </c>
      <c r="O21" s="62" cm="1">
        <f t="array" ref="O21">INDEX('Financial Statements'!$D$17:$BA$17,O$7)/12</f>
        <v>0</v>
      </c>
      <c r="P21" s="62" cm="1">
        <f t="array" aca="1" ref="P21" ca="1">INDEX('Financial Statements'!$D$17:$BA$17,P$7)/12</f>
        <v>-320.44205729166669</v>
      </c>
      <c r="Q21" s="62" cm="1">
        <f t="array" aca="1" ref="Q21" ca="1">INDEX('Financial Statements'!$D$17:$BA$17,Q$7)/12</f>
        <v>-320.44205729166669</v>
      </c>
      <c r="R21" s="62" cm="1">
        <f t="array" aca="1" ref="R21" ca="1">INDEX('Financial Statements'!$D$17:$BA$17,R$7)/12</f>
        <v>-320.44205729166669</v>
      </c>
      <c r="S21" s="62" cm="1">
        <f t="array" aca="1" ref="S21" ca="1">INDEX('Financial Statements'!$D$17:$BA$17,S$7)/12</f>
        <v>-320.44205729166669</v>
      </c>
      <c r="T21" s="62" cm="1">
        <f t="array" aca="1" ref="T21" ca="1">INDEX('Financial Statements'!$D$17:$BA$17,T$7)/12</f>
        <v>-320.44205729166669</v>
      </c>
      <c r="U21" s="62" cm="1">
        <f t="array" aca="1" ref="U21" ca="1">INDEX('Financial Statements'!$D$17:$BA$17,U$7)/12</f>
        <v>-320.44205729166669</v>
      </c>
      <c r="V21" s="62" cm="1">
        <f t="array" aca="1" ref="V21" ca="1">INDEX('Financial Statements'!$D$17:$BA$17,V$7)/12</f>
        <v>-320.44205729166669</v>
      </c>
      <c r="W21" s="62" cm="1">
        <f t="array" aca="1" ref="W21" ca="1">INDEX('Financial Statements'!$D$17:$BA$17,W$7)/12</f>
        <v>-320.44205729166669</v>
      </c>
      <c r="X21" s="62" cm="1">
        <f t="array" aca="1" ref="X21" ca="1">INDEX('Financial Statements'!$D$17:$BA$17,X$7)/12</f>
        <v>-320.44205729166669</v>
      </c>
      <c r="Y21" s="62" cm="1">
        <f t="array" aca="1" ref="Y21" ca="1">INDEX('Financial Statements'!$D$17:$BA$17,Y$7)/12</f>
        <v>-320.44205729166669</v>
      </c>
      <c r="Z21" s="62" cm="1">
        <f t="array" aca="1" ref="Z21" ca="1">INDEX('Financial Statements'!$D$17:$BA$17,Z$7)/12</f>
        <v>-320.44205729166669</v>
      </c>
      <c r="AA21" s="62" cm="1">
        <f t="array" aca="1" ref="AA21" ca="1">INDEX('Financial Statements'!$D$17:$BA$17,AA$7)/12</f>
        <v>-320.44205729166669</v>
      </c>
      <c r="AB21" s="62" cm="1">
        <f t="array" aca="1" ref="AB21" ca="1">INDEX('Financial Statements'!$D$17:$BA$17,AB$7)/12</f>
        <v>-535.68624313354496</v>
      </c>
      <c r="AC21" s="62" cm="1">
        <f t="array" aca="1" ref="AC21" ca="1">INDEX('Financial Statements'!$D$17:$BA$17,AC$7)/12</f>
        <v>-535.68624313354496</v>
      </c>
      <c r="AD21" s="62" cm="1">
        <f t="array" aca="1" ref="AD21" ca="1">INDEX('Financial Statements'!$D$17:$BA$17,AD$7)/12</f>
        <v>-535.68624313354496</v>
      </c>
      <c r="AE21" s="62" cm="1">
        <f t="array" aca="1" ref="AE21" ca="1">INDEX('Financial Statements'!$D$17:$BA$17,AE$7)/12</f>
        <v>-535.68624313354496</v>
      </c>
      <c r="AF21" s="62" cm="1">
        <f t="array" aca="1" ref="AF21" ca="1">INDEX('Financial Statements'!$D$17:$BA$17,AF$7)/12</f>
        <v>-535.68624313354496</v>
      </c>
      <c r="AG21" s="62" cm="1">
        <f t="array" aca="1" ref="AG21" ca="1">INDEX('Financial Statements'!$D$17:$BA$17,AG$7)/12</f>
        <v>-535.68624313354496</v>
      </c>
      <c r="AH21" s="62" cm="1">
        <f t="array" aca="1" ref="AH21" ca="1">INDEX('Financial Statements'!$D$17:$BA$17,AH$7)/12</f>
        <v>-535.68624313354496</v>
      </c>
      <c r="AI21" s="62" cm="1">
        <f t="array" aca="1" ref="AI21" ca="1">INDEX('Financial Statements'!$D$17:$BA$17,AI$7)/12</f>
        <v>-535.68624313354496</v>
      </c>
      <c r="AJ21" s="62" cm="1">
        <f t="array" aca="1" ref="AJ21" ca="1">INDEX('Financial Statements'!$D$17:$BA$17,AJ$7)/12</f>
        <v>-535.68624313354496</v>
      </c>
      <c r="AK21" s="62" cm="1">
        <f t="array" aca="1" ref="AK21" ca="1">INDEX('Financial Statements'!$D$17:$BA$17,AK$7)/12</f>
        <v>-535.68624313354496</v>
      </c>
      <c r="AL21" s="62" cm="1">
        <f t="array" aca="1" ref="AL21" ca="1">INDEX('Financial Statements'!$D$17:$BA$17,AL$7)/12</f>
        <v>-535.68624313354496</v>
      </c>
      <c r="AM21" s="62" cm="1">
        <f t="array" aca="1" ref="AM21" ca="1">INDEX('Financial Statements'!$D$17:$BA$17,AM$7)/12</f>
        <v>-535.68624313354496</v>
      </c>
      <c r="AN21" s="62" cm="1">
        <f t="array" aca="1" ref="AN21" ca="1">INDEX('Financial Statements'!$D$17:$BA$17,AN$7)/12</f>
        <v>-824.1802246174135</v>
      </c>
      <c r="AO21" s="62" cm="1">
        <f t="array" aca="1" ref="AO21" ca="1">INDEX('Financial Statements'!$D$17:$BA$17,AO$7)/12</f>
        <v>-824.1802246174135</v>
      </c>
      <c r="AP21" s="62" cm="1">
        <f t="array" aca="1" ref="AP21" ca="1">INDEX('Financial Statements'!$D$17:$BA$17,AP$7)/12</f>
        <v>-824.1802246174135</v>
      </c>
      <c r="AQ21" s="62" cm="1">
        <f t="array" aca="1" ref="AQ21" ca="1">INDEX('Financial Statements'!$D$17:$BA$17,AQ$7)/12</f>
        <v>-824.1802246174135</v>
      </c>
      <c r="AR21" s="62" cm="1">
        <f t="array" aca="1" ref="AR21" ca="1">INDEX('Financial Statements'!$D$17:$BA$17,AR$7)/12</f>
        <v>-824.1802246174135</v>
      </c>
      <c r="AS21" s="62" cm="1">
        <f t="array" aca="1" ref="AS21" ca="1">INDEX('Financial Statements'!$D$17:$BA$17,AS$7)/12</f>
        <v>-824.1802246174135</v>
      </c>
      <c r="AT21" s="62" cm="1">
        <f t="array" aca="1" ref="AT21" ca="1">INDEX('Financial Statements'!$D$17:$BA$17,AT$7)/12</f>
        <v>-824.1802246174135</v>
      </c>
      <c r="AU21" s="62" cm="1">
        <f t="array" aca="1" ref="AU21" ca="1">INDEX('Financial Statements'!$D$17:$BA$17,AU$7)/12</f>
        <v>-824.1802246174135</v>
      </c>
      <c r="AV21" s="62" cm="1">
        <f t="array" aca="1" ref="AV21" ca="1">INDEX('Financial Statements'!$D$17:$BA$17,AV$7)/12</f>
        <v>-824.1802246174135</v>
      </c>
      <c r="AW21" s="62" cm="1">
        <f t="array" aca="1" ref="AW21" ca="1">INDEX('Financial Statements'!$D$17:$BA$17,AW$7)/12</f>
        <v>-824.1802246174135</v>
      </c>
      <c r="AX21" s="62" cm="1">
        <f t="array" aca="1" ref="AX21" ca="1">INDEX('Financial Statements'!$D$17:$BA$17,AX$7)/12</f>
        <v>-824.1802246174135</v>
      </c>
      <c r="AY21" s="62" cm="1">
        <f t="array" aca="1" ref="AY21" ca="1">INDEX('Financial Statements'!$D$17:$BA$17,AY$7)/12</f>
        <v>-824.1802246174135</v>
      </c>
      <c r="AZ21" s="62" cm="1">
        <f t="array" aca="1" ref="AZ21" ca="1">INDEX('Financial Statements'!$D$17:$BA$17,AZ$7)/12</f>
        <v>-811.60473896115411</v>
      </c>
      <c r="BA21" s="62" cm="1">
        <f t="array" aca="1" ref="BA21" ca="1">INDEX('Financial Statements'!$D$17:$BA$17,BA$7)/12</f>
        <v>-811.60473896115411</v>
      </c>
      <c r="BB21" s="62" cm="1">
        <f t="array" aca="1" ref="BB21" ca="1">INDEX('Financial Statements'!$D$17:$BA$17,BB$7)/12</f>
        <v>-811.60473896115411</v>
      </c>
      <c r="BC21" s="62" cm="1">
        <f t="array" aca="1" ref="BC21" ca="1">INDEX('Financial Statements'!$D$17:$BA$17,BC$7)/12</f>
        <v>-811.60473896115411</v>
      </c>
      <c r="BD21" s="62" cm="1">
        <f t="array" aca="1" ref="BD21" ca="1">INDEX('Financial Statements'!$D$17:$BA$17,BD$7)/12</f>
        <v>-811.60473896115411</v>
      </c>
      <c r="BE21" s="62" cm="1">
        <f t="array" aca="1" ref="BE21" ca="1">INDEX('Financial Statements'!$D$17:$BA$17,BE$7)/12</f>
        <v>-811.60473896115411</v>
      </c>
      <c r="BF21" s="62" cm="1">
        <f t="array" aca="1" ref="BF21" ca="1">INDEX('Financial Statements'!$D$17:$BA$17,BF$7)/12</f>
        <v>-811.60473896115411</v>
      </c>
      <c r="BG21" s="62" cm="1">
        <f t="array" aca="1" ref="BG21" ca="1">INDEX('Financial Statements'!$D$17:$BA$17,BG$7)/12</f>
        <v>-811.60473896115411</v>
      </c>
      <c r="BH21" s="62" cm="1">
        <f t="array" aca="1" ref="BH21" ca="1">INDEX('Financial Statements'!$D$17:$BA$17,BH$7)/12</f>
        <v>-811.60473896115411</v>
      </c>
      <c r="BI21" s="62" cm="1">
        <f t="array" aca="1" ref="BI21" ca="1">INDEX('Financial Statements'!$D$17:$BA$17,BI$7)/12</f>
        <v>-811.60473896115411</v>
      </c>
      <c r="BJ21" s="62" cm="1">
        <f t="array" aca="1" ref="BJ21" ca="1">INDEX('Financial Statements'!$D$17:$BA$17,BJ$7)/12</f>
        <v>-811.60473896115411</v>
      </c>
      <c r="BK21" s="62" cm="1">
        <f t="array" aca="1" ref="BK21" ca="1">INDEX('Financial Statements'!$D$17:$BA$17,BK$7)/12</f>
        <v>-811.60473896115411</v>
      </c>
    </row>
    <row r="22" spans="1:63" x14ac:dyDescent="0.3">
      <c r="A22" t="s">
        <v>392</v>
      </c>
      <c r="B22" t="s">
        <v>48</v>
      </c>
      <c r="D22" s="62" cm="1">
        <f t="array" ref="D22">IF(D$8=acq_month,INDEX('Financial Statements'!$D$54:$BA$54,D$7),0)</f>
        <v>0</v>
      </c>
      <c r="E22" s="62" cm="1">
        <f t="array" ref="E22">IF(E$8=acq_month,INDEX('Financial Statements'!$D$54:$BA$54,E$7),0)</f>
        <v>0</v>
      </c>
      <c r="F22" s="62" cm="1">
        <f t="array" ref="F22">IF(F$8=acq_month,INDEX('Financial Statements'!$D$54:$BA$54,F$7),0)</f>
        <v>0</v>
      </c>
      <c r="G22" s="62" cm="1">
        <f t="array" ref="G22">IF(G$8=acq_month,INDEX('Financial Statements'!$D$54:$BA$54,G$7),0)</f>
        <v>0</v>
      </c>
      <c r="H22" s="62" cm="1">
        <f t="array" ref="H22">IF(H$8=acq_month,INDEX('Financial Statements'!$D$54:$BA$54,H$7),0)</f>
        <v>0</v>
      </c>
      <c r="I22" s="62" cm="1">
        <f t="array" ref="I22">IF(I$8=acq_month,INDEX('Financial Statements'!$D$54:$BA$54,I$7),0)</f>
        <v>0</v>
      </c>
      <c r="J22" s="62" cm="1">
        <f t="array" ref="J22">IF(J$8=acq_month,INDEX('Financial Statements'!$D$54:$BA$54,J$7),0)</f>
        <v>0</v>
      </c>
      <c r="K22" s="62" cm="1">
        <f t="array" ref="K22">IF(K$8=acq_month,INDEX('Financial Statements'!$D$54:$BA$54,K$7),0)</f>
        <v>0</v>
      </c>
      <c r="L22" s="62" cm="1">
        <f t="array" ref="L22">IF(L$8=acq_month,INDEX('Financial Statements'!$D$54:$BA$54,L$7),0)</f>
        <v>0</v>
      </c>
      <c r="M22" s="62" cm="1">
        <f t="array" ref="M22">IF(M$8=acq_month,INDEX('Financial Statements'!$D$54:$BA$54,M$7),0)</f>
        <v>0</v>
      </c>
      <c r="N22" s="62" cm="1">
        <f t="array" ref="N22">IF(N$8=acq_month,INDEX('Financial Statements'!$D$54:$BA$54,N$7),0)</f>
        <v>0</v>
      </c>
      <c r="O22" s="62" cm="1">
        <f t="array" aca="1" ref="O22" ca="1">IF(O$8=acq_month,INDEX('Financial Statements'!$D$54:$BA$54,O$7),0)</f>
        <v>-280000</v>
      </c>
      <c r="P22" s="62" cm="1">
        <f t="array" ref="P22">IF(P$8=acq_month,INDEX('Financial Statements'!$D$54:$BA$54,P$7),0)</f>
        <v>0</v>
      </c>
      <c r="Q22" s="62" cm="1">
        <f t="array" ref="Q22">IF(Q$8=acq_month,INDEX('Financial Statements'!$D$54:$BA$54,Q$7),0)</f>
        <v>0</v>
      </c>
      <c r="R22" s="62" cm="1">
        <f t="array" ref="R22">IF(R$8=acq_month,INDEX('Financial Statements'!$D$54:$BA$54,R$7),0)</f>
        <v>0</v>
      </c>
      <c r="S22" s="62" cm="1">
        <f t="array" ref="S22">IF(S$8=acq_month,INDEX('Financial Statements'!$D$54:$BA$54,S$7),0)</f>
        <v>0</v>
      </c>
      <c r="T22" s="62" cm="1">
        <f t="array" ref="T22">IF(T$8=acq_month,INDEX('Financial Statements'!$D$54:$BA$54,T$7),0)</f>
        <v>0</v>
      </c>
      <c r="U22" s="62" cm="1">
        <f t="array" ref="U22">IF(U$8=acq_month,INDEX('Financial Statements'!$D$54:$BA$54,U$7),0)</f>
        <v>0</v>
      </c>
      <c r="V22" s="62" cm="1">
        <f t="array" ref="V22">IF(V$8=acq_month,INDEX('Financial Statements'!$D$54:$BA$54,V$7),0)</f>
        <v>0</v>
      </c>
      <c r="W22" s="62" cm="1">
        <f t="array" ref="W22">IF(W$8=acq_month,INDEX('Financial Statements'!$D$54:$BA$54,W$7),0)</f>
        <v>0</v>
      </c>
      <c r="X22" s="62" cm="1">
        <f t="array" ref="X22">IF(X$8=acq_month,INDEX('Financial Statements'!$D$54:$BA$54,X$7),0)</f>
        <v>0</v>
      </c>
      <c r="Y22" s="62" cm="1">
        <f t="array" ref="Y22">IF(Y$8=acq_month,INDEX('Financial Statements'!$D$54:$BA$54,Y$7),0)</f>
        <v>0</v>
      </c>
      <c r="Z22" s="62" cm="1">
        <f t="array" ref="Z22">IF(Z$8=acq_month,INDEX('Financial Statements'!$D$54:$BA$54,Z$7),0)</f>
        <v>0</v>
      </c>
      <c r="AA22" s="62" cm="1">
        <f t="array" aca="1" ref="AA22" ca="1">IF(AA$8=acq_month,INDEX('Financial Statements'!$D$54:$BA$54,AA$7),0)</f>
        <v>-579600</v>
      </c>
      <c r="AB22" s="62" cm="1">
        <f t="array" ref="AB22">IF(AB$8=acq_month,INDEX('Financial Statements'!$D$54:$BA$54,AB$7),0)</f>
        <v>0</v>
      </c>
      <c r="AC22" s="62" cm="1">
        <f t="array" ref="AC22">IF(AC$8=acq_month,INDEX('Financial Statements'!$D$54:$BA$54,AC$7),0)</f>
        <v>0</v>
      </c>
      <c r="AD22" s="62" cm="1">
        <f t="array" ref="AD22">IF(AD$8=acq_month,INDEX('Financial Statements'!$D$54:$BA$54,AD$7),0)</f>
        <v>0</v>
      </c>
      <c r="AE22" s="62" cm="1">
        <f t="array" ref="AE22">IF(AE$8=acq_month,INDEX('Financial Statements'!$D$54:$BA$54,AE$7),0)</f>
        <v>0</v>
      </c>
      <c r="AF22" s="62" cm="1">
        <f t="array" ref="AF22">IF(AF$8=acq_month,INDEX('Financial Statements'!$D$54:$BA$54,AF$7),0)</f>
        <v>0</v>
      </c>
      <c r="AG22" s="62" cm="1">
        <f t="array" ref="AG22">IF(AG$8=acq_month,INDEX('Financial Statements'!$D$54:$BA$54,AG$7),0)</f>
        <v>0</v>
      </c>
      <c r="AH22" s="62" cm="1">
        <f t="array" ref="AH22">IF(AH$8=acq_month,INDEX('Financial Statements'!$D$54:$BA$54,AH$7),0)</f>
        <v>0</v>
      </c>
      <c r="AI22" s="62" cm="1">
        <f t="array" ref="AI22">IF(AI$8=acq_month,INDEX('Financial Statements'!$D$54:$BA$54,AI$7),0)</f>
        <v>0</v>
      </c>
      <c r="AJ22" s="62" cm="1">
        <f t="array" ref="AJ22">IF(AJ$8=acq_month,INDEX('Financial Statements'!$D$54:$BA$54,AJ$7),0)</f>
        <v>0</v>
      </c>
      <c r="AK22" s="62" cm="1">
        <f t="array" ref="AK22">IF(AK$8=acq_month,INDEX('Financial Statements'!$D$54:$BA$54,AK$7),0)</f>
        <v>0</v>
      </c>
      <c r="AL22" s="62" cm="1">
        <f t="array" ref="AL22">IF(AL$8=acq_month,INDEX('Financial Statements'!$D$54:$BA$54,AL$7),0)</f>
        <v>0</v>
      </c>
      <c r="AM22" s="62" cm="1">
        <f t="array" aca="1" ref="AM22" ca="1">IF(AM$8=acq_month,INDEX('Financial Statements'!$D$54:$BA$54,AM$7),0)</f>
        <v>-899828.99999999977</v>
      </c>
      <c r="AN22" s="62" cm="1">
        <f t="array" ref="AN22">IF(AN$8=acq_month,INDEX('Financial Statements'!$D$54:$BA$54,AN$7),0)</f>
        <v>0</v>
      </c>
      <c r="AO22" s="62" cm="1">
        <f t="array" ref="AO22">IF(AO$8=acq_month,INDEX('Financial Statements'!$D$54:$BA$54,AO$7),0)</f>
        <v>0</v>
      </c>
      <c r="AP22" s="62" cm="1">
        <f t="array" ref="AP22">IF(AP$8=acq_month,INDEX('Financial Statements'!$D$54:$BA$54,AP$7),0)</f>
        <v>0</v>
      </c>
      <c r="AQ22" s="62" cm="1">
        <f t="array" ref="AQ22">IF(AQ$8=acq_month,INDEX('Financial Statements'!$D$54:$BA$54,AQ$7),0)</f>
        <v>0</v>
      </c>
      <c r="AR22" s="62" cm="1">
        <f t="array" ref="AR22">IF(AR$8=acq_month,INDEX('Financial Statements'!$D$54:$BA$54,AR$7),0)</f>
        <v>0</v>
      </c>
      <c r="AS22" s="62" cm="1">
        <f t="array" ref="AS22">IF(AS$8=acq_month,INDEX('Financial Statements'!$D$54:$BA$54,AS$7),0)</f>
        <v>0</v>
      </c>
      <c r="AT22" s="62" cm="1">
        <f t="array" ref="AT22">IF(AT$8=acq_month,INDEX('Financial Statements'!$D$54:$BA$54,AT$7),0)</f>
        <v>0</v>
      </c>
      <c r="AU22" s="62" cm="1">
        <f t="array" ref="AU22">IF(AU$8=acq_month,INDEX('Financial Statements'!$D$54:$BA$54,AU$7),0)</f>
        <v>0</v>
      </c>
      <c r="AV22" s="62" cm="1">
        <f t="array" ref="AV22">IF(AV$8=acq_month,INDEX('Financial Statements'!$D$54:$BA$54,AV$7),0)</f>
        <v>0</v>
      </c>
      <c r="AW22" s="62" cm="1">
        <f t="array" ref="AW22">IF(AW$8=acq_month,INDEX('Financial Statements'!$D$54:$BA$54,AW$7),0)</f>
        <v>0</v>
      </c>
      <c r="AX22" s="62" cm="1">
        <f t="array" ref="AX22">IF(AX$8=acq_month,INDEX('Financial Statements'!$D$54:$BA$54,AX$7),0)</f>
        <v>0</v>
      </c>
      <c r="AY22" s="62" cm="1">
        <f t="array" aca="1" ref="AY22" ca="1">IF(AY$8=acq_month,INDEX('Financial Statements'!$D$54:$BA$54,AY$7),0)</f>
        <v>-931323.0149999999</v>
      </c>
      <c r="AZ22" s="62" cm="1">
        <f t="array" ref="AZ22">IF(AZ$8=acq_month,INDEX('Financial Statements'!$D$54:$BA$54,AZ$7),0)</f>
        <v>0</v>
      </c>
      <c r="BA22" s="62" cm="1">
        <f t="array" ref="BA22">IF(BA$8=acq_month,INDEX('Financial Statements'!$D$54:$BA$54,BA$7),0)</f>
        <v>0</v>
      </c>
      <c r="BB22" s="62" cm="1">
        <f t="array" ref="BB22">IF(BB$8=acq_month,INDEX('Financial Statements'!$D$54:$BA$54,BB$7),0)</f>
        <v>0</v>
      </c>
      <c r="BC22" s="62" cm="1">
        <f t="array" ref="BC22">IF(BC$8=acq_month,INDEX('Financial Statements'!$D$54:$BA$54,BC$7),0)</f>
        <v>0</v>
      </c>
      <c r="BD22" s="62" cm="1">
        <f t="array" ref="BD22">IF(BD$8=acq_month,INDEX('Financial Statements'!$D$54:$BA$54,BD$7),0)</f>
        <v>0</v>
      </c>
      <c r="BE22" s="62" cm="1">
        <f t="array" ref="BE22">IF(BE$8=acq_month,INDEX('Financial Statements'!$D$54:$BA$54,BE$7),0)</f>
        <v>0</v>
      </c>
      <c r="BF22" s="62" cm="1">
        <f t="array" ref="BF22">IF(BF$8=acq_month,INDEX('Financial Statements'!$D$54:$BA$54,BF$7),0)</f>
        <v>0</v>
      </c>
      <c r="BG22" s="62" cm="1">
        <f t="array" ref="BG22">IF(BG$8=acq_month,INDEX('Financial Statements'!$D$54:$BA$54,BG$7),0)</f>
        <v>0</v>
      </c>
      <c r="BH22" s="62" cm="1">
        <f t="array" ref="BH22">IF(BH$8=acq_month,INDEX('Financial Statements'!$D$54:$BA$54,BH$7),0)</f>
        <v>0</v>
      </c>
      <c r="BI22" s="62" cm="1">
        <f t="array" ref="BI22">IF(BI$8=acq_month,INDEX('Financial Statements'!$D$54:$BA$54,BI$7),0)</f>
        <v>0</v>
      </c>
      <c r="BJ22" s="62" cm="1">
        <f t="array" ref="BJ22">IF(BJ$8=acq_month,INDEX('Financial Statements'!$D$54:$BA$54,BJ$7),0)</f>
        <v>0</v>
      </c>
      <c r="BK22" s="62" cm="1">
        <f t="array" aca="1" ref="BK22" ca="1">IF(BK$8=acq_month,INDEX('Financial Statements'!$D$54:$BA$54,BK$7),0)</f>
        <v>-963919.32052499987</v>
      </c>
    </row>
    <row r="23" spans="1:63" x14ac:dyDescent="0.3">
      <c r="A23" t="s">
        <v>207</v>
      </c>
      <c r="B23" t="s">
        <v>48</v>
      </c>
      <c r="D23" s="62" cm="1">
        <f t="array" ref="D23">IF(MOD(D$8,12/debt_pay_freq)=0,INDEX('Financial Statements'!$D$50:$BA$50,D$7)/debt_pay_freq,0)</f>
        <v>0</v>
      </c>
      <c r="E23" s="62" cm="1">
        <f t="array" ref="E23">IF(MOD(E$8,12/debt_pay_freq)=0,INDEX('Financial Statements'!$D$50:$BA$50,E$7)/debt_pay_freq,0)</f>
        <v>0</v>
      </c>
      <c r="F23" s="62" cm="1">
        <f t="array" aca="1" ref="F23" ca="1">IF(MOD(F$8,12/debt_pay_freq)=0,INDEX('Financial Statements'!$D$50:$BA$50,F$7)/debt_pay_freq,0)</f>
        <v>-416.40625</v>
      </c>
      <c r="G23" s="62" cm="1">
        <f t="array" ref="G23">IF(MOD(G$8,12/debt_pay_freq)=0,INDEX('Financial Statements'!$D$50:$BA$50,G$7)/debt_pay_freq,0)</f>
        <v>0</v>
      </c>
      <c r="H23" s="62" cm="1">
        <f t="array" ref="H23">IF(MOD(H$8,12/debt_pay_freq)=0,INDEX('Financial Statements'!$D$50:$BA$50,H$7)/debt_pay_freq,0)</f>
        <v>0</v>
      </c>
      <c r="I23" s="62" cm="1">
        <f t="array" aca="1" ref="I23" ca="1">IF(MOD(I$8,12/debt_pay_freq)=0,INDEX('Financial Statements'!$D$50:$BA$50,I$7)/debt_pay_freq,0)</f>
        <v>-416.40625</v>
      </c>
      <c r="J23" s="62" cm="1">
        <f t="array" ref="J23">IF(MOD(J$8,12/debt_pay_freq)=0,INDEX('Financial Statements'!$D$50:$BA$50,J$7)/debt_pay_freq,0)</f>
        <v>0</v>
      </c>
      <c r="K23" s="62" cm="1">
        <f t="array" ref="K23">IF(MOD(K$8,12/debt_pay_freq)=0,INDEX('Financial Statements'!$D$50:$BA$50,K$7)/debt_pay_freq,0)</f>
        <v>0</v>
      </c>
      <c r="L23" s="62" cm="1">
        <f t="array" aca="1" ref="L23" ca="1">IF(MOD(L$8,12/debt_pay_freq)=0,INDEX('Financial Statements'!$D$50:$BA$50,L$7)/debt_pay_freq,0)</f>
        <v>-416.40625</v>
      </c>
      <c r="M23" s="62" cm="1">
        <f t="array" ref="M23">IF(MOD(M$8,12/debt_pay_freq)=0,INDEX('Financial Statements'!$D$50:$BA$50,M$7)/debt_pay_freq,0)</f>
        <v>0</v>
      </c>
      <c r="N23" s="62" cm="1">
        <f t="array" ref="N23">IF(MOD(N$8,12/debt_pay_freq)=0,INDEX('Financial Statements'!$D$50:$BA$50,N$7)/debt_pay_freq,0)</f>
        <v>0</v>
      </c>
      <c r="O23" s="62" cm="1">
        <f t="array" aca="1" ref="O23" ca="1">IF(MOD(O$8,12/debt_pay_freq)=0,INDEX('Financial Statements'!$D$50:$BA$50,O$7)/debt_pay_freq,0)</f>
        <v>-416.40625</v>
      </c>
      <c r="P23" s="62" cm="1">
        <f t="array" ref="P23">IF(MOD(P$8,12/debt_pay_freq)=0,INDEX('Financial Statements'!$D$50:$BA$50,P$7)/debt_pay_freq,0)</f>
        <v>0</v>
      </c>
      <c r="Q23" s="62" cm="1">
        <f t="array" ref="Q23">IF(MOD(Q$8,12/debt_pay_freq)=0,INDEX('Financial Statements'!$D$50:$BA$50,Q$7)/debt_pay_freq,0)</f>
        <v>0</v>
      </c>
      <c r="R23" s="62" cm="1">
        <f t="array" aca="1" ref="R23" ca="1">IF(MOD(R$8,12/debt_pay_freq)=0,INDEX('Financial Statements'!$D$50:$BA$50,R$7)/debt_pay_freq,0)</f>
        <v>-4063.0407104492188</v>
      </c>
      <c r="S23" s="62" cm="1">
        <f t="array" ref="S23">IF(MOD(S$8,12/debt_pay_freq)=0,INDEX('Financial Statements'!$D$50:$BA$50,S$7)/debt_pay_freq,0)</f>
        <v>0</v>
      </c>
      <c r="T23" s="62" cm="1">
        <f t="array" ref="T23">IF(MOD(T$8,12/debt_pay_freq)=0,INDEX('Financial Statements'!$D$50:$BA$50,T$7)/debt_pay_freq,0)</f>
        <v>0</v>
      </c>
      <c r="U23" s="62" cm="1">
        <f t="array" aca="1" ref="U23" ca="1">IF(MOD(U$8,12/debt_pay_freq)=0,INDEX('Financial Statements'!$D$50:$BA$50,U$7)/debt_pay_freq,0)</f>
        <v>-4063.0407104492188</v>
      </c>
      <c r="V23" s="62" cm="1">
        <f t="array" ref="V23">IF(MOD(V$8,12/debt_pay_freq)=0,INDEX('Financial Statements'!$D$50:$BA$50,V$7)/debt_pay_freq,0)</f>
        <v>0</v>
      </c>
      <c r="W23" s="62" cm="1">
        <f t="array" ref="W23">IF(MOD(W$8,12/debt_pay_freq)=0,INDEX('Financial Statements'!$D$50:$BA$50,W$7)/debt_pay_freq,0)</f>
        <v>0</v>
      </c>
      <c r="X23" s="62" cm="1">
        <f t="array" aca="1" ref="X23" ca="1">IF(MOD(X$8,12/debt_pay_freq)=0,INDEX('Financial Statements'!$D$50:$BA$50,X$7)/debt_pay_freq,0)</f>
        <v>-4063.0407104492188</v>
      </c>
      <c r="Y23" s="62" cm="1">
        <f t="array" ref="Y23">IF(MOD(Y$8,12/debt_pay_freq)=0,INDEX('Financial Statements'!$D$50:$BA$50,Y$7)/debt_pay_freq,0)</f>
        <v>0</v>
      </c>
      <c r="Z23" s="62" cm="1">
        <f t="array" ref="Z23">IF(MOD(Z$8,12/debt_pay_freq)=0,INDEX('Financial Statements'!$D$50:$BA$50,Z$7)/debt_pay_freq,0)</f>
        <v>0</v>
      </c>
      <c r="AA23" s="62" cm="1">
        <f t="array" aca="1" ref="AA23" ca="1">IF(MOD(AA$8,12/debt_pay_freq)=0,INDEX('Financial Statements'!$D$50:$BA$50,AA$7)/debt_pay_freq,0)</f>
        <v>-4063.0407104492188</v>
      </c>
      <c r="AB23" s="62" cm="1">
        <f t="array" ref="AB23">IF(MOD(AB$8,12/debt_pay_freq)=0,INDEX('Financial Statements'!$D$50:$BA$50,AB$7)/debt_pay_freq,0)</f>
        <v>0</v>
      </c>
      <c r="AC23" s="62" cm="1">
        <f t="array" ref="AC23">IF(MOD(AC$8,12/debt_pay_freq)=0,INDEX('Financial Statements'!$D$50:$BA$50,AC$7)/debt_pay_freq,0)</f>
        <v>0</v>
      </c>
      <c r="AD23" s="62" cm="1">
        <f t="array" aca="1" ref="AD23" ca="1">IF(MOD(AD$8,12/debt_pay_freq)=0,INDEX('Financial Statements'!$D$50:$BA$50,AD$7)/debt_pay_freq,0)</f>
        <v>-12831.481300683019</v>
      </c>
      <c r="AE23" s="62" cm="1">
        <f t="array" ref="AE23">IF(MOD(AE$8,12/debt_pay_freq)=0,INDEX('Financial Statements'!$D$50:$BA$50,AE$7)/debt_pay_freq,0)</f>
        <v>0</v>
      </c>
      <c r="AF23" s="62" cm="1">
        <f t="array" ref="AF23">IF(MOD(AF$8,12/debt_pay_freq)=0,INDEX('Financial Statements'!$D$50:$BA$50,AF$7)/debt_pay_freq,0)</f>
        <v>0</v>
      </c>
      <c r="AG23" s="62" cm="1">
        <f t="array" aca="1" ref="AG23" ca="1">IF(MOD(AG$8,12/debt_pay_freq)=0,INDEX('Financial Statements'!$D$50:$BA$50,AG$7)/debt_pay_freq,0)</f>
        <v>-12831.481300683019</v>
      </c>
      <c r="AH23" s="62" cm="1">
        <f t="array" ref="AH23">IF(MOD(AH$8,12/debt_pay_freq)=0,INDEX('Financial Statements'!$D$50:$BA$50,AH$7)/debt_pay_freq,0)</f>
        <v>0</v>
      </c>
      <c r="AI23" s="62" cm="1">
        <f t="array" ref="AI23">IF(MOD(AI$8,12/debt_pay_freq)=0,INDEX('Financial Statements'!$D$50:$BA$50,AI$7)/debt_pay_freq,0)</f>
        <v>0</v>
      </c>
      <c r="AJ23" s="62" cm="1">
        <f t="array" aca="1" ref="AJ23" ca="1">IF(MOD(AJ$8,12/debt_pay_freq)=0,INDEX('Financial Statements'!$D$50:$BA$50,AJ$7)/debt_pay_freq,0)</f>
        <v>-12831.481300683019</v>
      </c>
      <c r="AK23" s="62" cm="1">
        <f t="array" ref="AK23">IF(MOD(AK$8,12/debt_pay_freq)=0,INDEX('Financial Statements'!$D$50:$BA$50,AK$7)/debt_pay_freq,0)</f>
        <v>0</v>
      </c>
      <c r="AL23" s="62" cm="1">
        <f t="array" ref="AL23">IF(MOD(AL$8,12/debt_pay_freq)=0,INDEX('Financial Statements'!$D$50:$BA$50,AL$7)/debt_pay_freq,0)</f>
        <v>0</v>
      </c>
      <c r="AM23" s="62" cm="1">
        <f t="array" aca="1" ref="AM23" ca="1">IF(MOD(AM$8,12/debt_pay_freq)=0,INDEX('Financial Statements'!$D$50:$BA$50,AM$7)/debt_pay_freq,0)</f>
        <v>-12831.481300683019</v>
      </c>
      <c r="AN23" s="62" cm="1">
        <f t="array" ref="AN23">IF(MOD(AN$8,12/debt_pay_freq)=0,INDEX('Financial Statements'!$D$50:$BA$50,AN$7)/debt_pay_freq,0)</f>
        <v>0</v>
      </c>
      <c r="AO23" s="62" cm="1">
        <f t="array" ref="AO23">IF(MOD(AO$8,12/debt_pay_freq)=0,INDEX('Financial Statements'!$D$50:$BA$50,AO$7)/debt_pay_freq,0)</f>
        <v>0</v>
      </c>
      <c r="AP23" s="62" cm="1">
        <f t="array" aca="1" ref="AP23" ca="1">IF(MOD(AP$8,12/debt_pay_freq)=0,INDEX('Financial Statements'!$D$50:$BA$50,AP$7)/debt_pay_freq,0)</f>
        <v>-23868.299686707505</v>
      </c>
      <c r="AQ23" s="62" cm="1">
        <f t="array" ref="AQ23">IF(MOD(AQ$8,12/debt_pay_freq)=0,INDEX('Financial Statements'!$D$50:$BA$50,AQ$7)/debt_pay_freq,0)</f>
        <v>0</v>
      </c>
      <c r="AR23" s="62" cm="1">
        <f t="array" ref="AR23">IF(MOD(AR$8,12/debt_pay_freq)=0,INDEX('Financial Statements'!$D$50:$BA$50,AR$7)/debt_pay_freq,0)</f>
        <v>0</v>
      </c>
      <c r="AS23" s="62" cm="1">
        <f t="array" aca="1" ref="AS23" ca="1">IF(MOD(AS$8,12/debt_pay_freq)=0,INDEX('Financial Statements'!$D$50:$BA$50,AS$7)/debt_pay_freq,0)</f>
        <v>-23868.299686707505</v>
      </c>
      <c r="AT23" s="62" cm="1">
        <f t="array" ref="AT23">IF(MOD(AT$8,12/debt_pay_freq)=0,INDEX('Financial Statements'!$D$50:$BA$50,AT$7)/debt_pay_freq,0)</f>
        <v>0</v>
      </c>
      <c r="AU23" s="62" cm="1">
        <f t="array" ref="AU23">IF(MOD(AU$8,12/debt_pay_freq)=0,INDEX('Financial Statements'!$D$50:$BA$50,AU$7)/debt_pay_freq,0)</f>
        <v>0</v>
      </c>
      <c r="AV23" s="62" cm="1">
        <f t="array" aca="1" ref="AV23" ca="1">IF(MOD(AV$8,12/debt_pay_freq)=0,INDEX('Financial Statements'!$D$50:$BA$50,AV$7)/debt_pay_freq,0)</f>
        <v>-23868.299686707505</v>
      </c>
      <c r="AW23" s="62" cm="1">
        <f t="array" ref="AW23">IF(MOD(AW$8,12/debt_pay_freq)=0,INDEX('Financial Statements'!$D$50:$BA$50,AW$7)/debt_pay_freq,0)</f>
        <v>0</v>
      </c>
      <c r="AX23" s="62" cm="1">
        <f t="array" ref="AX23">IF(MOD(AX$8,12/debt_pay_freq)=0,INDEX('Financial Statements'!$D$50:$BA$50,AX$7)/debt_pay_freq,0)</f>
        <v>0</v>
      </c>
      <c r="AY23" s="62" cm="1">
        <f t="array" aca="1" ref="AY23" ca="1">IF(MOD(AY$8,12/debt_pay_freq)=0,INDEX('Financial Statements'!$D$50:$BA$50,AY$7)/debt_pay_freq,0)</f>
        <v>-23868.299686707505</v>
      </c>
      <c r="AZ23" s="62" cm="1">
        <f t="array" ref="AZ23">IF(MOD(AZ$8,12/debt_pay_freq)=0,INDEX('Financial Statements'!$D$50:$BA$50,AZ$7)/debt_pay_freq,0)</f>
        <v>0</v>
      </c>
      <c r="BA23" s="62" cm="1">
        <f t="array" ref="BA23">IF(MOD(BA$8,12/debt_pay_freq)=0,INDEX('Financial Statements'!$D$50:$BA$50,BA$7)/debt_pay_freq,0)</f>
        <v>0</v>
      </c>
      <c r="BB23" s="62" cm="1">
        <f t="array" aca="1" ref="BB23" ca="1">IF(MOD(BB$8,12/debt_pay_freq)=0,INDEX('Financial Statements'!$D$50:$BA$50,BB$7)/debt_pay_freq,0)</f>
        <v>-35459.291635429792</v>
      </c>
      <c r="BC23" s="62" cm="1">
        <f t="array" ref="BC23">IF(MOD(BC$8,12/debt_pay_freq)=0,INDEX('Financial Statements'!$D$50:$BA$50,BC$7)/debt_pay_freq,0)</f>
        <v>0</v>
      </c>
      <c r="BD23" s="62" cm="1">
        <f t="array" ref="BD23">IF(MOD(BD$8,12/debt_pay_freq)=0,INDEX('Financial Statements'!$D$50:$BA$50,BD$7)/debt_pay_freq,0)</f>
        <v>0</v>
      </c>
      <c r="BE23" s="62" cm="1">
        <f t="array" aca="1" ref="BE23" ca="1">IF(MOD(BE$8,12/debt_pay_freq)=0,INDEX('Financial Statements'!$D$50:$BA$50,BE$7)/debt_pay_freq,0)</f>
        <v>-35459.291635429792</v>
      </c>
      <c r="BF23" s="62" cm="1">
        <f t="array" ref="BF23">IF(MOD(BF$8,12/debt_pay_freq)=0,INDEX('Financial Statements'!$D$50:$BA$50,BF$7)/debt_pay_freq,0)</f>
        <v>0</v>
      </c>
      <c r="BG23" s="62" cm="1">
        <f t="array" ref="BG23">IF(MOD(BG$8,12/debt_pay_freq)=0,INDEX('Financial Statements'!$D$50:$BA$50,BG$7)/debt_pay_freq,0)</f>
        <v>0</v>
      </c>
      <c r="BH23" s="62" cm="1">
        <f t="array" aca="1" ref="BH23" ca="1">IF(MOD(BH$8,12/debt_pay_freq)=0,INDEX('Financial Statements'!$D$50:$BA$50,BH$7)/debt_pay_freq,0)</f>
        <v>-35459.291635429792</v>
      </c>
      <c r="BI23" s="62" cm="1">
        <f t="array" ref="BI23">IF(MOD(BI$8,12/debt_pay_freq)=0,INDEX('Financial Statements'!$D$50:$BA$50,BI$7)/debt_pay_freq,0)</f>
        <v>0</v>
      </c>
      <c r="BJ23" s="62" cm="1">
        <f t="array" ref="BJ23">IF(MOD(BJ$8,12/debt_pay_freq)=0,INDEX('Financial Statements'!$D$50:$BA$50,BJ$7)/debt_pay_freq,0)</f>
        <v>0</v>
      </c>
      <c r="BK23" s="62" cm="1">
        <f t="array" aca="1" ref="BK23" ca="1">IF(MOD(BK$8,12/debt_pay_freq)=0,INDEX('Financial Statements'!$D$50:$BA$50,BK$7)/debt_pay_freq,0)</f>
        <v>-35459.291635429792</v>
      </c>
    </row>
    <row r="24" spans="1:63" x14ac:dyDescent="0.3">
      <c r="A24" t="s">
        <v>260</v>
      </c>
      <c r="B24" t="s">
        <v>48</v>
      </c>
      <c r="D24" s="62" cm="1">
        <f t="array" ref="D24">IF(MOD(D$8,12/debt_pay_freq)=0,INDEX('Financial Statements'!$D$59:$BA$59,D$7)/debt_pay_freq,0)</f>
        <v>0</v>
      </c>
      <c r="E24" s="62" cm="1">
        <f t="array" ref="E24">IF(MOD(E$8,12/debt_pay_freq)=0,INDEX('Financial Statements'!$D$59:$BA$59,E$7)/debt_pay_freq,0)</f>
        <v>0</v>
      </c>
      <c r="F24" s="62" cm="1">
        <f t="array" ref="F24">IF(MOD(F$8,12/debt_pay_freq)=0,INDEX('Financial Statements'!$D$59:$BA$59,F$7)/debt_pay_freq,0)</f>
        <v>0</v>
      </c>
      <c r="G24" s="62" cm="1">
        <f t="array" ref="G24">IF(MOD(G$8,12/debt_pay_freq)=0,INDEX('Financial Statements'!$D$59:$BA$59,G$7)/debt_pay_freq,0)</f>
        <v>0</v>
      </c>
      <c r="H24" s="62" cm="1">
        <f t="array" ref="H24">IF(MOD(H$8,12/debt_pay_freq)=0,INDEX('Financial Statements'!$D$59:$BA$59,H$7)/debt_pay_freq,0)</f>
        <v>0</v>
      </c>
      <c r="I24" s="62" cm="1">
        <f t="array" ref="I24">IF(MOD(I$8,12/debt_pay_freq)=0,INDEX('Financial Statements'!$D$59:$BA$59,I$7)/debt_pay_freq,0)</f>
        <v>0</v>
      </c>
      <c r="J24" s="62" cm="1">
        <f t="array" ref="J24">IF(MOD(J$8,12/debt_pay_freq)=0,INDEX('Financial Statements'!$D$59:$BA$59,J$7)/debt_pay_freq,0)</f>
        <v>0</v>
      </c>
      <c r="K24" s="62" cm="1">
        <f t="array" ref="K24">IF(MOD(K$8,12/debt_pay_freq)=0,INDEX('Financial Statements'!$D$59:$BA$59,K$7)/debt_pay_freq,0)</f>
        <v>0</v>
      </c>
      <c r="L24" s="62" cm="1">
        <f t="array" ref="L24">IF(MOD(L$8,12/debt_pay_freq)=0,INDEX('Financial Statements'!$D$59:$BA$59,L$7)/debt_pay_freq,0)</f>
        <v>0</v>
      </c>
      <c r="M24" s="62" cm="1">
        <f t="array" ref="M24">IF(MOD(M$8,12/debt_pay_freq)=0,INDEX('Financial Statements'!$D$59:$BA$59,M$7)/debt_pay_freq,0)</f>
        <v>0</v>
      </c>
      <c r="N24" s="62" cm="1">
        <f t="array" ref="N24">IF(MOD(N$8,12/debt_pay_freq)=0,INDEX('Financial Statements'!$D$59:$BA$59,N$7)/debt_pay_freq,0)</f>
        <v>0</v>
      </c>
      <c r="O24" s="62" cm="1">
        <f t="array" ref="O24">IF(MOD(O$8,12/debt_pay_freq)=0,INDEX('Financial Statements'!$D$59:$BA$59,O$7)/debt_pay_freq,0)</f>
        <v>0</v>
      </c>
      <c r="P24" s="62" cm="1">
        <f t="array" ref="P24">IF(MOD(P$8,12/debt_pay_freq)=0,INDEX('Financial Statements'!$D$59:$BA$59,P$7)/debt_pay_freq,0)</f>
        <v>0</v>
      </c>
      <c r="Q24" s="62" cm="1">
        <f t="array" ref="Q24">IF(MOD(Q$8,12/debt_pay_freq)=0,INDEX('Financial Statements'!$D$59:$BA$59,Q$7)/debt_pay_freq,0)</f>
        <v>0</v>
      </c>
      <c r="R24" s="62" cm="1">
        <f t="array" ref="R24">IF(MOD(R$8,12/debt_pay_freq)=0,INDEX('Financial Statements'!$D$59:$BA$59,R$7)/debt_pay_freq,0)</f>
        <v>0</v>
      </c>
      <c r="S24" s="62" cm="1">
        <f t="array" ref="S24">IF(MOD(S$8,12/debt_pay_freq)=0,INDEX('Financial Statements'!$D$59:$BA$59,S$7)/debt_pay_freq,0)</f>
        <v>0</v>
      </c>
      <c r="T24" s="62" cm="1">
        <f t="array" ref="T24">IF(MOD(T$8,12/debt_pay_freq)=0,INDEX('Financial Statements'!$D$59:$BA$59,T$7)/debt_pay_freq,0)</f>
        <v>0</v>
      </c>
      <c r="U24" s="62" cm="1">
        <f t="array" ref="U24">IF(MOD(U$8,12/debt_pay_freq)=0,INDEX('Financial Statements'!$D$59:$BA$59,U$7)/debt_pay_freq,0)</f>
        <v>0</v>
      </c>
      <c r="V24" s="62" cm="1">
        <f t="array" ref="V24">IF(MOD(V$8,12/debt_pay_freq)=0,INDEX('Financial Statements'!$D$59:$BA$59,V$7)/debt_pay_freq,0)</f>
        <v>0</v>
      </c>
      <c r="W24" s="62" cm="1">
        <f t="array" ref="W24">IF(MOD(W$8,12/debt_pay_freq)=0,INDEX('Financial Statements'!$D$59:$BA$59,W$7)/debt_pay_freq,0)</f>
        <v>0</v>
      </c>
      <c r="X24" s="62" cm="1">
        <f t="array" ref="X24">IF(MOD(X$8,12/debt_pay_freq)=0,INDEX('Financial Statements'!$D$59:$BA$59,X$7)/debt_pay_freq,0)</f>
        <v>0</v>
      </c>
      <c r="Y24" s="62" cm="1">
        <f t="array" ref="Y24">IF(MOD(Y$8,12/debt_pay_freq)=0,INDEX('Financial Statements'!$D$59:$BA$59,Y$7)/debt_pay_freq,0)</f>
        <v>0</v>
      </c>
      <c r="Z24" s="62" cm="1">
        <f t="array" ref="Z24">IF(MOD(Z$8,12/debt_pay_freq)=0,INDEX('Financial Statements'!$D$59:$BA$59,Z$7)/debt_pay_freq,0)</f>
        <v>0</v>
      </c>
      <c r="AA24" s="62" cm="1">
        <f t="array" ref="AA24">IF(MOD(AA$8,12/debt_pay_freq)=0,INDEX('Financial Statements'!$D$59:$BA$59,AA$7)/debt_pay_freq,0)</f>
        <v>0</v>
      </c>
      <c r="AB24" s="62" cm="1">
        <f t="array" ref="AB24">IF(MOD(AB$8,12/debt_pay_freq)=0,INDEX('Financial Statements'!$D$59:$BA$59,AB$7)/debt_pay_freq,0)</f>
        <v>0</v>
      </c>
      <c r="AC24" s="62" cm="1">
        <f t="array" ref="AC24">IF(MOD(AC$8,12/debt_pay_freq)=0,INDEX('Financial Statements'!$D$59:$BA$59,AC$7)/debt_pay_freq,0)</f>
        <v>0</v>
      </c>
      <c r="AD24" s="62" cm="1">
        <f t="array" ref="AD24">IF(MOD(AD$8,12/debt_pay_freq)=0,INDEX('Financial Statements'!$D$59:$BA$59,AD$7)/debt_pay_freq,0)</f>
        <v>0</v>
      </c>
      <c r="AE24" s="62" cm="1">
        <f t="array" ref="AE24">IF(MOD(AE$8,12/debt_pay_freq)=0,INDEX('Financial Statements'!$D$59:$BA$59,AE$7)/debt_pay_freq,0)</f>
        <v>0</v>
      </c>
      <c r="AF24" s="62" cm="1">
        <f t="array" ref="AF24">IF(MOD(AF$8,12/debt_pay_freq)=0,INDEX('Financial Statements'!$D$59:$BA$59,AF$7)/debt_pay_freq,0)</f>
        <v>0</v>
      </c>
      <c r="AG24" s="62" cm="1">
        <f t="array" ref="AG24">IF(MOD(AG$8,12/debt_pay_freq)=0,INDEX('Financial Statements'!$D$59:$BA$59,AG$7)/debt_pay_freq,0)</f>
        <v>0</v>
      </c>
      <c r="AH24" s="62" cm="1">
        <f t="array" ref="AH24">IF(MOD(AH$8,12/debt_pay_freq)=0,INDEX('Financial Statements'!$D$59:$BA$59,AH$7)/debt_pay_freq,0)</f>
        <v>0</v>
      </c>
      <c r="AI24" s="62" cm="1">
        <f t="array" ref="AI24">IF(MOD(AI$8,12/debt_pay_freq)=0,INDEX('Financial Statements'!$D$59:$BA$59,AI$7)/debt_pay_freq,0)</f>
        <v>0</v>
      </c>
      <c r="AJ24" s="62" cm="1">
        <f t="array" ref="AJ24">IF(MOD(AJ$8,12/debt_pay_freq)=0,INDEX('Financial Statements'!$D$59:$BA$59,AJ$7)/debt_pay_freq,0)</f>
        <v>0</v>
      </c>
      <c r="AK24" s="62" cm="1">
        <f t="array" ref="AK24">IF(MOD(AK$8,12/debt_pay_freq)=0,INDEX('Financial Statements'!$D$59:$BA$59,AK$7)/debt_pay_freq,0)</f>
        <v>0</v>
      </c>
      <c r="AL24" s="62" cm="1">
        <f t="array" ref="AL24">IF(MOD(AL$8,12/debt_pay_freq)=0,INDEX('Financial Statements'!$D$59:$BA$59,AL$7)/debt_pay_freq,0)</f>
        <v>0</v>
      </c>
      <c r="AM24" s="62" cm="1">
        <f t="array" ref="AM24">IF(MOD(AM$8,12/debt_pay_freq)=0,INDEX('Financial Statements'!$D$59:$BA$59,AM$7)/debt_pay_freq,0)</f>
        <v>0</v>
      </c>
      <c r="AN24" s="62" cm="1">
        <f t="array" ref="AN24">IF(MOD(AN$8,12/debt_pay_freq)=0,INDEX('Financial Statements'!$D$59:$BA$59,AN$7)/debt_pay_freq,0)</f>
        <v>0</v>
      </c>
      <c r="AO24" s="62" cm="1">
        <f t="array" ref="AO24">IF(MOD(AO$8,12/debt_pay_freq)=0,INDEX('Financial Statements'!$D$59:$BA$59,AO$7)/debt_pay_freq,0)</f>
        <v>0</v>
      </c>
      <c r="AP24" s="62" cm="1">
        <f t="array" ref="AP24">IF(MOD(AP$8,12/debt_pay_freq)=0,INDEX('Financial Statements'!$D$59:$BA$59,AP$7)/debt_pay_freq,0)</f>
        <v>0</v>
      </c>
      <c r="AQ24" s="62" cm="1">
        <f t="array" ref="AQ24">IF(MOD(AQ$8,12/debt_pay_freq)=0,INDEX('Financial Statements'!$D$59:$BA$59,AQ$7)/debt_pay_freq,0)</f>
        <v>0</v>
      </c>
      <c r="AR24" s="62" cm="1">
        <f t="array" ref="AR24">IF(MOD(AR$8,12/debt_pay_freq)=0,INDEX('Financial Statements'!$D$59:$BA$59,AR$7)/debt_pay_freq,0)</f>
        <v>0</v>
      </c>
      <c r="AS24" s="62" cm="1">
        <f t="array" ref="AS24">IF(MOD(AS$8,12/debt_pay_freq)=0,INDEX('Financial Statements'!$D$59:$BA$59,AS$7)/debt_pay_freq,0)</f>
        <v>0</v>
      </c>
      <c r="AT24" s="62" cm="1">
        <f t="array" ref="AT24">IF(MOD(AT$8,12/debt_pay_freq)=0,INDEX('Financial Statements'!$D$59:$BA$59,AT$7)/debt_pay_freq,0)</f>
        <v>0</v>
      </c>
      <c r="AU24" s="62" cm="1">
        <f t="array" ref="AU24">IF(MOD(AU$8,12/debt_pay_freq)=0,INDEX('Financial Statements'!$D$59:$BA$59,AU$7)/debt_pay_freq,0)</f>
        <v>0</v>
      </c>
      <c r="AV24" s="62" cm="1">
        <f t="array" ref="AV24">IF(MOD(AV$8,12/debt_pay_freq)=0,INDEX('Financial Statements'!$D$59:$BA$59,AV$7)/debt_pay_freq,0)</f>
        <v>0</v>
      </c>
      <c r="AW24" s="62" cm="1">
        <f t="array" ref="AW24">IF(MOD(AW$8,12/debt_pay_freq)=0,INDEX('Financial Statements'!$D$59:$BA$59,AW$7)/debt_pay_freq,0)</f>
        <v>0</v>
      </c>
      <c r="AX24" s="62" cm="1">
        <f t="array" ref="AX24">IF(MOD(AX$8,12/debt_pay_freq)=0,INDEX('Financial Statements'!$D$59:$BA$59,AX$7)/debt_pay_freq,0)</f>
        <v>0</v>
      </c>
      <c r="AY24" s="62" cm="1">
        <f t="array" ref="AY24">IF(MOD(AY$8,12/debt_pay_freq)=0,INDEX('Financial Statements'!$D$59:$BA$59,AY$7)/debt_pay_freq,0)</f>
        <v>0</v>
      </c>
      <c r="AZ24" s="62" cm="1">
        <f t="array" ref="AZ24">IF(MOD(AZ$8,12/debt_pay_freq)=0,INDEX('Financial Statements'!$D$59:$BA$59,AZ$7)/debt_pay_freq,0)</f>
        <v>0</v>
      </c>
      <c r="BA24" s="62" cm="1">
        <f t="array" ref="BA24">IF(MOD(BA$8,12/debt_pay_freq)=0,INDEX('Financial Statements'!$D$59:$BA$59,BA$7)/debt_pay_freq,0)</f>
        <v>0</v>
      </c>
      <c r="BB24" s="62" cm="1">
        <f t="array" ref="BB24">IF(MOD(BB$8,12/debt_pay_freq)=0,INDEX('Financial Statements'!$D$59:$BA$59,BB$7)/debt_pay_freq,0)</f>
        <v>0</v>
      </c>
      <c r="BC24" s="62" cm="1">
        <f t="array" ref="BC24">IF(MOD(BC$8,12/debt_pay_freq)=0,INDEX('Financial Statements'!$D$59:$BA$59,BC$7)/debt_pay_freq,0)</f>
        <v>0</v>
      </c>
      <c r="BD24" s="62" cm="1">
        <f t="array" ref="BD24">IF(MOD(BD$8,12/debt_pay_freq)=0,INDEX('Financial Statements'!$D$59:$BA$59,BD$7)/debt_pay_freq,0)</f>
        <v>0</v>
      </c>
      <c r="BE24" s="62" cm="1">
        <f t="array" ref="BE24">IF(MOD(BE$8,12/debt_pay_freq)=0,INDEX('Financial Statements'!$D$59:$BA$59,BE$7)/debt_pay_freq,0)</f>
        <v>0</v>
      </c>
      <c r="BF24" s="62" cm="1">
        <f t="array" ref="BF24">IF(MOD(BF$8,12/debt_pay_freq)=0,INDEX('Financial Statements'!$D$59:$BA$59,BF$7)/debt_pay_freq,0)</f>
        <v>0</v>
      </c>
      <c r="BG24" s="62" cm="1">
        <f t="array" ref="BG24">IF(MOD(BG$8,12/debt_pay_freq)=0,INDEX('Financial Statements'!$D$59:$BA$59,BG$7)/debt_pay_freq,0)</f>
        <v>0</v>
      </c>
      <c r="BH24" s="62" cm="1">
        <f t="array" ref="BH24">IF(MOD(BH$8,12/debt_pay_freq)=0,INDEX('Financial Statements'!$D$59:$BA$59,BH$7)/debt_pay_freq,0)</f>
        <v>0</v>
      </c>
      <c r="BI24" s="62" cm="1">
        <f t="array" ref="BI24">IF(MOD(BI$8,12/debt_pay_freq)=0,INDEX('Financial Statements'!$D$59:$BA$59,BI$7)/debt_pay_freq,0)</f>
        <v>0</v>
      </c>
      <c r="BJ24" s="62" cm="1">
        <f t="array" ref="BJ24">IF(MOD(BJ$8,12/debt_pay_freq)=0,INDEX('Financial Statements'!$D$59:$BA$59,BJ$7)/debt_pay_freq,0)</f>
        <v>0</v>
      </c>
      <c r="BK24" s="62" cm="1">
        <f t="array" ref="BK24">IF(MOD(BK$8,12/debt_pay_freq)=0,INDEX('Financial Statements'!$D$59:$BA$59,BK$7)/debt_pay_freq,0)</f>
        <v>0</v>
      </c>
    </row>
    <row r="25" spans="1:63" x14ac:dyDescent="0.3">
      <c r="A25" t="s">
        <v>233</v>
      </c>
      <c r="B25" t="s">
        <v>48</v>
      </c>
      <c r="D25" s="62" cm="1">
        <f t="array" ref="D25">IF(D$8=div_month,INDEX('Financial Statements'!$D$51:$BA$51,D$7),0)</f>
        <v>0</v>
      </c>
      <c r="E25" s="62" cm="1">
        <f t="array" ref="E25">IF(E$8=div_month,INDEX('Financial Statements'!$D$51:$BA$51,E$7),0)</f>
        <v>0</v>
      </c>
      <c r="F25" s="62" cm="1">
        <f t="array" ref="F25">IF(F$8=div_month,INDEX('Financial Statements'!$D$51:$BA$51,F$7),0)</f>
        <v>0</v>
      </c>
      <c r="G25" s="62" cm="1">
        <f t="array" ref="G25">IF(G$8=div_month,INDEX('Financial Statements'!$D$51:$BA$51,G$7),0)</f>
        <v>0</v>
      </c>
      <c r="H25" s="62" cm="1">
        <f t="array" ref="H25">IF(H$8=div_month,INDEX('Financial Statements'!$D$51:$BA$51,H$7),0)</f>
        <v>0</v>
      </c>
      <c r="I25" s="62" cm="1">
        <f t="array" ref="I25">IF(I$8=div_month,INDEX('Financial Statements'!$D$51:$BA$51,I$7),0)</f>
        <v>0</v>
      </c>
      <c r="J25" s="62" cm="1">
        <f t="array" ref="J25">IF(J$8=div_month,INDEX('Financial Statements'!$D$51:$BA$51,J$7),0)</f>
        <v>0</v>
      </c>
      <c r="K25" s="62" cm="1">
        <f t="array" ref="K25">IF(K$8=div_month,INDEX('Financial Statements'!$D$51:$BA$51,K$7),0)</f>
        <v>0</v>
      </c>
      <c r="L25" s="62" cm="1">
        <f t="array" ref="L25">IF(L$8=div_month,INDEX('Financial Statements'!$D$51:$BA$51,L$7),0)</f>
        <v>0</v>
      </c>
      <c r="M25" s="62" cm="1">
        <f t="array" ref="M25">IF(M$8=div_month,INDEX('Financial Statements'!$D$51:$BA$51,M$7),0)</f>
        <v>0</v>
      </c>
      <c r="N25" s="62" cm="1">
        <f t="array" ref="N25">IF(N$8=div_month,INDEX('Financial Statements'!$D$51:$BA$51,N$7),0)</f>
        <v>0</v>
      </c>
      <c r="O25" s="62" cm="1">
        <f t="array" aca="1" ref="O25" ca="1">IF(O$8=div_month,INDEX('Financial Statements'!$D$51:$BA$51,O$7),0)</f>
        <v>0</v>
      </c>
      <c r="P25" s="62" cm="1">
        <f t="array" ref="P25">IF(P$8=div_month,INDEX('Financial Statements'!$D$51:$BA$51,P$7),0)</f>
        <v>0</v>
      </c>
      <c r="Q25" s="62" cm="1">
        <f t="array" ref="Q25">IF(Q$8=div_month,INDEX('Financial Statements'!$D$51:$BA$51,Q$7),0)</f>
        <v>0</v>
      </c>
      <c r="R25" s="62" cm="1">
        <f t="array" ref="R25">IF(R$8=div_month,INDEX('Financial Statements'!$D$51:$BA$51,R$7),0)</f>
        <v>0</v>
      </c>
      <c r="S25" s="62" cm="1">
        <f t="array" ref="S25">IF(S$8=div_month,INDEX('Financial Statements'!$D$51:$BA$51,S$7),0)</f>
        <v>0</v>
      </c>
      <c r="T25" s="62" cm="1">
        <f t="array" ref="T25">IF(T$8=div_month,INDEX('Financial Statements'!$D$51:$BA$51,T$7),0)</f>
        <v>0</v>
      </c>
      <c r="U25" s="62" cm="1">
        <f t="array" ref="U25">IF(U$8=div_month,INDEX('Financial Statements'!$D$51:$BA$51,U$7),0)</f>
        <v>0</v>
      </c>
      <c r="V25" s="62" cm="1">
        <f t="array" ref="V25">IF(V$8=div_month,INDEX('Financial Statements'!$D$51:$BA$51,V$7),0)</f>
        <v>0</v>
      </c>
      <c r="W25" s="62" cm="1">
        <f t="array" ref="W25">IF(W$8=div_month,INDEX('Financial Statements'!$D$51:$BA$51,W$7),0)</f>
        <v>0</v>
      </c>
      <c r="X25" s="62" cm="1">
        <f t="array" ref="X25">IF(X$8=div_month,INDEX('Financial Statements'!$D$51:$BA$51,X$7),0)</f>
        <v>0</v>
      </c>
      <c r="Y25" s="62" cm="1">
        <f t="array" ref="Y25">IF(Y$8=div_month,INDEX('Financial Statements'!$D$51:$BA$51,Y$7),0)</f>
        <v>0</v>
      </c>
      <c r="Z25" s="62" cm="1">
        <f t="array" ref="Z25">IF(Z$8=div_month,INDEX('Financial Statements'!$D$51:$BA$51,Z$7),0)</f>
        <v>0</v>
      </c>
      <c r="AA25" s="62" cm="1">
        <f t="array" aca="1" ref="AA25" ca="1">IF(AA$8=div_month,INDEX('Financial Statements'!$D$51:$BA$51,AA$7),0)</f>
        <v>0</v>
      </c>
      <c r="AB25" s="62" cm="1">
        <f t="array" ref="AB25">IF(AB$8=div_month,INDEX('Financial Statements'!$D$51:$BA$51,AB$7),0)</f>
        <v>0</v>
      </c>
      <c r="AC25" s="62" cm="1">
        <f t="array" ref="AC25">IF(AC$8=div_month,INDEX('Financial Statements'!$D$51:$BA$51,AC$7),0)</f>
        <v>0</v>
      </c>
      <c r="AD25" s="62" cm="1">
        <f t="array" ref="AD25">IF(AD$8=div_month,INDEX('Financial Statements'!$D$51:$BA$51,AD$7),0)</f>
        <v>0</v>
      </c>
      <c r="AE25" s="62" cm="1">
        <f t="array" ref="AE25">IF(AE$8=div_month,INDEX('Financial Statements'!$D$51:$BA$51,AE$7),0)</f>
        <v>0</v>
      </c>
      <c r="AF25" s="62" cm="1">
        <f t="array" ref="AF25">IF(AF$8=div_month,INDEX('Financial Statements'!$D$51:$BA$51,AF$7),0)</f>
        <v>0</v>
      </c>
      <c r="AG25" s="62" cm="1">
        <f t="array" ref="AG25">IF(AG$8=div_month,INDEX('Financial Statements'!$D$51:$BA$51,AG$7),0)</f>
        <v>0</v>
      </c>
      <c r="AH25" s="62" cm="1">
        <f t="array" ref="AH25">IF(AH$8=div_month,INDEX('Financial Statements'!$D$51:$BA$51,AH$7),0)</f>
        <v>0</v>
      </c>
      <c r="AI25" s="62" cm="1">
        <f t="array" ref="AI25">IF(AI$8=div_month,INDEX('Financial Statements'!$D$51:$BA$51,AI$7),0)</f>
        <v>0</v>
      </c>
      <c r="AJ25" s="62" cm="1">
        <f t="array" ref="AJ25">IF(AJ$8=div_month,INDEX('Financial Statements'!$D$51:$BA$51,AJ$7),0)</f>
        <v>0</v>
      </c>
      <c r="AK25" s="62" cm="1">
        <f t="array" ref="AK25">IF(AK$8=div_month,INDEX('Financial Statements'!$D$51:$BA$51,AK$7),0)</f>
        <v>0</v>
      </c>
      <c r="AL25" s="62" cm="1">
        <f t="array" ref="AL25">IF(AL$8=div_month,INDEX('Financial Statements'!$D$51:$BA$51,AL$7),0)</f>
        <v>0</v>
      </c>
      <c r="AM25" s="62" cm="1">
        <f t="array" aca="1" ref="AM25" ca="1">IF(AM$8=div_month,INDEX('Financial Statements'!$D$51:$BA$51,AM$7),0)</f>
        <v>-2307.1828124999997</v>
      </c>
      <c r="AN25" s="62" cm="1">
        <f t="array" ref="AN25">IF(AN$8=div_month,INDEX('Financial Statements'!$D$51:$BA$51,AN$7),0)</f>
        <v>0</v>
      </c>
      <c r="AO25" s="62" cm="1">
        <f t="array" ref="AO25">IF(AO$8=div_month,INDEX('Financial Statements'!$D$51:$BA$51,AO$7),0)</f>
        <v>0</v>
      </c>
      <c r="AP25" s="62" cm="1">
        <f t="array" ref="AP25">IF(AP$8=div_month,INDEX('Financial Statements'!$D$51:$BA$51,AP$7),0)</f>
        <v>0</v>
      </c>
      <c r="AQ25" s="62" cm="1">
        <f t="array" ref="AQ25">IF(AQ$8=div_month,INDEX('Financial Statements'!$D$51:$BA$51,AQ$7),0)</f>
        <v>0</v>
      </c>
      <c r="AR25" s="62" cm="1">
        <f t="array" ref="AR25">IF(AR$8=div_month,INDEX('Financial Statements'!$D$51:$BA$51,AR$7),0)</f>
        <v>0</v>
      </c>
      <c r="AS25" s="62" cm="1">
        <f t="array" ref="AS25">IF(AS$8=div_month,INDEX('Financial Statements'!$D$51:$BA$51,AS$7),0)</f>
        <v>0</v>
      </c>
      <c r="AT25" s="62" cm="1">
        <f t="array" ref="AT25">IF(AT$8=div_month,INDEX('Financial Statements'!$D$51:$BA$51,AT$7),0)</f>
        <v>0</v>
      </c>
      <c r="AU25" s="62" cm="1">
        <f t="array" ref="AU25">IF(AU$8=div_month,INDEX('Financial Statements'!$D$51:$BA$51,AU$7),0)</f>
        <v>0</v>
      </c>
      <c r="AV25" s="62" cm="1">
        <f t="array" ref="AV25">IF(AV$8=div_month,INDEX('Financial Statements'!$D$51:$BA$51,AV$7),0)</f>
        <v>0</v>
      </c>
      <c r="AW25" s="62" cm="1">
        <f t="array" ref="AW25">IF(AW$8=div_month,INDEX('Financial Statements'!$D$51:$BA$51,AW$7),0)</f>
        <v>0</v>
      </c>
      <c r="AX25" s="62" cm="1">
        <f t="array" ref="AX25">IF(AX$8=div_month,INDEX('Financial Statements'!$D$51:$BA$51,AX$7),0)</f>
        <v>0</v>
      </c>
      <c r="AY25" s="62" cm="1">
        <f t="array" aca="1" ref="AY25" ca="1">IF(AY$8=div_month,INDEX('Financial Statements'!$D$51:$BA$51,AY$7),0)</f>
        <v>-6164.1237630615233</v>
      </c>
      <c r="AZ25" s="62" cm="1">
        <f t="array" ref="AZ25">IF(AZ$8=div_month,INDEX('Financial Statements'!$D$51:$BA$51,AZ$7),0)</f>
        <v>0</v>
      </c>
      <c r="BA25" s="62" cm="1">
        <f t="array" ref="BA25">IF(BA$8=div_month,INDEX('Financial Statements'!$D$51:$BA$51,BA$7),0)</f>
        <v>0</v>
      </c>
      <c r="BB25" s="62" cm="1">
        <f t="array" ref="BB25">IF(BB$8=div_month,INDEX('Financial Statements'!$D$51:$BA$51,BB$7),0)</f>
        <v>0</v>
      </c>
      <c r="BC25" s="62" cm="1">
        <f t="array" ref="BC25">IF(BC$8=div_month,INDEX('Financial Statements'!$D$51:$BA$51,BC$7),0)</f>
        <v>0</v>
      </c>
      <c r="BD25" s="62" cm="1">
        <f t="array" ref="BD25">IF(BD$8=div_month,INDEX('Financial Statements'!$D$51:$BA$51,BD$7),0)</f>
        <v>0</v>
      </c>
      <c r="BE25" s="62" cm="1">
        <f t="array" ref="BE25">IF(BE$8=div_month,INDEX('Financial Statements'!$D$51:$BA$51,BE$7),0)</f>
        <v>0</v>
      </c>
      <c r="BF25" s="62" cm="1">
        <f t="array" ref="BF25">IF(BF$8=div_month,INDEX('Financial Statements'!$D$51:$BA$51,BF$7),0)</f>
        <v>0</v>
      </c>
      <c r="BG25" s="62" cm="1">
        <f t="array" ref="BG25">IF(BG$8=div_month,INDEX('Financial Statements'!$D$51:$BA$51,BG$7),0)</f>
        <v>0</v>
      </c>
      <c r="BH25" s="62" cm="1">
        <f t="array" ref="BH25">IF(BH$8=div_month,INDEX('Financial Statements'!$D$51:$BA$51,BH$7),0)</f>
        <v>0</v>
      </c>
      <c r="BI25" s="62" cm="1">
        <f t="array" ref="BI25">IF(BI$8=div_month,INDEX('Financial Statements'!$D$51:$BA$51,BI$7),0)</f>
        <v>0</v>
      </c>
      <c r="BJ25" s="62" cm="1">
        <f t="array" ref="BJ25">IF(BJ$8=div_month,INDEX('Financial Statements'!$D$51:$BA$51,BJ$7),0)</f>
        <v>0</v>
      </c>
      <c r="BK25" s="62" cm="1">
        <f t="array" aca="1" ref="BK25" ca="1">IF(BK$8=div_month,INDEX('Financial Statements'!$D$51:$BA$51,BK$7),0)</f>
        <v>-1278.9368376928833</v>
      </c>
    </row>
    <row r="26" spans="1:63" x14ac:dyDescent="0.3">
      <c r="A26" t="s">
        <v>234</v>
      </c>
      <c r="B26" t="s">
        <v>48</v>
      </c>
      <c r="D26" s="62" cm="1">
        <f t="array" ref="D26">IF(D$8=12,INDEX('Financial Statements'!$D$52:$BA$52,D$7),0)</f>
        <v>0</v>
      </c>
      <c r="E26" s="62" cm="1">
        <f t="array" ref="E26">IF(E$8=12,INDEX('Financial Statements'!$D$52:$BA$52,E$7),0)</f>
        <v>0</v>
      </c>
      <c r="F26" s="62" cm="1">
        <f t="array" ref="F26">IF(F$8=12,INDEX('Financial Statements'!$D$52:$BA$52,F$7),0)</f>
        <v>0</v>
      </c>
      <c r="G26" s="62" cm="1">
        <f t="array" ref="G26">IF(G$8=12,INDEX('Financial Statements'!$D$52:$BA$52,G$7),0)</f>
        <v>0</v>
      </c>
      <c r="H26" s="62" cm="1">
        <f t="array" ref="H26">IF(H$8=12,INDEX('Financial Statements'!$D$52:$BA$52,H$7),0)</f>
        <v>0</v>
      </c>
      <c r="I26" s="62" cm="1">
        <f t="array" ref="I26">IF(I$8=12,INDEX('Financial Statements'!$D$52:$BA$52,I$7),0)</f>
        <v>0</v>
      </c>
      <c r="J26" s="62" cm="1">
        <f t="array" ref="J26">IF(J$8=12,INDEX('Financial Statements'!$D$52:$BA$52,J$7),0)</f>
        <v>0</v>
      </c>
      <c r="K26" s="62" cm="1">
        <f t="array" ref="K26">IF(K$8=12,INDEX('Financial Statements'!$D$52:$BA$52,K$7),0)</f>
        <v>0</v>
      </c>
      <c r="L26" s="62" cm="1">
        <f t="array" ref="L26">IF(L$8=12,INDEX('Financial Statements'!$D$52:$BA$52,L$7),0)</f>
        <v>0</v>
      </c>
      <c r="M26" s="62" cm="1">
        <f t="array" ref="M26">IF(M$8=12,INDEX('Financial Statements'!$D$52:$BA$52,M$7),0)</f>
        <v>0</v>
      </c>
      <c r="N26" s="62" cm="1">
        <f t="array" ref="N26">IF(N$8=12,INDEX('Financial Statements'!$D$52:$BA$52,N$7),0)</f>
        <v>0</v>
      </c>
      <c r="O26" s="62" cm="1">
        <f t="array" ref="O26">IF(O$8=12,INDEX('Financial Statements'!$D$52:$BA$52,O$7),0)</f>
        <v>0</v>
      </c>
      <c r="P26" s="62" cm="1">
        <f t="array" ref="P26">IF(P$8=12,INDEX('Financial Statements'!$D$52:$BA$52,P$7),0)</f>
        <v>0</v>
      </c>
      <c r="Q26" s="62" cm="1">
        <f t="array" ref="Q26">IF(Q$8=12,INDEX('Financial Statements'!$D$52:$BA$52,Q$7),0)</f>
        <v>0</v>
      </c>
      <c r="R26" s="62" cm="1">
        <f t="array" ref="R26">IF(R$8=12,INDEX('Financial Statements'!$D$52:$BA$52,R$7),0)</f>
        <v>0</v>
      </c>
      <c r="S26" s="62" cm="1">
        <f t="array" ref="S26">IF(S$8=12,INDEX('Financial Statements'!$D$52:$BA$52,S$7),0)</f>
        <v>0</v>
      </c>
      <c r="T26" s="62" cm="1">
        <f t="array" ref="T26">IF(T$8=12,INDEX('Financial Statements'!$D$52:$BA$52,T$7),0)</f>
        <v>0</v>
      </c>
      <c r="U26" s="62" cm="1">
        <f t="array" ref="U26">IF(U$8=12,INDEX('Financial Statements'!$D$52:$BA$52,U$7),0)</f>
        <v>0</v>
      </c>
      <c r="V26" s="62" cm="1">
        <f t="array" ref="V26">IF(V$8=12,INDEX('Financial Statements'!$D$52:$BA$52,V$7),0)</f>
        <v>0</v>
      </c>
      <c r="W26" s="62" cm="1">
        <f t="array" ref="W26">IF(W$8=12,INDEX('Financial Statements'!$D$52:$BA$52,W$7),0)</f>
        <v>0</v>
      </c>
      <c r="X26" s="62" cm="1">
        <f t="array" ref="X26">IF(X$8=12,INDEX('Financial Statements'!$D$52:$BA$52,X$7),0)</f>
        <v>0</v>
      </c>
      <c r="Y26" s="62" cm="1">
        <f t="array" ref="Y26">IF(Y$8=12,INDEX('Financial Statements'!$D$52:$BA$52,Y$7),0)</f>
        <v>0</v>
      </c>
      <c r="Z26" s="62" cm="1">
        <f t="array" ref="Z26">IF(Z$8=12,INDEX('Financial Statements'!$D$52:$BA$52,Z$7),0)</f>
        <v>0</v>
      </c>
      <c r="AA26" s="62" cm="1">
        <f t="array" ref="AA26">IF(AA$8=12,INDEX('Financial Statements'!$D$52:$BA$52,AA$7),0)</f>
        <v>0</v>
      </c>
      <c r="AB26" s="62" cm="1">
        <f t="array" ref="AB26">IF(AB$8=12,INDEX('Financial Statements'!$D$52:$BA$52,AB$7),0)</f>
        <v>0</v>
      </c>
      <c r="AC26" s="62" cm="1">
        <f t="array" ref="AC26">IF(AC$8=12,INDEX('Financial Statements'!$D$52:$BA$52,AC$7),0)</f>
        <v>0</v>
      </c>
      <c r="AD26" s="62" cm="1">
        <f t="array" ref="AD26">IF(AD$8=12,INDEX('Financial Statements'!$D$52:$BA$52,AD$7),0)</f>
        <v>0</v>
      </c>
      <c r="AE26" s="62" cm="1">
        <f t="array" ref="AE26">IF(AE$8=12,INDEX('Financial Statements'!$D$52:$BA$52,AE$7),0)</f>
        <v>0</v>
      </c>
      <c r="AF26" s="62" cm="1">
        <f t="array" ref="AF26">IF(AF$8=12,INDEX('Financial Statements'!$D$52:$BA$52,AF$7),0)</f>
        <v>0</v>
      </c>
      <c r="AG26" s="62" cm="1">
        <f t="array" ref="AG26">IF(AG$8=12,INDEX('Financial Statements'!$D$52:$BA$52,AG$7),0)</f>
        <v>0</v>
      </c>
      <c r="AH26" s="62" cm="1">
        <f t="array" ref="AH26">IF(AH$8=12,INDEX('Financial Statements'!$D$52:$BA$52,AH$7),0)</f>
        <v>0</v>
      </c>
      <c r="AI26" s="62" cm="1">
        <f t="array" ref="AI26">IF(AI$8=12,INDEX('Financial Statements'!$D$52:$BA$52,AI$7),0)</f>
        <v>0</v>
      </c>
      <c r="AJ26" s="62" cm="1">
        <f t="array" ref="AJ26">IF(AJ$8=12,INDEX('Financial Statements'!$D$52:$BA$52,AJ$7),0)</f>
        <v>0</v>
      </c>
      <c r="AK26" s="62" cm="1">
        <f t="array" ref="AK26">IF(AK$8=12,INDEX('Financial Statements'!$D$52:$BA$52,AK$7),0)</f>
        <v>0</v>
      </c>
      <c r="AL26" s="62" cm="1">
        <f t="array" ref="AL26">IF(AL$8=12,INDEX('Financial Statements'!$D$52:$BA$52,AL$7),0)</f>
        <v>0</v>
      </c>
      <c r="AM26" s="62" cm="1">
        <f t="array" ref="AM26">IF(AM$8=12,INDEX('Financial Statements'!$D$52:$BA$52,AM$7),0)</f>
        <v>0</v>
      </c>
      <c r="AN26" s="62" cm="1">
        <f t="array" ref="AN26">IF(AN$8=12,INDEX('Financial Statements'!$D$52:$BA$52,AN$7),0)</f>
        <v>0</v>
      </c>
      <c r="AO26" s="62" cm="1">
        <f t="array" ref="AO26">IF(AO$8=12,INDEX('Financial Statements'!$D$52:$BA$52,AO$7),0)</f>
        <v>0</v>
      </c>
      <c r="AP26" s="62" cm="1">
        <f t="array" ref="AP26">IF(AP$8=12,INDEX('Financial Statements'!$D$52:$BA$52,AP$7),0)</f>
        <v>0</v>
      </c>
      <c r="AQ26" s="62" cm="1">
        <f t="array" ref="AQ26">IF(AQ$8=12,INDEX('Financial Statements'!$D$52:$BA$52,AQ$7),0)</f>
        <v>0</v>
      </c>
      <c r="AR26" s="62" cm="1">
        <f t="array" ref="AR26">IF(AR$8=12,INDEX('Financial Statements'!$D$52:$BA$52,AR$7),0)</f>
        <v>0</v>
      </c>
      <c r="AS26" s="62" cm="1">
        <f t="array" ref="AS26">IF(AS$8=12,INDEX('Financial Statements'!$D$52:$BA$52,AS$7),0)</f>
        <v>0</v>
      </c>
      <c r="AT26" s="62" cm="1">
        <f t="array" ref="AT26">IF(AT$8=12,INDEX('Financial Statements'!$D$52:$BA$52,AT$7),0)</f>
        <v>0</v>
      </c>
      <c r="AU26" s="62" cm="1">
        <f t="array" ref="AU26">IF(AU$8=12,INDEX('Financial Statements'!$D$52:$BA$52,AU$7),0)</f>
        <v>0</v>
      </c>
      <c r="AV26" s="62" cm="1">
        <f t="array" ref="AV26">IF(AV$8=12,INDEX('Financial Statements'!$D$52:$BA$52,AV$7),0)</f>
        <v>0</v>
      </c>
      <c r="AW26" s="62" cm="1">
        <f t="array" ref="AW26">IF(AW$8=12,INDEX('Financial Statements'!$D$52:$BA$52,AW$7),0)</f>
        <v>0</v>
      </c>
      <c r="AX26" s="62" cm="1">
        <f t="array" ref="AX26">IF(AX$8=12,INDEX('Financial Statements'!$D$52:$BA$52,AX$7),0)</f>
        <v>0</v>
      </c>
      <c r="AY26" s="62" cm="1">
        <f t="array" ref="AY26">IF(AY$8=12,INDEX('Financial Statements'!$D$52:$BA$52,AY$7),0)</f>
        <v>0</v>
      </c>
      <c r="AZ26" s="62" cm="1">
        <f t="array" ref="AZ26">IF(AZ$8=12,INDEX('Financial Statements'!$D$52:$BA$52,AZ$7),0)</f>
        <v>0</v>
      </c>
      <c r="BA26" s="62" cm="1">
        <f t="array" ref="BA26">IF(BA$8=12,INDEX('Financial Statements'!$D$52:$BA$52,BA$7),0)</f>
        <v>0</v>
      </c>
      <c r="BB26" s="62" cm="1">
        <f t="array" ref="BB26">IF(BB$8=12,INDEX('Financial Statements'!$D$52:$BA$52,BB$7),0)</f>
        <v>0</v>
      </c>
      <c r="BC26" s="62" cm="1">
        <f t="array" ref="BC26">IF(BC$8=12,INDEX('Financial Statements'!$D$52:$BA$52,BC$7),0)</f>
        <v>0</v>
      </c>
      <c r="BD26" s="62" cm="1">
        <f t="array" ref="BD26">IF(BD$8=12,INDEX('Financial Statements'!$D$52:$BA$52,BD$7),0)</f>
        <v>0</v>
      </c>
      <c r="BE26" s="62" cm="1">
        <f t="array" ref="BE26">IF(BE$8=12,INDEX('Financial Statements'!$D$52:$BA$52,BE$7),0)</f>
        <v>0</v>
      </c>
      <c r="BF26" s="62" cm="1">
        <f t="array" ref="BF26">IF(BF$8=12,INDEX('Financial Statements'!$D$52:$BA$52,BF$7),0)</f>
        <v>0</v>
      </c>
      <c r="BG26" s="62" cm="1">
        <f t="array" ref="BG26">IF(BG$8=12,INDEX('Financial Statements'!$D$52:$BA$52,BG$7),0)</f>
        <v>0</v>
      </c>
      <c r="BH26" s="62" cm="1">
        <f t="array" ref="BH26">IF(BH$8=12,INDEX('Financial Statements'!$D$52:$BA$52,BH$7),0)</f>
        <v>0</v>
      </c>
      <c r="BI26" s="62" cm="1">
        <f t="array" ref="BI26">IF(BI$8=12,INDEX('Financial Statements'!$D$52:$BA$52,BI$7),0)</f>
        <v>0</v>
      </c>
      <c r="BJ26" s="62" cm="1">
        <f t="array" ref="BJ26">IF(BJ$8=12,INDEX('Financial Statements'!$D$52:$BA$52,BJ$7),0)</f>
        <v>0</v>
      </c>
      <c r="BK26" s="62" cm="1">
        <f t="array" ref="BK26">IF(BK$8=12,INDEX('Financial Statements'!$D$52:$BA$52,BK$7),0)</f>
        <v>0</v>
      </c>
    </row>
    <row r="27" spans="1:63" x14ac:dyDescent="0.3">
      <c r="A27" t="s">
        <v>259</v>
      </c>
      <c r="B27" t="s">
        <v>48</v>
      </c>
      <c r="D27" s="62" cm="1">
        <f t="array" aca="1" ref="D27" ca="1">INDEX('Financial Statements'!$D$58:$BA$58,D$7)/12</f>
        <v>0</v>
      </c>
      <c r="E27" s="62" cm="1">
        <f t="array" aca="1" ref="E27" ca="1">INDEX('Financial Statements'!$D$58:$BA$58,E$7)/12</f>
        <v>0</v>
      </c>
      <c r="F27" s="62" cm="1">
        <f t="array" aca="1" ref="F27" ca="1">INDEX('Financial Statements'!$D$58:$BA$58,F$7)/12</f>
        <v>0</v>
      </c>
      <c r="G27" s="62" cm="1">
        <f t="array" aca="1" ref="G27" ca="1">INDEX('Financial Statements'!$D$58:$BA$58,G$7)/12</f>
        <v>0</v>
      </c>
      <c r="H27" s="62" cm="1">
        <f t="array" aca="1" ref="H27" ca="1">INDEX('Financial Statements'!$D$58:$BA$58,H$7)/12</f>
        <v>0</v>
      </c>
      <c r="I27" s="62" cm="1">
        <f t="array" aca="1" ref="I27" ca="1">INDEX('Financial Statements'!$D$58:$BA$58,I$7)/12</f>
        <v>0</v>
      </c>
      <c r="J27" s="62" cm="1">
        <f t="array" aca="1" ref="J27" ca="1">INDEX('Financial Statements'!$D$58:$BA$58,J$7)/12</f>
        <v>0</v>
      </c>
      <c r="K27" s="62" cm="1">
        <f t="array" aca="1" ref="K27" ca="1">INDEX('Financial Statements'!$D$58:$BA$58,K$7)/12</f>
        <v>0</v>
      </c>
      <c r="L27" s="62" cm="1">
        <f t="array" aca="1" ref="L27" ca="1">INDEX('Financial Statements'!$D$58:$BA$58,L$7)/12</f>
        <v>0</v>
      </c>
      <c r="M27" s="62" cm="1">
        <f t="array" aca="1" ref="M27" ca="1">INDEX('Financial Statements'!$D$58:$BA$58,M$7)/12</f>
        <v>0</v>
      </c>
      <c r="N27" s="62" cm="1">
        <f t="array" aca="1" ref="N27" ca="1">INDEX('Financial Statements'!$D$58:$BA$58,N$7)/12</f>
        <v>0</v>
      </c>
      <c r="O27" s="62" cm="1">
        <f t="array" aca="1" ref="O27" ca="1">INDEX('Financial Statements'!$D$58:$BA$58,O$7)/12</f>
        <v>0</v>
      </c>
      <c r="P27" s="62" cm="1">
        <f t="array" aca="1" ref="P27" ca="1">INDEX('Financial Statements'!$D$58:$BA$58,P$7)/12</f>
        <v>0</v>
      </c>
      <c r="Q27" s="62" cm="1">
        <f t="array" aca="1" ref="Q27" ca="1">INDEX('Financial Statements'!$D$58:$BA$58,Q$7)/12</f>
        <v>0</v>
      </c>
      <c r="R27" s="62" cm="1">
        <f t="array" aca="1" ref="R27" ca="1">INDEX('Financial Statements'!$D$58:$BA$58,R$7)/12</f>
        <v>0</v>
      </c>
      <c r="S27" s="62" cm="1">
        <f t="array" aca="1" ref="S27" ca="1">INDEX('Financial Statements'!$D$58:$BA$58,S$7)/12</f>
        <v>0</v>
      </c>
      <c r="T27" s="62" cm="1">
        <f t="array" aca="1" ref="T27" ca="1">INDEX('Financial Statements'!$D$58:$BA$58,T$7)/12</f>
        <v>0</v>
      </c>
      <c r="U27" s="62" cm="1">
        <f t="array" aca="1" ref="U27" ca="1">INDEX('Financial Statements'!$D$58:$BA$58,U$7)/12</f>
        <v>0</v>
      </c>
      <c r="V27" s="62" cm="1">
        <f t="array" aca="1" ref="V27" ca="1">INDEX('Financial Statements'!$D$58:$BA$58,V$7)/12</f>
        <v>0</v>
      </c>
      <c r="W27" s="62" cm="1">
        <f t="array" aca="1" ref="W27" ca="1">INDEX('Financial Statements'!$D$58:$BA$58,W$7)/12</f>
        <v>0</v>
      </c>
      <c r="X27" s="62" cm="1">
        <f t="array" aca="1" ref="X27" ca="1">INDEX('Financial Statements'!$D$58:$BA$58,X$7)/12</f>
        <v>0</v>
      </c>
      <c r="Y27" s="62" cm="1">
        <f t="array" aca="1" ref="Y27" ca="1">INDEX('Financial Statements'!$D$58:$BA$58,Y$7)/12</f>
        <v>0</v>
      </c>
      <c r="Z27" s="62" cm="1">
        <f t="array" aca="1" ref="Z27" ca="1">INDEX('Financial Statements'!$D$58:$BA$58,Z$7)/12</f>
        <v>0</v>
      </c>
      <c r="AA27" s="62" cm="1">
        <f t="array" aca="1" ref="AA27" ca="1">INDEX('Financial Statements'!$D$58:$BA$58,AA$7)/12</f>
        <v>0</v>
      </c>
      <c r="AB27" s="62" cm="1">
        <f t="array" aca="1" ref="AB27" ca="1">INDEX('Financial Statements'!$D$58:$BA$58,AB$7)/12</f>
        <v>0</v>
      </c>
      <c r="AC27" s="62" cm="1">
        <f t="array" aca="1" ref="AC27" ca="1">INDEX('Financial Statements'!$D$58:$BA$58,AC$7)/12</f>
        <v>0</v>
      </c>
      <c r="AD27" s="62" cm="1">
        <f t="array" aca="1" ref="AD27" ca="1">INDEX('Financial Statements'!$D$58:$BA$58,AD$7)/12</f>
        <v>0</v>
      </c>
      <c r="AE27" s="62" cm="1">
        <f t="array" aca="1" ref="AE27" ca="1">INDEX('Financial Statements'!$D$58:$BA$58,AE$7)/12</f>
        <v>0</v>
      </c>
      <c r="AF27" s="62" cm="1">
        <f t="array" aca="1" ref="AF27" ca="1">INDEX('Financial Statements'!$D$58:$BA$58,AF$7)/12</f>
        <v>0</v>
      </c>
      <c r="AG27" s="62" cm="1">
        <f t="array" aca="1" ref="AG27" ca="1">INDEX('Financial Statements'!$D$58:$BA$58,AG$7)/12</f>
        <v>0</v>
      </c>
      <c r="AH27" s="62" cm="1">
        <f t="array" aca="1" ref="AH27" ca="1">INDEX('Financial Statements'!$D$58:$BA$58,AH$7)/12</f>
        <v>0</v>
      </c>
      <c r="AI27" s="62" cm="1">
        <f t="array" aca="1" ref="AI27" ca="1">INDEX('Financial Statements'!$D$58:$BA$58,AI$7)/12</f>
        <v>0</v>
      </c>
      <c r="AJ27" s="62" cm="1">
        <f t="array" aca="1" ref="AJ27" ca="1">INDEX('Financial Statements'!$D$58:$BA$58,AJ$7)/12</f>
        <v>0</v>
      </c>
      <c r="AK27" s="62" cm="1">
        <f t="array" aca="1" ref="AK27" ca="1">INDEX('Financial Statements'!$D$58:$BA$58,AK$7)/12</f>
        <v>0</v>
      </c>
      <c r="AL27" s="62" cm="1">
        <f t="array" aca="1" ref="AL27" ca="1">INDEX('Financial Statements'!$D$58:$BA$58,AL$7)/12</f>
        <v>0</v>
      </c>
      <c r="AM27" s="62" cm="1">
        <f t="array" aca="1" ref="AM27" ca="1">INDEX('Financial Statements'!$D$58:$BA$58,AM$7)/12</f>
        <v>0</v>
      </c>
      <c r="AN27" s="62" cm="1">
        <f t="array" aca="1" ref="AN27" ca="1">INDEX('Financial Statements'!$D$58:$BA$58,AN$7)/12</f>
        <v>0</v>
      </c>
      <c r="AO27" s="62" cm="1">
        <f t="array" aca="1" ref="AO27" ca="1">INDEX('Financial Statements'!$D$58:$BA$58,AO$7)/12</f>
        <v>0</v>
      </c>
      <c r="AP27" s="62" cm="1">
        <f t="array" aca="1" ref="AP27" ca="1">INDEX('Financial Statements'!$D$58:$BA$58,AP$7)/12</f>
        <v>0</v>
      </c>
      <c r="AQ27" s="62" cm="1">
        <f t="array" aca="1" ref="AQ27" ca="1">INDEX('Financial Statements'!$D$58:$BA$58,AQ$7)/12</f>
        <v>0</v>
      </c>
      <c r="AR27" s="62" cm="1">
        <f t="array" aca="1" ref="AR27" ca="1">INDEX('Financial Statements'!$D$58:$BA$58,AR$7)/12</f>
        <v>0</v>
      </c>
      <c r="AS27" s="62" cm="1">
        <f t="array" aca="1" ref="AS27" ca="1">INDEX('Financial Statements'!$D$58:$BA$58,AS$7)/12</f>
        <v>0</v>
      </c>
      <c r="AT27" s="62" cm="1">
        <f t="array" aca="1" ref="AT27" ca="1">INDEX('Financial Statements'!$D$58:$BA$58,AT$7)/12</f>
        <v>0</v>
      </c>
      <c r="AU27" s="62" cm="1">
        <f t="array" aca="1" ref="AU27" ca="1">INDEX('Financial Statements'!$D$58:$BA$58,AU$7)/12</f>
        <v>0</v>
      </c>
      <c r="AV27" s="62" cm="1">
        <f t="array" aca="1" ref="AV27" ca="1">INDEX('Financial Statements'!$D$58:$BA$58,AV$7)/12</f>
        <v>0</v>
      </c>
      <c r="AW27" s="62" cm="1">
        <f t="array" aca="1" ref="AW27" ca="1">INDEX('Financial Statements'!$D$58:$BA$58,AW$7)/12</f>
        <v>0</v>
      </c>
      <c r="AX27" s="62" cm="1">
        <f t="array" aca="1" ref="AX27" ca="1">INDEX('Financial Statements'!$D$58:$BA$58,AX$7)/12</f>
        <v>0</v>
      </c>
      <c r="AY27" s="62" cm="1">
        <f t="array" aca="1" ref="AY27" ca="1">INDEX('Financial Statements'!$D$58:$BA$58,AY$7)/12</f>
        <v>0</v>
      </c>
      <c r="AZ27" s="62" cm="1">
        <f t="array" aca="1" ref="AZ27" ca="1">INDEX('Financial Statements'!$D$58:$BA$58,AZ$7)/12</f>
        <v>0</v>
      </c>
      <c r="BA27" s="62" cm="1">
        <f t="array" aca="1" ref="BA27" ca="1">INDEX('Financial Statements'!$D$58:$BA$58,BA$7)/12</f>
        <v>0</v>
      </c>
      <c r="BB27" s="62" cm="1">
        <f t="array" aca="1" ref="BB27" ca="1">INDEX('Financial Statements'!$D$58:$BA$58,BB$7)/12</f>
        <v>0</v>
      </c>
      <c r="BC27" s="62" cm="1">
        <f t="array" aca="1" ref="BC27" ca="1">INDEX('Financial Statements'!$D$58:$BA$58,BC$7)/12</f>
        <v>0</v>
      </c>
      <c r="BD27" s="62" cm="1">
        <f t="array" aca="1" ref="BD27" ca="1">INDEX('Financial Statements'!$D$58:$BA$58,BD$7)/12</f>
        <v>0</v>
      </c>
      <c r="BE27" s="62" cm="1">
        <f t="array" aca="1" ref="BE27" ca="1">INDEX('Financial Statements'!$D$58:$BA$58,BE$7)/12</f>
        <v>0</v>
      </c>
      <c r="BF27" s="62" cm="1">
        <f t="array" aca="1" ref="BF27" ca="1">INDEX('Financial Statements'!$D$58:$BA$58,BF$7)/12</f>
        <v>0</v>
      </c>
      <c r="BG27" s="62" cm="1">
        <f t="array" aca="1" ref="BG27" ca="1">INDEX('Financial Statements'!$D$58:$BA$58,BG$7)/12</f>
        <v>0</v>
      </c>
      <c r="BH27" s="62" cm="1">
        <f t="array" aca="1" ref="BH27" ca="1">INDEX('Financial Statements'!$D$58:$BA$58,BH$7)/12</f>
        <v>0</v>
      </c>
      <c r="BI27" s="62" cm="1">
        <f t="array" aca="1" ref="BI27" ca="1">INDEX('Financial Statements'!$D$58:$BA$58,BI$7)/12</f>
        <v>0</v>
      </c>
      <c r="BJ27" s="62" cm="1">
        <f t="array" aca="1" ref="BJ27" ca="1">INDEX('Financial Statements'!$D$58:$BA$58,BJ$7)/12</f>
        <v>0</v>
      </c>
      <c r="BK27" s="62" cm="1">
        <f t="array" aca="1" ref="BK27" ca="1">INDEX('Financial Statements'!$D$58:$BA$58,BK$7)/12</f>
        <v>0</v>
      </c>
    </row>
    <row r="29" spans="1:63" x14ac:dyDescent="0.3">
      <c r="A29" s="3" t="s">
        <v>393</v>
      </c>
      <c r="B29" s="3" t="s">
        <v>48</v>
      </c>
      <c r="D29" s="62">
        <f t="shared" ref="D29:AI29" ca="1" si="4">SUM(D11:D15)+SUM(D18:D27)</f>
        <v>159524.16666666669</v>
      </c>
      <c r="E29" s="62">
        <f t="shared" ca="1" si="4"/>
        <v>9524.1666666666661</v>
      </c>
      <c r="F29" s="62">
        <f t="shared" ca="1" si="4"/>
        <v>9107.7604166666661</v>
      </c>
      <c r="G29" s="62">
        <f t="shared" ca="1" si="4"/>
        <v>9524.1666666666661</v>
      </c>
      <c r="H29" s="62">
        <f t="shared" ca="1" si="4"/>
        <v>9524.1666666666661</v>
      </c>
      <c r="I29" s="62">
        <f t="shared" ca="1" si="4"/>
        <v>9107.7604166666661</v>
      </c>
      <c r="J29" s="62">
        <f t="shared" ca="1" si="4"/>
        <v>9524.1666666666661</v>
      </c>
      <c r="K29" s="62">
        <f t="shared" ca="1" si="4"/>
        <v>9524.1666666666661</v>
      </c>
      <c r="L29" s="62">
        <f t="shared" ca="1" si="4"/>
        <v>9107.7604166666661</v>
      </c>
      <c r="M29" s="62">
        <f t="shared" ca="1" si="4"/>
        <v>9524.1666666666661</v>
      </c>
      <c r="N29" s="62">
        <f t="shared" ca="1" si="4"/>
        <v>9524.1666666666661</v>
      </c>
      <c r="O29" s="62">
        <f t="shared" ca="1" si="4"/>
        <v>-225892.23958333337</v>
      </c>
      <c r="P29" s="62">
        <f t="shared" ca="1" si="4"/>
        <v>16985.653255208334</v>
      </c>
      <c r="Q29" s="62">
        <f t="shared" ca="1" si="4"/>
        <v>16985.653255208334</v>
      </c>
      <c r="R29" s="62">
        <f t="shared" ca="1" si="4"/>
        <v>12922.612544759117</v>
      </c>
      <c r="S29" s="62">
        <f t="shared" ca="1" si="4"/>
        <v>16985.653255208334</v>
      </c>
      <c r="T29" s="62">
        <f t="shared" ca="1" si="4"/>
        <v>16985.653255208334</v>
      </c>
      <c r="U29" s="62">
        <f t="shared" ca="1" si="4"/>
        <v>12922.612544759117</v>
      </c>
      <c r="V29" s="62">
        <f t="shared" ca="1" si="4"/>
        <v>16985.653255208334</v>
      </c>
      <c r="W29" s="62">
        <f t="shared" ca="1" si="4"/>
        <v>16985.653255208334</v>
      </c>
      <c r="X29" s="62">
        <f t="shared" ca="1" si="4"/>
        <v>12922.612544759117</v>
      </c>
      <c r="Y29" s="62">
        <f t="shared" ca="1" si="4"/>
        <v>16985.653255208334</v>
      </c>
      <c r="Z29" s="62">
        <f t="shared" ca="1" si="4"/>
        <v>16985.653255208334</v>
      </c>
      <c r="AA29" s="62">
        <f t="shared" ca="1" si="4"/>
        <v>-172888.17651774088</v>
      </c>
      <c r="AB29" s="62">
        <f t="shared" ca="1" si="4"/>
        <v>23404.836286204019</v>
      </c>
      <c r="AC29" s="62">
        <f t="shared" ca="1" si="4"/>
        <v>23404.836286204019</v>
      </c>
      <c r="AD29" s="62">
        <f t="shared" ca="1" si="4"/>
        <v>10573.354985521</v>
      </c>
      <c r="AE29" s="62">
        <f t="shared" ca="1" si="4"/>
        <v>23404.836286204019</v>
      </c>
      <c r="AF29" s="62">
        <f t="shared" ca="1" si="4"/>
        <v>23404.836286204019</v>
      </c>
      <c r="AG29" s="62">
        <f t="shared" ca="1" si="4"/>
        <v>10573.354985521</v>
      </c>
      <c r="AH29" s="62">
        <f t="shared" ca="1" si="4"/>
        <v>23404.836286204019</v>
      </c>
      <c r="AI29" s="62">
        <f t="shared" ca="1" si="4"/>
        <v>23404.836286204019</v>
      </c>
      <c r="AJ29" s="62">
        <f t="shared" ref="AJ29:BK29" ca="1" si="5">SUM(AJ11:AJ15)+SUM(AJ18:AJ27)</f>
        <v>10573.354985521</v>
      </c>
      <c r="AK29" s="62">
        <f t="shared" ca="1" si="5"/>
        <v>23404.836286204019</v>
      </c>
      <c r="AL29" s="62">
        <f t="shared" ca="1" si="5"/>
        <v>23404.836286204019</v>
      </c>
      <c r="AM29" s="62">
        <f t="shared" ca="1" si="5"/>
        <v>-229439.04126142734</v>
      </c>
      <c r="AN29" s="62">
        <f t="shared" ca="1" si="5"/>
        <v>31353.926410543354</v>
      </c>
      <c r="AO29" s="62">
        <f t="shared" ca="1" si="5"/>
        <v>31353.926410543354</v>
      </c>
      <c r="AP29" s="62">
        <f t="shared" ca="1" si="5"/>
        <v>7485.6267238358487</v>
      </c>
      <c r="AQ29" s="62">
        <f t="shared" ca="1" si="5"/>
        <v>31353.926410543354</v>
      </c>
      <c r="AR29" s="62">
        <f t="shared" ca="1" si="5"/>
        <v>31353.926410543354</v>
      </c>
      <c r="AS29" s="62">
        <f t="shared" ca="1" si="5"/>
        <v>7485.6267238358487</v>
      </c>
      <c r="AT29" s="62">
        <f t="shared" ca="1" si="5"/>
        <v>31353.926410543354</v>
      </c>
      <c r="AU29" s="62">
        <f t="shared" ca="1" si="5"/>
        <v>31353.926410543354</v>
      </c>
      <c r="AV29" s="62">
        <f t="shared" ca="1" si="5"/>
        <v>7485.6267238358487</v>
      </c>
      <c r="AW29" s="62">
        <f t="shared" ca="1" si="5"/>
        <v>31353.926410543354</v>
      </c>
      <c r="AX29" s="62">
        <f t="shared" ca="1" si="5"/>
        <v>31353.926410543354</v>
      </c>
      <c r="AY29" s="62">
        <f t="shared" ca="1" si="5"/>
        <v>-290655.53314496716</v>
      </c>
      <c r="AZ29" s="62">
        <f t="shared" ca="1" si="5"/>
        <v>34325.205679049417</v>
      </c>
      <c r="BA29" s="62">
        <f t="shared" ca="1" si="5"/>
        <v>34325.205679049417</v>
      </c>
      <c r="BB29" s="62">
        <f t="shared" ca="1" si="5"/>
        <v>-1134.0859563803751</v>
      </c>
      <c r="BC29" s="62">
        <f t="shared" ca="1" si="5"/>
        <v>34325.205679049417</v>
      </c>
      <c r="BD29" s="62">
        <f t="shared" ca="1" si="5"/>
        <v>34325.205679049417</v>
      </c>
      <c r="BE29" s="62">
        <f t="shared" ca="1" si="5"/>
        <v>-1134.0859563803751</v>
      </c>
      <c r="BF29" s="62">
        <f t="shared" ca="1" si="5"/>
        <v>34325.205679049417</v>
      </c>
      <c r="BG29" s="62">
        <f t="shared" ca="1" si="5"/>
        <v>34325.205679049417</v>
      </c>
      <c r="BH29" s="62">
        <f t="shared" ca="1" si="5"/>
        <v>-1134.0859563803751</v>
      </c>
      <c r="BI29" s="62">
        <f t="shared" ca="1" si="5"/>
        <v>34325.205679049417</v>
      </c>
      <c r="BJ29" s="62">
        <f t="shared" ca="1" si="5"/>
        <v>34325.205679049417</v>
      </c>
      <c r="BK29" s="62">
        <f t="shared" ca="1" si="5"/>
        <v>-269363.44319982477</v>
      </c>
    </row>
    <row r="30" spans="1:63" x14ac:dyDescent="0.3">
      <c r="A30" t="s">
        <v>263</v>
      </c>
      <c r="B30" t="s">
        <v>48</v>
      </c>
      <c r="D30" s="62">
        <f>0</f>
        <v>0</v>
      </c>
      <c r="E30" s="62">
        <f t="shared" ref="E30:AJ30" ca="1" si="6">D31</f>
        <v>159524.16666666669</v>
      </c>
      <c r="F30" s="62">
        <f t="shared" ca="1" si="6"/>
        <v>169048.33333333334</v>
      </c>
      <c r="G30" s="62">
        <f t="shared" ca="1" si="6"/>
        <v>178156.09375</v>
      </c>
      <c r="H30" s="62">
        <f t="shared" ca="1" si="6"/>
        <v>187680.26041666666</v>
      </c>
      <c r="I30" s="62">
        <f t="shared" ca="1" si="6"/>
        <v>197204.42708333331</v>
      </c>
      <c r="J30" s="62">
        <f t="shared" ca="1" si="6"/>
        <v>206312.18749999997</v>
      </c>
      <c r="K30" s="62">
        <f t="shared" ca="1" si="6"/>
        <v>215836.35416666663</v>
      </c>
      <c r="L30" s="62">
        <f t="shared" ca="1" si="6"/>
        <v>225360.52083333328</v>
      </c>
      <c r="M30" s="62">
        <f t="shared" ca="1" si="6"/>
        <v>234468.28124999994</v>
      </c>
      <c r="N30" s="62">
        <f t="shared" ca="1" si="6"/>
        <v>243992.4479166666</v>
      </c>
      <c r="O30" s="62">
        <f t="shared" ca="1" si="6"/>
        <v>253516.61458333326</v>
      </c>
      <c r="P30" s="62">
        <f t="shared" ca="1" si="6"/>
        <v>27624.374999999884</v>
      </c>
      <c r="Q30" s="62">
        <f t="shared" ca="1" si="6"/>
        <v>44610.028255208221</v>
      </c>
      <c r="R30" s="62">
        <f t="shared" ca="1" si="6"/>
        <v>61595.681510416558</v>
      </c>
      <c r="S30" s="62">
        <f t="shared" ca="1" si="6"/>
        <v>74518.294055175676</v>
      </c>
      <c r="T30" s="62">
        <f t="shared" ca="1" si="6"/>
        <v>91503.947310384014</v>
      </c>
      <c r="U30" s="62">
        <f t="shared" ca="1" si="6"/>
        <v>108489.60056559235</v>
      </c>
      <c r="V30" s="62">
        <f t="shared" ca="1" si="6"/>
        <v>121412.21311035147</v>
      </c>
      <c r="W30" s="62">
        <f t="shared" ca="1" si="6"/>
        <v>138397.86636555981</v>
      </c>
      <c r="X30" s="62">
        <f t="shared" ca="1" si="6"/>
        <v>155383.51962076814</v>
      </c>
      <c r="Y30" s="62">
        <f t="shared" ca="1" si="6"/>
        <v>168306.13216552726</v>
      </c>
      <c r="Z30" s="62">
        <f t="shared" ca="1" si="6"/>
        <v>185291.7854207356</v>
      </c>
      <c r="AA30" s="62">
        <f t="shared" ca="1" si="6"/>
        <v>202277.43867594394</v>
      </c>
      <c r="AB30" s="62">
        <f t="shared" ca="1" si="6"/>
        <v>29389.262158203055</v>
      </c>
      <c r="AC30" s="62">
        <f t="shared" ca="1" si="6"/>
        <v>52794.098444407078</v>
      </c>
      <c r="AD30" s="62">
        <f t="shared" ca="1" si="6"/>
        <v>76198.934730611101</v>
      </c>
      <c r="AE30" s="62">
        <f t="shared" ca="1" si="6"/>
        <v>86772.289716132102</v>
      </c>
      <c r="AF30" s="62">
        <f t="shared" ca="1" si="6"/>
        <v>110177.12600233612</v>
      </c>
      <c r="AG30" s="62">
        <f t="shared" ca="1" si="6"/>
        <v>133581.96228854015</v>
      </c>
      <c r="AH30" s="62">
        <f t="shared" ca="1" si="6"/>
        <v>144155.31727406115</v>
      </c>
      <c r="AI30" s="62">
        <f t="shared" ca="1" si="6"/>
        <v>167560.15356026517</v>
      </c>
      <c r="AJ30" s="62">
        <f t="shared" ca="1" si="6"/>
        <v>190964.98984646919</v>
      </c>
      <c r="AK30" s="62">
        <f t="shared" ref="AK30:BK30" ca="1" si="7">AJ31</f>
        <v>201538.34483199019</v>
      </c>
      <c r="AL30" s="62">
        <f t="shared" ca="1" si="7"/>
        <v>224943.18111819422</v>
      </c>
      <c r="AM30" s="62">
        <f t="shared" ca="1" si="7"/>
        <v>248348.01740439824</v>
      </c>
      <c r="AN30" s="62">
        <f t="shared" ca="1" si="7"/>
        <v>18908.976142970903</v>
      </c>
      <c r="AO30" s="62">
        <f t="shared" ca="1" si="7"/>
        <v>50262.902553514257</v>
      </c>
      <c r="AP30" s="62">
        <f t="shared" ca="1" si="7"/>
        <v>81616.828964057611</v>
      </c>
      <c r="AQ30" s="62">
        <f t="shared" ca="1" si="7"/>
        <v>89102.455687893467</v>
      </c>
      <c r="AR30" s="62">
        <f t="shared" ca="1" si="7"/>
        <v>120456.38209843682</v>
      </c>
      <c r="AS30" s="62">
        <f t="shared" ca="1" si="7"/>
        <v>151810.30850898018</v>
      </c>
      <c r="AT30" s="62">
        <f t="shared" ca="1" si="7"/>
        <v>159295.93523281603</v>
      </c>
      <c r="AU30" s="62">
        <f t="shared" ca="1" si="7"/>
        <v>190649.86164335939</v>
      </c>
      <c r="AV30" s="62">
        <f t="shared" ca="1" si="7"/>
        <v>222003.78805390274</v>
      </c>
      <c r="AW30" s="62">
        <f t="shared" ca="1" si="7"/>
        <v>229489.4147777386</v>
      </c>
      <c r="AX30" s="62">
        <f t="shared" ca="1" si="7"/>
        <v>260843.34118828195</v>
      </c>
      <c r="AY30" s="62">
        <f t="shared" ca="1" si="7"/>
        <v>292197.26759882527</v>
      </c>
      <c r="AZ30" s="62">
        <f t="shared" ca="1" si="7"/>
        <v>1541.7344538581092</v>
      </c>
      <c r="BA30" s="62">
        <f t="shared" ca="1" si="7"/>
        <v>35866.940132907526</v>
      </c>
      <c r="BB30" s="62">
        <f t="shared" ca="1" si="7"/>
        <v>70192.145811956943</v>
      </c>
      <c r="BC30" s="62">
        <f t="shared" ca="1" si="7"/>
        <v>69058.059855576576</v>
      </c>
      <c r="BD30" s="62">
        <f t="shared" ca="1" si="7"/>
        <v>103383.265534626</v>
      </c>
      <c r="BE30" s="62">
        <f t="shared" ca="1" si="7"/>
        <v>137708.47121367542</v>
      </c>
      <c r="BF30" s="62">
        <f t="shared" ca="1" si="7"/>
        <v>136574.38525729504</v>
      </c>
      <c r="BG30" s="62">
        <f t="shared" ca="1" si="7"/>
        <v>170899.59093634447</v>
      </c>
      <c r="BH30" s="62">
        <f t="shared" ca="1" si="7"/>
        <v>205224.79661539389</v>
      </c>
      <c r="BI30" s="62">
        <f t="shared" ca="1" si="7"/>
        <v>204090.71065901351</v>
      </c>
      <c r="BJ30" s="62">
        <f t="shared" ca="1" si="7"/>
        <v>238415.91633806293</v>
      </c>
      <c r="BK30" s="62">
        <f t="shared" ca="1" si="7"/>
        <v>272741.12201711233</v>
      </c>
    </row>
    <row r="31" spans="1:63" x14ac:dyDescent="0.3">
      <c r="A31" s="3" t="s">
        <v>264</v>
      </c>
      <c r="B31" s="3" t="s">
        <v>48</v>
      </c>
      <c r="D31" s="62">
        <f t="shared" ref="D31:AI31" ca="1" si="8">D30+D29</f>
        <v>159524.16666666669</v>
      </c>
      <c r="E31" s="62">
        <f t="shared" ca="1" si="8"/>
        <v>169048.33333333334</v>
      </c>
      <c r="F31" s="62">
        <f t="shared" ca="1" si="8"/>
        <v>178156.09375</v>
      </c>
      <c r="G31" s="62">
        <f t="shared" ca="1" si="8"/>
        <v>187680.26041666666</v>
      </c>
      <c r="H31" s="62">
        <f t="shared" ca="1" si="8"/>
        <v>197204.42708333331</v>
      </c>
      <c r="I31" s="62">
        <f t="shared" ca="1" si="8"/>
        <v>206312.18749999997</v>
      </c>
      <c r="J31" s="62">
        <f t="shared" ca="1" si="8"/>
        <v>215836.35416666663</v>
      </c>
      <c r="K31" s="62">
        <f t="shared" ca="1" si="8"/>
        <v>225360.52083333328</v>
      </c>
      <c r="L31" s="62">
        <f t="shared" ca="1" si="8"/>
        <v>234468.28124999994</v>
      </c>
      <c r="M31" s="62">
        <f t="shared" ca="1" si="8"/>
        <v>243992.4479166666</v>
      </c>
      <c r="N31" s="62">
        <f t="shared" ca="1" si="8"/>
        <v>253516.61458333326</v>
      </c>
      <c r="O31" s="62">
        <f t="shared" ca="1" si="8"/>
        <v>27624.374999999884</v>
      </c>
      <c r="P31" s="62">
        <f t="shared" ca="1" si="8"/>
        <v>44610.028255208221</v>
      </c>
      <c r="Q31" s="62">
        <f t="shared" ca="1" si="8"/>
        <v>61595.681510416558</v>
      </c>
      <c r="R31" s="62">
        <f t="shared" ca="1" si="8"/>
        <v>74518.294055175676</v>
      </c>
      <c r="S31" s="62">
        <f t="shared" ca="1" si="8"/>
        <v>91503.947310384014</v>
      </c>
      <c r="T31" s="62">
        <f t="shared" ca="1" si="8"/>
        <v>108489.60056559235</v>
      </c>
      <c r="U31" s="62">
        <f t="shared" ca="1" si="8"/>
        <v>121412.21311035147</v>
      </c>
      <c r="V31" s="62">
        <f t="shared" ca="1" si="8"/>
        <v>138397.86636555981</v>
      </c>
      <c r="W31" s="62">
        <f t="shared" ca="1" si="8"/>
        <v>155383.51962076814</v>
      </c>
      <c r="X31" s="62">
        <f t="shared" ca="1" si="8"/>
        <v>168306.13216552726</v>
      </c>
      <c r="Y31" s="62">
        <f t="shared" ca="1" si="8"/>
        <v>185291.7854207356</v>
      </c>
      <c r="Z31" s="62">
        <f t="shared" ca="1" si="8"/>
        <v>202277.43867594394</v>
      </c>
      <c r="AA31" s="62">
        <f t="shared" ca="1" si="8"/>
        <v>29389.262158203055</v>
      </c>
      <c r="AB31" s="62">
        <f t="shared" ca="1" si="8"/>
        <v>52794.098444407078</v>
      </c>
      <c r="AC31" s="62">
        <f t="shared" ca="1" si="8"/>
        <v>76198.934730611101</v>
      </c>
      <c r="AD31" s="62">
        <f t="shared" ca="1" si="8"/>
        <v>86772.289716132102</v>
      </c>
      <c r="AE31" s="62">
        <f t="shared" ca="1" si="8"/>
        <v>110177.12600233612</v>
      </c>
      <c r="AF31" s="62">
        <f t="shared" ca="1" si="8"/>
        <v>133581.96228854015</v>
      </c>
      <c r="AG31" s="62">
        <f t="shared" ca="1" si="8"/>
        <v>144155.31727406115</v>
      </c>
      <c r="AH31" s="62">
        <f t="shared" ca="1" si="8"/>
        <v>167560.15356026517</v>
      </c>
      <c r="AI31" s="62">
        <f t="shared" ca="1" si="8"/>
        <v>190964.98984646919</v>
      </c>
      <c r="AJ31" s="62">
        <f t="shared" ref="AJ31:BK31" ca="1" si="9">AJ30+AJ29</f>
        <v>201538.34483199019</v>
      </c>
      <c r="AK31" s="62">
        <f t="shared" ca="1" si="9"/>
        <v>224943.18111819422</v>
      </c>
      <c r="AL31" s="62">
        <f t="shared" ca="1" si="9"/>
        <v>248348.01740439824</v>
      </c>
      <c r="AM31" s="62">
        <f t="shared" ca="1" si="9"/>
        <v>18908.976142970903</v>
      </c>
      <c r="AN31" s="62">
        <f t="shared" ca="1" si="9"/>
        <v>50262.902553514257</v>
      </c>
      <c r="AO31" s="62">
        <f t="shared" ca="1" si="9"/>
        <v>81616.828964057611</v>
      </c>
      <c r="AP31" s="62">
        <f t="shared" ca="1" si="9"/>
        <v>89102.455687893467</v>
      </c>
      <c r="AQ31" s="62">
        <f t="shared" ca="1" si="9"/>
        <v>120456.38209843682</v>
      </c>
      <c r="AR31" s="62">
        <f t="shared" ca="1" si="9"/>
        <v>151810.30850898018</v>
      </c>
      <c r="AS31" s="62">
        <f t="shared" ca="1" si="9"/>
        <v>159295.93523281603</v>
      </c>
      <c r="AT31" s="62">
        <f t="shared" ca="1" si="9"/>
        <v>190649.86164335939</v>
      </c>
      <c r="AU31" s="62">
        <f t="shared" ca="1" si="9"/>
        <v>222003.78805390274</v>
      </c>
      <c r="AV31" s="62">
        <f t="shared" ca="1" si="9"/>
        <v>229489.4147777386</v>
      </c>
      <c r="AW31" s="62">
        <f t="shared" ca="1" si="9"/>
        <v>260843.34118828195</v>
      </c>
      <c r="AX31" s="62">
        <f t="shared" ca="1" si="9"/>
        <v>292197.26759882527</v>
      </c>
      <c r="AY31" s="62">
        <f t="shared" ca="1" si="9"/>
        <v>1541.7344538581092</v>
      </c>
      <c r="AZ31" s="62">
        <f t="shared" ca="1" si="9"/>
        <v>35866.940132907526</v>
      </c>
      <c r="BA31" s="62">
        <f t="shared" ca="1" si="9"/>
        <v>70192.145811956943</v>
      </c>
      <c r="BB31" s="62">
        <f t="shared" ca="1" si="9"/>
        <v>69058.059855576576</v>
      </c>
      <c r="BC31" s="62">
        <f t="shared" ca="1" si="9"/>
        <v>103383.265534626</v>
      </c>
      <c r="BD31" s="62">
        <f t="shared" ca="1" si="9"/>
        <v>137708.47121367542</v>
      </c>
      <c r="BE31" s="62">
        <f t="shared" ca="1" si="9"/>
        <v>136574.38525729504</v>
      </c>
      <c r="BF31" s="62">
        <f t="shared" ca="1" si="9"/>
        <v>170899.59093634447</v>
      </c>
      <c r="BG31" s="62">
        <f t="shared" ca="1" si="9"/>
        <v>205224.79661539389</v>
      </c>
      <c r="BH31" s="62">
        <f t="shared" ca="1" si="9"/>
        <v>204090.71065901351</v>
      </c>
      <c r="BI31" s="62">
        <f t="shared" ca="1" si="9"/>
        <v>238415.91633806293</v>
      </c>
      <c r="BJ31" s="62">
        <f t="shared" ca="1" si="9"/>
        <v>272741.12201711233</v>
      </c>
      <c r="BK31" s="62">
        <f t="shared" ca="1" si="9"/>
        <v>3377.6788172875531</v>
      </c>
    </row>
    <row r="32" spans="1:63" x14ac:dyDescent="0.3">
      <c r="A32" t="s">
        <v>394</v>
      </c>
      <c r="B32" t="s">
        <v>48</v>
      </c>
      <c r="D32" s="62" cm="1">
        <f t="array" aca="1" ref="D32" ca="1">-INDEX('Asset Register'!$D$135:$BA$135,D$7)*D$8/12</f>
        <v>-66.666666666666671</v>
      </c>
      <c r="E32" s="62" cm="1">
        <f t="array" aca="1" ref="E32" ca="1">-INDEX('Asset Register'!$D$135:$BA$135,E$7)*E$8/12</f>
        <v>-133.33333333333334</v>
      </c>
      <c r="F32" s="62" cm="1">
        <f t="array" aca="1" ref="F32" ca="1">-INDEX('Asset Register'!$D$135:$BA$135,F$7)*F$8/12</f>
        <v>-200</v>
      </c>
      <c r="G32" s="62" cm="1">
        <f t="array" aca="1" ref="G32" ca="1">-INDEX('Asset Register'!$D$135:$BA$135,G$7)*G$8/12</f>
        <v>-266.66666666666669</v>
      </c>
      <c r="H32" s="62" cm="1">
        <f t="array" aca="1" ref="H32" ca="1">-INDEX('Asset Register'!$D$135:$BA$135,H$7)*H$8/12</f>
        <v>-333.33333333333331</v>
      </c>
      <c r="I32" s="62" cm="1">
        <f t="array" aca="1" ref="I32" ca="1">-INDEX('Asset Register'!$D$135:$BA$135,I$7)*I$8/12</f>
        <v>-400</v>
      </c>
      <c r="J32" s="62" cm="1">
        <f t="array" aca="1" ref="J32" ca="1">-INDEX('Asset Register'!$D$135:$BA$135,J$7)*J$8/12</f>
        <v>-466.66666666666669</v>
      </c>
      <c r="K32" s="62" cm="1">
        <f t="array" aca="1" ref="K32" ca="1">-INDEX('Asset Register'!$D$135:$BA$135,K$7)*K$8/12</f>
        <v>-533.33333333333337</v>
      </c>
      <c r="L32" s="62" cm="1">
        <f t="array" aca="1" ref="L32" ca="1">-INDEX('Asset Register'!$D$135:$BA$135,L$7)*L$8/12</f>
        <v>-600</v>
      </c>
      <c r="M32" s="62" cm="1">
        <f t="array" aca="1" ref="M32" ca="1">-INDEX('Asset Register'!$D$135:$BA$135,M$7)*M$8/12</f>
        <v>-666.66666666666663</v>
      </c>
      <c r="N32" s="62" cm="1">
        <f t="array" aca="1" ref="N32" ca="1">-INDEX('Asset Register'!$D$135:$BA$135,N$7)*N$8/12</f>
        <v>-733.33333333333337</v>
      </c>
      <c r="O32" s="62" cm="1">
        <f t="array" aca="1" ref="O32" ca="1">-INDEX('Asset Register'!$D$135:$BA$135,O$7)*O$8/12</f>
        <v>-800</v>
      </c>
      <c r="P32" s="62" cm="1">
        <f t="array" aca="1" ref="P32" ca="1">-INDEX('Asset Register'!$D$135:$BA$135,P$7)*P$8/12</f>
        <v>-271.66666666666669</v>
      </c>
      <c r="Q32" s="62" cm="1">
        <f t="array" aca="1" ref="Q32" ca="1">-INDEX('Asset Register'!$D$135:$BA$135,Q$7)*Q$8/12</f>
        <v>-543.33333333333337</v>
      </c>
      <c r="R32" s="62" cm="1">
        <f t="array" aca="1" ref="R32" ca="1">-INDEX('Asset Register'!$D$135:$BA$135,R$7)*R$8/12</f>
        <v>-815</v>
      </c>
      <c r="S32" s="62" cm="1">
        <f t="array" aca="1" ref="S32" ca="1">-INDEX('Asset Register'!$D$135:$BA$135,S$7)*S$8/12</f>
        <v>-1086.6666666666667</v>
      </c>
      <c r="T32" s="62" cm="1">
        <f t="array" aca="1" ref="T32" ca="1">-INDEX('Asset Register'!$D$135:$BA$135,T$7)*T$8/12</f>
        <v>-1358.3333333333333</v>
      </c>
      <c r="U32" s="62" cm="1">
        <f t="array" aca="1" ref="U32" ca="1">-INDEX('Asset Register'!$D$135:$BA$135,U$7)*U$8/12</f>
        <v>-1630</v>
      </c>
      <c r="V32" s="62" cm="1">
        <f t="array" aca="1" ref="V32" ca="1">-INDEX('Asset Register'!$D$135:$BA$135,V$7)*V$8/12</f>
        <v>-1901.6666666666667</v>
      </c>
      <c r="W32" s="62" cm="1">
        <f t="array" aca="1" ref="W32" ca="1">-INDEX('Asset Register'!$D$135:$BA$135,W$7)*W$8/12</f>
        <v>-2173.3333333333335</v>
      </c>
      <c r="X32" s="62" cm="1">
        <f t="array" aca="1" ref="X32" ca="1">-INDEX('Asset Register'!$D$135:$BA$135,X$7)*X$8/12</f>
        <v>-2445</v>
      </c>
      <c r="Y32" s="62" cm="1">
        <f t="array" aca="1" ref="Y32" ca="1">-INDEX('Asset Register'!$D$135:$BA$135,Y$7)*Y$8/12</f>
        <v>-2716.6666666666665</v>
      </c>
      <c r="Z32" s="62" cm="1">
        <f t="array" aca="1" ref="Z32" ca="1">-INDEX('Asset Register'!$D$135:$BA$135,Z$7)*Z$8/12</f>
        <v>-2988.3333333333335</v>
      </c>
      <c r="AA32" s="62" cm="1">
        <f t="array" aca="1" ref="AA32" ca="1">-INDEX('Asset Register'!$D$135:$BA$135,AA$7)*AA$8/12</f>
        <v>-3260</v>
      </c>
      <c r="AB32" s="62" cm="1">
        <f t="array" aca="1" ref="AB32" ca="1">-INDEX('Asset Register'!$D$135:$BA$135,AB$7)*AB$8/12</f>
        <v>-691.91666666666663</v>
      </c>
      <c r="AC32" s="62" cm="1">
        <f t="array" aca="1" ref="AC32" ca="1">-INDEX('Asset Register'!$D$135:$BA$135,AC$7)*AC$8/12</f>
        <v>-1383.8333333333333</v>
      </c>
      <c r="AD32" s="62" cm="1">
        <f t="array" aca="1" ref="AD32" ca="1">-INDEX('Asset Register'!$D$135:$BA$135,AD$7)*AD$8/12</f>
        <v>-2075.75</v>
      </c>
      <c r="AE32" s="62" cm="1">
        <f t="array" aca="1" ref="AE32" ca="1">-INDEX('Asset Register'!$D$135:$BA$135,AE$7)*AE$8/12</f>
        <v>-2767.6666666666665</v>
      </c>
      <c r="AF32" s="62" cm="1">
        <f t="array" aca="1" ref="AF32" ca="1">-INDEX('Asset Register'!$D$135:$BA$135,AF$7)*AF$8/12</f>
        <v>-3459.5833333333335</v>
      </c>
      <c r="AG32" s="62" cm="1">
        <f t="array" aca="1" ref="AG32" ca="1">-INDEX('Asset Register'!$D$135:$BA$135,AG$7)*AG$8/12</f>
        <v>-4151.5</v>
      </c>
      <c r="AH32" s="62" cm="1">
        <f t="array" aca="1" ref="AH32" ca="1">-INDEX('Asset Register'!$D$135:$BA$135,AH$7)*AH$8/12</f>
        <v>-4843.416666666667</v>
      </c>
      <c r="AI32" s="62" cm="1">
        <f t="array" aca="1" ref="AI32" ca="1">-INDEX('Asset Register'!$D$135:$BA$135,AI$7)*AI$8/12</f>
        <v>-5535.333333333333</v>
      </c>
      <c r="AJ32" s="62" cm="1">
        <f t="array" aca="1" ref="AJ32" ca="1">-INDEX('Asset Register'!$D$135:$BA$135,AJ$7)*AJ$8/12</f>
        <v>-6227.25</v>
      </c>
      <c r="AK32" s="62" cm="1">
        <f t="array" aca="1" ref="AK32" ca="1">-INDEX('Asset Register'!$D$135:$BA$135,AK$7)*AK$8/12</f>
        <v>-6919.166666666667</v>
      </c>
      <c r="AL32" s="62" cm="1">
        <f t="array" aca="1" ref="AL32" ca="1">-INDEX('Asset Register'!$D$135:$BA$135,AL$7)*AL$8/12</f>
        <v>-7611.083333333333</v>
      </c>
      <c r="AM32" s="62" cm="1">
        <f t="array" aca="1" ref="AM32" ca="1">-INDEX('Asset Register'!$D$135:$BA$135,AM$7)*AM$8/12</f>
        <v>-8303</v>
      </c>
      <c r="AN32" s="62" cm="1">
        <f t="array" aca="1" ref="AN32" ca="1">-INDEX('Asset Register'!$D$135:$BA$135,AN$7)*AN$8/12</f>
        <v>-1338.0510416666668</v>
      </c>
      <c r="AO32" s="62" cm="1">
        <f t="array" aca="1" ref="AO32" ca="1">-INDEX('Asset Register'!$D$135:$BA$135,AO$7)*AO$8/12</f>
        <v>-2676.1020833333337</v>
      </c>
      <c r="AP32" s="62" cm="1">
        <f t="array" aca="1" ref="AP32" ca="1">-INDEX('Asset Register'!$D$135:$BA$135,AP$7)*AP$8/12</f>
        <v>-4014.1531250000003</v>
      </c>
      <c r="AQ32" s="62" cm="1">
        <f t="array" aca="1" ref="AQ32" ca="1">-INDEX('Asset Register'!$D$135:$BA$135,AQ$7)*AQ$8/12</f>
        <v>-5352.2041666666673</v>
      </c>
      <c r="AR32" s="62" cm="1">
        <f t="array" aca="1" ref="AR32" ca="1">-INDEX('Asset Register'!$D$135:$BA$135,AR$7)*AR$8/12</f>
        <v>-6690.255208333333</v>
      </c>
      <c r="AS32" s="62" cm="1">
        <f t="array" aca="1" ref="AS32" ca="1">-INDEX('Asset Register'!$D$135:$BA$135,AS$7)*AS$8/12</f>
        <v>-8028.3062500000005</v>
      </c>
      <c r="AT32" s="62" cm="1">
        <f t="array" aca="1" ref="AT32" ca="1">-INDEX('Asset Register'!$D$135:$BA$135,AT$7)*AT$8/12</f>
        <v>-9366.3572916666672</v>
      </c>
      <c r="AU32" s="62" cm="1">
        <f t="array" aca="1" ref="AU32" ca="1">-INDEX('Asset Register'!$D$135:$BA$135,AU$7)*AU$8/12</f>
        <v>-10704.408333333335</v>
      </c>
      <c r="AV32" s="62" cm="1">
        <f t="array" aca="1" ref="AV32" ca="1">-INDEX('Asset Register'!$D$135:$BA$135,AV$7)*AV$8/12</f>
        <v>-12042.459375</v>
      </c>
      <c r="AW32" s="62" cm="1">
        <f t="array" aca="1" ref="AW32" ca="1">-INDEX('Asset Register'!$D$135:$BA$135,AW$7)*AW$8/12</f>
        <v>-13380.510416666666</v>
      </c>
      <c r="AX32" s="62" cm="1">
        <f t="array" aca="1" ref="AX32" ca="1">-INDEX('Asset Register'!$D$135:$BA$135,AX$7)*AX$8/12</f>
        <v>-14718.561458333335</v>
      </c>
      <c r="AY32" s="62" cm="1">
        <f t="array" aca="1" ref="AY32" ca="1">-INDEX('Asset Register'!$D$135:$BA$135,AY$7)*AY$8/12</f>
        <v>-16056.612500000001</v>
      </c>
      <c r="AZ32" s="62" cm="1">
        <f t="array" aca="1" ref="AZ32" ca="1">-INDEX('Asset Register'!$D$135:$BA$135,AZ$7)*AZ$8/12</f>
        <v>-2221.1013541666666</v>
      </c>
      <c r="BA32" s="62" cm="1">
        <f t="array" aca="1" ref="BA32" ca="1">-INDEX('Asset Register'!$D$135:$BA$135,BA$7)*BA$8/12</f>
        <v>-4442.2027083333332</v>
      </c>
      <c r="BB32" s="62" cm="1">
        <f t="array" aca="1" ref="BB32" ca="1">-INDEX('Asset Register'!$D$135:$BA$135,BB$7)*BB$8/12</f>
        <v>-6663.3040625000003</v>
      </c>
      <c r="BC32" s="62" cm="1">
        <f t="array" aca="1" ref="BC32" ca="1">-INDEX('Asset Register'!$D$135:$BA$135,BC$7)*BC$8/12</f>
        <v>-8884.4054166666665</v>
      </c>
      <c r="BD32" s="62" cm="1">
        <f t="array" aca="1" ref="BD32" ca="1">-INDEX('Asset Register'!$D$135:$BA$135,BD$7)*BD$8/12</f>
        <v>-11105.506770833335</v>
      </c>
      <c r="BE32" s="62" cm="1">
        <f t="array" aca="1" ref="BE32" ca="1">-INDEX('Asset Register'!$D$135:$BA$135,BE$7)*BE$8/12</f>
        <v>-13326.608125000001</v>
      </c>
      <c r="BF32" s="62" cm="1">
        <f t="array" aca="1" ref="BF32" ca="1">-INDEX('Asset Register'!$D$135:$BA$135,BF$7)*BF$8/12</f>
        <v>-15547.709479166668</v>
      </c>
      <c r="BG32" s="62" cm="1">
        <f t="array" aca="1" ref="BG32" ca="1">-INDEX('Asset Register'!$D$135:$BA$135,BG$7)*BG$8/12</f>
        <v>-17768.810833333333</v>
      </c>
      <c r="BH32" s="62" cm="1">
        <f t="array" aca="1" ref="BH32" ca="1">-INDEX('Asset Register'!$D$135:$BA$135,BH$7)*BH$8/12</f>
        <v>-19989.912187500002</v>
      </c>
      <c r="BI32" s="62" cm="1">
        <f t="array" aca="1" ref="BI32" ca="1">-INDEX('Asset Register'!$D$135:$BA$135,BI$7)*BI$8/12</f>
        <v>-22211.013541666671</v>
      </c>
      <c r="BJ32" s="62" cm="1">
        <f t="array" aca="1" ref="BJ32" ca="1">-INDEX('Asset Register'!$D$135:$BA$135,BJ$7)*BJ$8/12</f>
        <v>-24432.114895833336</v>
      </c>
      <c r="BK32" s="62" cm="1">
        <f t="array" aca="1" ref="BK32" ca="1">-INDEX('Asset Register'!$D$135:$BA$135,BK$7)*BK$8/12</f>
        <v>-26653.216250000001</v>
      </c>
    </row>
    <row r="33" spans="1:63" x14ac:dyDescent="0.3">
      <c r="A33" s="3" t="s">
        <v>395</v>
      </c>
      <c r="B33" s="3" t="s">
        <v>48</v>
      </c>
      <c r="D33" s="62">
        <f t="shared" ref="D33:AI33" ca="1" si="10">D31+D32</f>
        <v>159457.50000000003</v>
      </c>
      <c r="E33" s="62">
        <f t="shared" ca="1" si="10"/>
        <v>168915</v>
      </c>
      <c r="F33" s="62">
        <f t="shared" ca="1" si="10"/>
        <v>177956.09375</v>
      </c>
      <c r="G33" s="62">
        <f t="shared" ca="1" si="10"/>
        <v>187413.59375</v>
      </c>
      <c r="H33" s="62">
        <f t="shared" ca="1" si="10"/>
        <v>196871.09374999997</v>
      </c>
      <c r="I33" s="62">
        <f t="shared" ca="1" si="10"/>
        <v>205912.18749999997</v>
      </c>
      <c r="J33" s="62">
        <f t="shared" ca="1" si="10"/>
        <v>215369.68749999997</v>
      </c>
      <c r="K33" s="62">
        <f t="shared" ca="1" si="10"/>
        <v>224827.18749999994</v>
      </c>
      <c r="L33" s="62">
        <f t="shared" ca="1" si="10"/>
        <v>233868.28124999994</v>
      </c>
      <c r="M33" s="62">
        <f t="shared" ca="1" si="10"/>
        <v>243325.78124999994</v>
      </c>
      <c r="N33" s="62">
        <f t="shared" ca="1" si="10"/>
        <v>252783.28124999991</v>
      </c>
      <c r="O33" s="62">
        <f t="shared" ca="1" si="10"/>
        <v>26824.374999999884</v>
      </c>
      <c r="P33" s="62">
        <f t="shared" ca="1" si="10"/>
        <v>44338.361588541557</v>
      </c>
      <c r="Q33" s="62">
        <f t="shared" ca="1" si="10"/>
        <v>61052.348177083222</v>
      </c>
      <c r="R33" s="62">
        <f t="shared" ca="1" si="10"/>
        <v>73703.294055175676</v>
      </c>
      <c r="S33" s="62">
        <f t="shared" ca="1" si="10"/>
        <v>90417.280643717342</v>
      </c>
      <c r="T33" s="62">
        <f t="shared" ca="1" si="10"/>
        <v>107131.26723225902</v>
      </c>
      <c r="U33" s="62">
        <f t="shared" ca="1" si="10"/>
        <v>119782.21311035147</v>
      </c>
      <c r="V33" s="62">
        <f t="shared" ca="1" si="10"/>
        <v>136496.19969889315</v>
      </c>
      <c r="W33" s="62">
        <f t="shared" ca="1" si="10"/>
        <v>153210.1862874348</v>
      </c>
      <c r="X33" s="62">
        <f t="shared" ca="1" si="10"/>
        <v>165861.13216552726</v>
      </c>
      <c r="Y33" s="62">
        <f t="shared" ca="1" si="10"/>
        <v>182575.11875406894</v>
      </c>
      <c r="Z33" s="62">
        <f t="shared" ca="1" si="10"/>
        <v>199289.10534261059</v>
      </c>
      <c r="AA33" s="62">
        <f t="shared" ca="1" si="10"/>
        <v>26129.262158203055</v>
      </c>
      <c r="AB33" s="62">
        <f t="shared" ca="1" si="10"/>
        <v>52102.181777740414</v>
      </c>
      <c r="AC33" s="62">
        <f t="shared" ca="1" si="10"/>
        <v>74815.101397277773</v>
      </c>
      <c r="AD33" s="62">
        <f t="shared" ca="1" si="10"/>
        <v>84696.539716132102</v>
      </c>
      <c r="AE33" s="62">
        <f t="shared" ca="1" si="10"/>
        <v>107409.45933566945</v>
      </c>
      <c r="AF33" s="62">
        <f t="shared" ca="1" si="10"/>
        <v>130122.37895520682</v>
      </c>
      <c r="AG33" s="62">
        <f t="shared" ca="1" si="10"/>
        <v>140003.81727406115</v>
      </c>
      <c r="AH33" s="62">
        <f t="shared" ca="1" si="10"/>
        <v>162716.73689359851</v>
      </c>
      <c r="AI33" s="62">
        <f t="shared" ca="1" si="10"/>
        <v>185429.65651313585</v>
      </c>
      <c r="AJ33" s="62">
        <f t="shared" ref="AJ33:BK33" ca="1" si="11">AJ31+AJ32</f>
        <v>195311.09483199019</v>
      </c>
      <c r="AK33" s="62">
        <f t="shared" ca="1" si="11"/>
        <v>218024.01445152756</v>
      </c>
      <c r="AL33" s="62">
        <f t="shared" ca="1" si="11"/>
        <v>240736.9340710649</v>
      </c>
      <c r="AM33" s="62">
        <f t="shared" ca="1" si="11"/>
        <v>10605.976142970903</v>
      </c>
      <c r="AN33" s="62">
        <f t="shared" ca="1" si="11"/>
        <v>48924.851511847592</v>
      </c>
      <c r="AO33" s="62">
        <f t="shared" ca="1" si="11"/>
        <v>78940.72688072428</v>
      </c>
      <c r="AP33" s="62">
        <f t="shared" ca="1" si="11"/>
        <v>85088.30256289347</v>
      </c>
      <c r="AQ33" s="62">
        <f t="shared" ca="1" si="11"/>
        <v>115104.17793177016</v>
      </c>
      <c r="AR33" s="62">
        <f t="shared" ca="1" si="11"/>
        <v>145120.05330064683</v>
      </c>
      <c r="AS33" s="62">
        <f t="shared" ca="1" si="11"/>
        <v>151267.62898281604</v>
      </c>
      <c r="AT33" s="62">
        <f t="shared" ca="1" si="11"/>
        <v>181283.50435169271</v>
      </c>
      <c r="AU33" s="62">
        <f t="shared" ca="1" si="11"/>
        <v>211299.37972056941</v>
      </c>
      <c r="AV33" s="62">
        <f t="shared" ca="1" si="11"/>
        <v>217446.95540273859</v>
      </c>
      <c r="AW33" s="62">
        <f t="shared" ca="1" si="11"/>
        <v>247462.83077161529</v>
      </c>
      <c r="AX33" s="62">
        <f t="shared" ca="1" si="11"/>
        <v>277478.70614049194</v>
      </c>
      <c r="AY33" s="62">
        <f t="shared" ca="1" si="11"/>
        <v>-14514.878046141892</v>
      </c>
      <c r="AZ33" s="62">
        <f t="shared" ca="1" si="11"/>
        <v>33645.838778740857</v>
      </c>
      <c r="BA33" s="62">
        <f t="shared" ca="1" si="11"/>
        <v>65749.943103623606</v>
      </c>
      <c r="BB33" s="62">
        <f t="shared" ca="1" si="11"/>
        <v>62394.755793076576</v>
      </c>
      <c r="BC33" s="62">
        <f t="shared" ca="1" si="11"/>
        <v>94498.860117959339</v>
      </c>
      <c r="BD33" s="62">
        <f t="shared" ca="1" si="11"/>
        <v>126602.96444284209</v>
      </c>
      <c r="BE33" s="62">
        <f t="shared" ca="1" si="11"/>
        <v>123247.77713229504</v>
      </c>
      <c r="BF33" s="62">
        <f t="shared" ca="1" si="11"/>
        <v>155351.88145717781</v>
      </c>
      <c r="BG33" s="62">
        <f t="shared" ca="1" si="11"/>
        <v>187455.98578206057</v>
      </c>
      <c r="BH33" s="62">
        <f t="shared" ca="1" si="11"/>
        <v>184100.7984715135</v>
      </c>
      <c r="BI33" s="62">
        <f t="shared" ca="1" si="11"/>
        <v>216204.90279639626</v>
      </c>
      <c r="BJ33" s="62">
        <f t="shared" ca="1" si="11"/>
        <v>248309.00712127899</v>
      </c>
      <c r="BK33" s="62">
        <f t="shared" ca="1" si="11"/>
        <v>-23275.537432712448</v>
      </c>
    </row>
    <row r="34" spans="1:63" x14ac:dyDescent="0.3">
      <c r="A34" t="s">
        <v>396</v>
      </c>
      <c r="D34" s="80" t="str">
        <f ca="1">IF(D33&lt;min_cash_buffer,"BREACH","OK")</f>
        <v>OK</v>
      </c>
      <c r="E34" s="80" t="str">
        <f ca="1">IF(E33&lt;min_cash_buffer,"BREACH","OK")</f>
        <v>OK</v>
      </c>
      <c r="F34" s="80" t="str">
        <f ca="1">IF(F33&lt;min_cash_buffer,"BREACH","OK")</f>
        <v>OK</v>
      </c>
      <c r="G34" s="80" t="str">
        <f ca="1">IF(G33&lt;min_cash_buffer,"BREACH","OK")</f>
        <v>OK</v>
      </c>
      <c r="H34" s="80" t="str">
        <f ca="1">IF(H33&lt;min_cash_buffer,"BREACH","OK")</f>
        <v>OK</v>
      </c>
      <c r="I34" s="80" t="str">
        <f ca="1">IF(I33&lt;min_cash_buffer,"BREACH","OK")</f>
        <v>OK</v>
      </c>
      <c r="J34" s="80" t="str">
        <f ca="1">IF(J33&lt;min_cash_buffer,"BREACH","OK")</f>
        <v>OK</v>
      </c>
      <c r="K34" s="80" t="str">
        <f ca="1">IF(K33&lt;min_cash_buffer,"BREACH","OK")</f>
        <v>OK</v>
      </c>
      <c r="L34" s="80" t="str">
        <f ca="1">IF(L33&lt;min_cash_buffer,"BREACH","OK")</f>
        <v>OK</v>
      </c>
      <c r="M34" s="80" t="str">
        <f ca="1">IF(M33&lt;min_cash_buffer,"BREACH","OK")</f>
        <v>OK</v>
      </c>
      <c r="N34" s="80" t="str">
        <f ca="1">IF(N33&lt;min_cash_buffer,"BREACH","OK")</f>
        <v>OK</v>
      </c>
      <c r="O34" s="80" t="str">
        <f ca="1">IF(O33&lt;min_cash_buffer,"BREACH","OK")</f>
        <v>OK</v>
      </c>
      <c r="P34" s="80" t="str">
        <f ca="1">IF(P33&lt;min_cash_buffer,"BREACH","OK")</f>
        <v>OK</v>
      </c>
      <c r="Q34" s="80" t="str">
        <f ca="1">IF(Q33&lt;min_cash_buffer,"BREACH","OK")</f>
        <v>OK</v>
      </c>
      <c r="R34" s="80" t="str">
        <f ca="1">IF(R33&lt;min_cash_buffer,"BREACH","OK")</f>
        <v>OK</v>
      </c>
      <c r="S34" s="80" t="str">
        <f ca="1">IF(S33&lt;min_cash_buffer,"BREACH","OK")</f>
        <v>OK</v>
      </c>
      <c r="T34" s="80" t="str">
        <f ca="1">IF(T33&lt;min_cash_buffer,"BREACH","OK")</f>
        <v>OK</v>
      </c>
      <c r="U34" s="80" t="str">
        <f ca="1">IF(U33&lt;min_cash_buffer,"BREACH","OK")</f>
        <v>OK</v>
      </c>
      <c r="V34" s="80" t="str">
        <f ca="1">IF(V33&lt;min_cash_buffer,"BREACH","OK")</f>
        <v>OK</v>
      </c>
      <c r="W34" s="80" t="str">
        <f ca="1">IF(W33&lt;min_cash_buffer,"BREACH","OK")</f>
        <v>OK</v>
      </c>
      <c r="X34" s="80" t="str">
        <f ca="1">IF(X33&lt;min_cash_buffer,"BREACH","OK")</f>
        <v>OK</v>
      </c>
      <c r="Y34" s="80" t="str">
        <f ca="1">IF(Y33&lt;min_cash_buffer,"BREACH","OK")</f>
        <v>OK</v>
      </c>
      <c r="Z34" s="80" t="str">
        <f ca="1">IF(Z33&lt;min_cash_buffer,"BREACH","OK")</f>
        <v>OK</v>
      </c>
      <c r="AA34" s="80" t="str">
        <f ca="1">IF(AA33&lt;min_cash_buffer,"BREACH","OK")</f>
        <v>OK</v>
      </c>
      <c r="AB34" s="80" t="str">
        <f ca="1">IF(AB33&lt;min_cash_buffer,"BREACH","OK")</f>
        <v>OK</v>
      </c>
      <c r="AC34" s="80" t="str">
        <f ca="1">IF(AC33&lt;min_cash_buffer,"BREACH","OK")</f>
        <v>OK</v>
      </c>
      <c r="AD34" s="80" t="str">
        <f ca="1">IF(AD33&lt;min_cash_buffer,"BREACH","OK")</f>
        <v>OK</v>
      </c>
      <c r="AE34" s="80" t="str">
        <f ca="1">IF(AE33&lt;min_cash_buffer,"BREACH","OK")</f>
        <v>OK</v>
      </c>
      <c r="AF34" s="80" t="str">
        <f ca="1">IF(AF33&lt;min_cash_buffer,"BREACH","OK")</f>
        <v>OK</v>
      </c>
      <c r="AG34" s="80" t="str">
        <f ca="1">IF(AG33&lt;min_cash_buffer,"BREACH","OK")</f>
        <v>OK</v>
      </c>
      <c r="AH34" s="80" t="str">
        <f ca="1">IF(AH33&lt;min_cash_buffer,"BREACH","OK")</f>
        <v>OK</v>
      </c>
      <c r="AI34" s="80" t="str">
        <f ca="1">IF(AI33&lt;min_cash_buffer,"BREACH","OK")</f>
        <v>OK</v>
      </c>
      <c r="AJ34" s="80" t="str">
        <f ca="1">IF(AJ33&lt;min_cash_buffer,"BREACH","OK")</f>
        <v>OK</v>
      </c>
      <c r="AK34" s="80" t="str">
        <f ca="1">IF(AK33&lt;min_cash_buffer,"BREACH","OK")</f>
        <v>OK</v>
      </c>
      <c r="AL34" s="80" t="str">
        <f ca="1">IF(AL33&lt;min_cash_buffer,"BREACH","OK")</f>
        <v>OK</v>
      </c>
      <c r="AM34" s="80" t="str">
        <f ca="1">IF(AM33&lt;min_cash_buffer,"BREACH","OK")</f>
        <v>BREACH</v>
      </c>
      <c r="AN34" s="80" t="str">
        <f ca="1">IF(AN33&lt;min_cash_buffer,"BREACH","OK")</f>
        <v>OK</v>
      </c>
      <c r="AO34" s="80" t="str">
        <f ca="1">IF(AO33&lt;min_cash_buffer,"BREACH","OK")</f>
        <v>OK</v>
      </c>
      <c r="AP34" s="80" t="str">
        <f ca="1">IF(AP33&lt;min_cash_buffer,"BREACH","OK")</f>
        <v>OK</v>
      </c>
      <c r="AQ34" s="80" t="str">
        <f ca="1">IF(AQ33&lt;min_cash_buffer,"BREACH","OK")</f>
        <v>OK</v>
      </c>
      <c r="AR34" s="80" t="str">
        <f ca="1">IF(AR33&lt;min_cash_buffer,"BREACH","OK")</f>
        <v>OK</v>
      </c>
      <c r="AS34" s="80" t="str">
        <f ca="1">IF(AS33&lt;min_cash_buffer,"BREACH","OK")</f>
        <v>OK</v>
      </c>
      <c r="AT34" s="80" t="str">
        <f ca="1">IF(AT33&lt;min_cash_buffer,"BREACH","OK")</f>
        <v>OK</v>
      </c>
      <c r="AU34" s="80" t="str">
        <f ca="1">IF(AU33&lt;min_cash_buffer,"BREACH","OK")</f>
        <v>OK</v>
      </c>
      <c r="AV34" s="80" t="str">
        <f ca="1">IF(AV33&lt;min_cash_buffer,"BREACH","OK")</f>
        <v>OK</v>
      </c>
      <c r="AW34" s="80" t="str">
        <f ca="1">IF(AW33&lt;min_cash_buffer,"BREACH","OK")</f>
        <v>OK</v>
      </c>
      <c r="AX34" s="80" t="str">
        <f ca="1">IF(AX33&lt;min_cash_buffer,"BREACH","OK")</f>
        <v>OK</v>
      </c>
      <c r="AY34" s="80" t="str">
        <f ca="1">IF(AY33&lt;min_cash_buffer,"BREACH","OK")</f>
        <v>BREACH</v>
      </c>
      <c r="AZ34" s="80" t="str">
        <f ca="1">IF(AZ33&lt;min_cash_buffer,"BREACH","OK")</f>
        <v>OK</v>
      </c>
      <c r="BA34" s="80" t="str">
        <f ca="1">IF(BA33&lt;min_cash_buffer,"BREACH","OK")</f>
        <v>OK</v>
      </c>
      <c r="BB34" s="80" t="str">
        <f ca="1">IF(BB33&lt;min_cash_buffer,"BREACH","OK")</f>
        <v>OK</v>
      </c>
      <c r="BC34" s="80" t="str">
        <f ca="1">IF(BC33&lt;min_cash_buffer,"BREACH","OK")</f>
        <v>OK</v>
      </c>
      <c r="BD34" s="80" t="str">
        <f ca="1">IF(BD33&lt;min_cash_buffer,"BREACH","OK")</f>
        <v>OK</v>
      </c>
      <c r="BE34" s="80" t="str">
        <f ca="1">IF(BE33&lt;min_cash_buffer,"BREACH","OK")</f>
        <v>OK</v>
      </c>
      <c r="BF34" s="80" t="str">
        <f ca="1">IF(BF33&lt;min_cash_buffer,"BREACH","OK")</f>
        <v>OK</v>
      </c>
      <c r="BG34" s="80" t="str">
        <f ca="1">IF(BG33&lt;min_cash_buffer,"BREACH","OK")</f>
        <v>OK</v>
      </c>
      <c r="BH34" s="80" t="str">
        <f ca="1">IF(BH33&lt;min_cash_buffer,"BREACH","OK")</f>
        <v>OK</v>
      </c>
      <c r="BI34" s="80" t="str">
        <f ca="1">IF(BI33&lt;min_cash_buffer,"BREACH","OK")</f>
        <v>OK</v>
      </c>
      <c r="BJ34" s="80" t="str">
        <f ca="1">IF(BJ33&lt;min_cash_buffer,"BREACH","OK")</f>
        <v>OK</v>
      </c>
      <c r="BK34" s="80" t="str">
        <f ca="1">IF(BK33&lt;min_cash_buffer,"BREACH","OK")</f>
        <v>BREACH</v>
      </c>
    </row>
    <row r="36" spans="1:63" x14ac:dyDescent="0.3">
      <c r="A36" s="3" t="s">
        <v>397</v>
      </c>
      <c r="B36" s="3" t="s">
        <v>48</v>
      </c>
      <c r="D36" s="62" t="str" cm="1">
        <f t="array" ref="D36">IF(D$8=12,ROUND(SUMIF($D$7:$BK$7,D$7,$D$29:$BK$29)-INDEX('Financial Statements'!$D$61:$BA$61,D$7),2),"")</f>
        <v/>
      </c>
      <c r="E36" s="62" t="str" cm="1">
        <f t="array" ref="E36">IF(E$8=12,ROUND(SUMIF($D$7:$BK$7,E$7,$D$29:$BK$29)-INDEX('Financial Statements'!$D$61:$BA$61,E$7),2),"")</f>
        <v/>
      </c>
      <c r="F36" s="62" t="str" cm="1">
        <f t="array" ref="F36">IF(F$8=12,ROUND(SUMIF($D$7:$BK$7,F$7,$D$29:$BK$29)-INDEX('Financial Statements'!$D$61:$BA$61,F$7),2),"")</f>
        <v/>
      </c>
      <c r="G36" s="62" t="str" cm="1">
        <f t="array" ref="G36">IF(G$8=12,ROUND(SUMIF($D$7:$BK$7,G$7,$D$29:$BK$29)-INDEX('Financial Statements'!$D$61:$BA$61,G$7),2),"")</f>
        <v/>
      </c>
      <c r="H36" s="62" t="str" cm="1">
        <f t="array" ref="H36">IF(H$8=12,ROUND(SUMIF($D$7:$BK$7,H$7,$D$29:$BK$29)-INDEX('Financial Statements'!$D$61:$BA$61,H$7),2),"")</f>
        <v/>
      </c>
      <c r="I36" s="62" t="str" cm="1">
        <f t="array" ref="I36">IF(I$8=12,ROUND(SUMIF($D$7:$BK$7,I$7,$D$29:$BK$29)-INDEX('Financial Statements'!$D$61:$BA$61,I$7),2),"")</f>
        <v/>
      </c>
      <c r="J36" s="62" t="str" cm="1">
        <f t="array" ref="J36">IF(J$8=12,ROUND(SUMIF($D$7:$BK$7,J$7,$D$29:$BK$29)-INDEX('Financial Statements'!$D$61:$BA$61,J$7),2),"")</f>
        <v/>
      </c>
      <c r="K36" s="62" t="str" cm="1">
        <f t="array" ref="K36">IF(K$8=12,ROUND(SUMIF($D$7:$BK$7,K$7,$D$29:$BK$29)-INDEX('Financial Statements'!$D$61:$BA$61,K$7),2),"")</f>
        <v/>
      </c>
      <c r="L36" s="62" t="str" cm="1">
        <f t="array" ref="L36">IF(L$8=12,ROUND(SUMIF($D$7:$BK$7,L$7,$D$29:$BK$29)-INDEX('Financial Statements'!$D$61:$BA$61,L$7),2),"")</f>
        <v/>
      </c>
      <c r="M36" s="62" t="str" cm="1">
        <f t="array" ref="M36">IF(M$8=12,ROUND(SUMIF($D$7:$BK$7,M$7,$D$29:$BK$29)-INDEX('Financial Statements'!$D$61:$BA$61,M$7),2),"")</f>
        <v/>
      </c>
      <c r="N36" s="62" t="str" cm="1">
        <f t="array" ref="N36">IF(N$8=12,ROUND(SUMIF($D$7:$BK$7,N$7,$D$29:$BK$29)-INDEX('Financial Statements'!$D$61:$BA$61,N$7),2),"")</f>
        <v/>
      </c>
      <c r="O36" s="62" cm="1">
        <f t="array" aca="1" ref="O36" ca="1">IF(O$8=12,ROUND(SUMIF($D$7:$BK$7,O$7,$D$29:$BK$29)-INDEX('Financial Statements'!$D$61:$BA$61,O$7),2),"")</f>
        <v>0</v>
      </c>
      <c r="P36" s="62" t="str" cm="1">
        <f t="array" ref="P36">IF(P$8=12,ROUND(SUMIF($D$7:$BK$7,P$7,$D$29:$BK$29)-INDEX('Financial Statements'!$D$61:$BA$61,P$7),2),"")</f>
        <v/>
      </c>
      <c r="Q36" s="62" t="str" cm="1">
        <f t="array" ref="Q36">IF(Q$8=12,ROUND(SUMIF($D$7:$BK$7,Q$7,$D$29:$BK$29)-INDEX('Financial Statements'!$D$61:$BA$61,Q$7),2),"")</f>
        <v/>
      </c>
      <c r="R36" s="62" t="str" cm="1">
        <f t="array" ref="R36">IF(R$8=12,ROUND(SUMIF($D$7:$BK$7,R$7,$D$29:$BK$29)-INDEX('Financial Statements'!$D$61:$BA$61,R$7),2),"")</f>
        <v/>
      </c>
      <c r="S36" s="62" t="str" cm="1">
        <f t="array" ref="S36">IF(S$8=12,ROUND(SUMIF($D$7:$BK$7,S$7,$D$29:$BK$29)-INDEX('Financial Statements'!$D$61:$BA$61,S$7),2),"")</f>
        <v/>
      </c>
      <c r="T36" s="62" t="str" cm="1">
        <f t="array" ref="T36">IF(T$8=12,ROUND(SUMIF($D$7:$BK$7,T$7,$D$29:$BK$29)-INDEX('Financial Statements'!$D$61:$BA$61,T$7),2),"")</f>
        <v/>
      </c>
      <c r="U36" s="62" t="str" cm="1">
        <f t="array" ref="U36">IF(U$8=12,ROUND(SUMIF($D$7:$BK$7,U$7,$D$29:$BK$29)-INDEX('Financial Statements'!$D$61:$BA$61,U$7),2),"")</f>
        <v/>
      </c>
      <c r="V36" s="62" t="str" cm="1">
        <f t="array" ref="V36">IF(V$8=12,ROUND(SUMIF($D$7:$BK$7,V$7,$D$29:$BK$29)-INDEX('Financial Statements'!$D$61:$BA$61,V$7),2),"")</f>
        <v/>
      </c>
      <c r="W36" s="62" t="str" cm="1">
        <f t="array" ref="W36">IF(W$8=12,ROUND(SUMIF($D$7:$BK$7,W$7,$D$29:$BK$29)-INDEX('Financial Statements'!$D$61:$BA$61,W$7),2),"")</f>
        <v/>
      </c>
      <c r="X36" s="62" t="str" cm="1">
        <f t="array" ref="X36">IF(X$8=12,ROUND(SUMIF($D$7:$BK$7,X$7,$D$29:$BK$29)-INDEX('Financial Statements'!$D$61:$BA$61,X$7),2),"")</f>
        <v/>
      </c>
      <c r="Y36" s="62" t="str" cm="1">
        <f t="array" ref="Y36">IF(Y$8=12,ROUND(SUMIF($D$7:$BK$7,Y$7,$D$29:$BK$29)-INDEX('Financial Statements'!$D$61:$BA$61,Y$7),2),"")</f>
        <v/>
      </c>
      <c r="Z36" s="62" t="str" cm="1">
        <f t="array" ref="Z36">IF(Z$8=12,ROUND(SUMIF($D$7:$BK$7,Z$7,$D$29:$BK$29)-INDEX('Financial Statements'!$D$61:$BA$61,Z$7),2),"")</f>
        <v/>
      </c>
      <c r="AA36" s="62" cm="1">
        <f t="array" aca="1" ref="AA36" ca="1">IF(AA$8=12,ROUND(SUMIF($D$7:$BK$7,AA$7,$D$29:$BK$29)-INDEX('Financial Statements'!$D$61:$BA$61,AA$7),2),"")</f>
        <v>0</v>
      </c>
      <c r="AB36" s="62" t="str" cm="1">
        <f t="array" ref="AB36">IF(AB$8=12,ROUND(SUMIF($D$7:$BK$7,AB$7,$D$29:$BK$29)-INDEX('Financial Statements'!$D$61:$BA$61,AB$7),2),"")</f>
        <v/>
      </c>
      <c r="AC36" s="62" t="str" cm="1">
        <f t="array" ref="AC36">IF(AC$8=12,ROUND(SUMIF($D$7:$BK$7,AC$7,$D$29:$BK$29)-INDEX('Financial Statements'!$D$61:$BA$61,AC$7),2),"")</f>
        <v/>
      </c>
      <c r="AD36" s="62" t="str" cm="1">
        <f t="array" ref="AD36">IF(AD$8=12,ROUND(SUMIF($D$7:$BK$7,AD$7,$D$29:$BK$29)-INDEX('Financial Statements'!$D$61:$BA$61,AD$7),2),"")</f>
        <v/>
      </c>
      <c r="AE36" s="62" t="str" cm="1">
        <f t="array" ref="AE36">IF(AE$8=12,ROUND(SUMIF($D$7:$BK$7,AE$7,$D$29:$BK$29)-INDEX('Financial Statements'!$D$61:$BA$61,AE$7),2),"")</f>
        <v/>
      </c>
      <c r="AF36" s="62" t="str" cm="1">
        <f t="array" ref="AF36">IF(AF$8=12,ROUND(SUMIF($D$7:$BK$7,AF$7,$D$29:$BK$29)-INDEX('Financial Statements'!$D$61:$BA$61,AF$7),2),"")</f>
        <v/>
      </c>
      <c r="AG36" s="62" t="str" cm="1">
        <f t="array" ref="AG36">IF(AG$8=12,ROUND(SUMIF($D$7:$BK$7,AG$7,$D$29:$BK$29)-INDEX('Financial Statements'!$D$61:$BA$61,AG$7),2),"")</f>
        <v/>
      </c>
      <c r="AH36" s="62" t="str" cm="1">
        <f t="array" ref="AH36">IF(AH$8=12,ROUND(SUMIF($D$7:$BK$7,AH$7,$D$29:$BK$29)-INDEX('Financial Statements'!$D$61:$BA$61,AH$7),2),"")</f>
        <v/>
      </c>
      <c r="AI36" s="62" t="str" cm="1">
        <f t="array" ref="AI36">IF(AI$8=12,ROUND(SUMIF($D$7:$BK$7,AI$7,$D$29:$BK$29)-INDEX('Financial Statements'!$D$61:$BA$61,AI$7),2),"")</f>
        <v/>
      </c>
      <c r="AJ36" s="62" t="str" cm="1">
        <f t="array" ref="AJ36">IF(AJ$8=12,ROUND(SUMIF($D$7:$BK$7,AJ$7,$D$29:$BK$29)-INDEX('Financial Statements'!$D$61:$BA$61,AJ$7),2),"")</f>
        <v/>
      </c>
      <c r="AK36" s="62" t="str" cm="1">
        <f t="array" ref="AK36">IF(AK$8=12,ROUND(SUMIF($D$7:$BK$7,AK$7,$D$29:$BK$29)-INDEX('Financial Statements'!$D$61:$BA$61,AK$7),2),"")</f>
        <v/>
      </c>
      <c r="AL36" s="62" t="str" cm="1">
        <f t="array" ref="AL36">IF(AL$8=12,ROUND(SUMIF($D$7:$BK$7,AL$7,$D$29:$BK$29)-INDEX('Financial Statements'!$D$61:$BA$61,AL$7),2),"")</f>
        <v/>
      </c>
      <c r="AM36" s="62" cm="1">
        <f t="array" aca="1" ref="AM36" ca="1">IF(AM$8=12,ROUND(SUMIF($D$7:$BK$7,AM$7,$D$29:$BK$29)-INDEX('Financial Statements'!$D$61:$BA$61,AM$7),2),"")</f>
        <v>0</v>
      </c>
      <c r="AN36" s="62" t="str" cm="1">
        <f t="array" ref="AN36">IF(AN$8=12,ROUND(SUMIF($D$7:$BK$7,AN$7,$D$29:$BK$29)-INDEX('Financial Statements'!$D$61:$BA$61,AN$7),2),"")</f>
        <v/>
      </c>
      <c r="AO36" s="62" t="str" cm="1">
        <f t="array" ref="AO36">IF(AO$8=12,ROUND(SUMIF($D$7:$BK$7,AO$7,$D$29:$BK$29)-INDEX('Financial Statements'!$D$61:$BA$61,AO$7),2),"")</f>
        <v/>
      </c>
      <c r="AP36" s="62" t="str" cm="1">
        <f t="array" ref="AP36">IF(AP$8=12,ROUND(SUMIF($D$7:$BK$7,AP$7,$D$29:$BK$29)-INDEX('Financial Statements'!$D$61:$BA$61,AP$7),2),"")</f>
        <v/>
      </c>
      <c r="AQ36" s="62" t="str" cm="1">
        <f t="array" ref="AQ36">IF(AQ$8=12,ROUND(SUMIF($D$7:$BK$7,AQ$7,$D$29:$BK$29)-INDEX('Financial Statements'!$D$61:$BA$61,AQ$7),2),"")</f>
        <v/>
      </c>
      <c r="AR36" s="62" t="str" cm="1">
        <f t="array" ref="AR36">IF(AR$8=12,ROUND(SUMIF($D$7:$BK$7,AR$7,$D$29:$BK$29)-INDEX('Financial Statements'!$D$61:$BA$61,AR$7),2),"")</f>
        <v/>
      </c>
      <c r="AS36" s="62" t="str" cm="1">
        <f t="array" ref="AS36">IF(AS$8=12,ROUND(SUMIF($D$7:$BK$7,AS$7,$D$29:$BK$29)-INDEX('Financial Statements'!$D$61:$BA$61,AS$7),2),"")</f>
        <v/>
      </c>
      <c r="AT36" s="62" t="str" cm="1">
        <f t="array" ref="AT36">IF(AT$8=12,ROUND(SUMIF($D$7:$BK$7,AT$7,$D$29:$BK$29)-INDEX('Financial Statements'!$D$61:$BA$61,AT$7),2),"")</f>
        <v/>
      </c>
      <c r="AU36" s="62" t="str" cm="1">
        <f t="array" ref="AU36">IF(AU$8=12,ROUND(SUMIF($D$7:$BK$7,AU$7,$D$29:$BK$29)-INDEX('Financial Statements'!$D$61:$BA$61,AU$7),2),"")</f>
        <v/>
      </c>
      <c r="AV36" s="62" t="str" cm="1">
        <f t="array" ref="AV36">IF(AV$8=12,ROUND(SUMIF($D$7:$BK$7,AV$7,$D$29:$BK$29)-INDEX('Financial Statements'!$D$61:$BA$61,AV$7),2),"")</f>
        <v/>
      </c>
      <c r="AW36" s="62" t="str" cm="1">
        <f t="array" ref="AW36">IF(AW$8=12,ROUND(SUMIF($D$7:$BK$7,AW$7,$D$29:$BK$29)-INDEX('Financial Statements'!$D$61:$BA$61,AW$7),2),"")</f>
        <v/>
      </c>
      <c r="AX36" s="62" t="str" cm="1">
        <f t="array" ref="AX36">IF(AX$8=12,ROUND(SUMIF($D$7:$BK$7,AX$7,$D$29:$BK$29)-INDEX('Financial Statements'!$D$61:$BA$61,AX$7),2),"")</f>
        <v/>
      </c>
      <c r="AY36" s="62" cm="1">
        <f t="array" aca="1" ref="AY36" ca="1">IF(AY$8=12,ROUND(SUMIF($D$7:$BK$7,AY$7,$D$29:$BK$29)-INDEX('Financial Statements'!$D$61:$BA$61,AY$7),2),"")</f>
        <v>0</v>
      </c>
      <c r="AZ36" s="62" t="str" cm="1">
        <f t="array" ref="AZ36">IF(AZ$8=12,ROUND(SUMIF($D$7:$BK$7,AZ$7,$D$29:$BK$29)-INDEX('Financial Statements'!$D$61:$BA$61,AZ$7),2),"")</f>
        <v/>
      </c>
      <c r="BA36" s="62" t="str" cm="1">
        <f t="array" ref="BA36">IF(BA$8=12,ROUND(SUMIF($D$7:$BK$7,BA$7,$D$29:$BK$29)-INDEX('Financial Statements'!$D$61:$BA$61,BA$7),2),"")</f>
        <v/>
      </c>
      <c r="BB36" s="62" t="str" cm="1">
        <f t="array" ref="BB36">IF(BB$8=12,ROUND(SUMIF($D$7:$BK$7,BB$7,$D$29:$BK$29)-INDEX('Financial Statements'!$D$61:$BA$61,BB$7),2),"")</f>
        <v/>
      </c>
      <c r="BC36" s="62" t="str" cm="1">
        <f t="array" ref="BC36">IF(BC$8=12,ROUND(SUMIF($D$7:$BK$7,BC$7,$D$29:$BK$29)-INDEX('Financial Statements'!$D$61:$BA$61,BC$7),2),"")</f>
        <v/>
      </c>
      <c r="BD36" s="62" t="str" cm="1">
        <f t="array" ref="BD36">IF(BD$8=12,ROUND(SUMIF($D$7:$BK$7,BD$7,$D$29:$BK$29)-INDEX('Financial Statements'!$D$61:$BA$61,BD$7),2),"")</f>
        <v/>
      </c>
      <c r="BE36" s="62" t="str" cm="1">
        <f t="array" ref="BE36">IF(BE$8=12,ROUND(SUMIF($D$7:$BK$7,BE$7,$D$29:$BK$29)-INDEX('Financial Statements'!$D$61:$BA$61,BE$7),2),"")</f>
        <v/>
      </c>
      <c r="BF36" s="62" t="str" cm="1">
        <f t="array" ref="BF36">IF(BF$8=12,ROUND(SUMIF($D$7:$BK$7,BF$7,$D$29:$BK$29)-INDEX('Financial Statements'!$D$61:$BA$61,BF$7),2),"")</f>
        <v/>
      </c>
      <c r="BG36" s="62" t="str" cm="1">
        <f t="array" ref="BG36">IF(BG$8=12,ROUND(SUMIF($D$7:$BK$7,BG$7,$D$29:$BK$29)-INDEX('Financial Statements'!$D$61:$BA$61,BG$7),2),"")</f>
        <v/>
      </c>
      <c r="BH36" s="62" t="str" cm="1">
        <f t="array" ref="BH36">IF(BH$8=12,ROUND(SUMIF($D$7:$BK$7,BH$7,$D$29:$BK$29)-INDEX('Financial Statements'!$D$61:$BA$61,BH$7),2),"")</f>
        <v/>
      </c>
      <c r="BI36" s="62" t="str" cm="1">
        <f t="array" ref="BI36">IF(BI$8=12,ROUND(SUMIF($D$7:$BK$7,BI$7,$D$29:$BK$29)-INDEX('Financial Statements'!$D$61:$BA$61,BI$7),2),"")</f>
        <v/>
      </c>
      <c r="BJ36" s="62" t="str" cm="1">
        <f t="array" ref="BJ36">IF(BJ$8=12,ROUND(SUMIF($D$7:$BK$7,BJ$7,$D$29:$BK$29)-INDEX('Financial Statements'!$D$61:$BA$61,BJ$7),2),"")</f>
        <v/>
      </c>
      <c r="BK36" s="62" cm="1">
        <f t="array" aca="1" ref="BK36" ca="1">IF(BK$8=12,ROUND(SUMIF($D$7:$BK$7,BK$7,$D$29:$BK$29)-INDEX('Financial Statements'!$D$61:$BA$61,BK$7),2),"")</f>
        <v>0</v>
      </c>
    </row>
  </sheetData>
  <conditionalFormatting sqref="D34:BK34">
    <cfRule type="containsText" dxfId="0" priority="1" operator="containsText" text="BREACH">
      <formula>NOT(ISERROR(SEARCH("BREACH",D34)))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73</vt:i4>
      </vt:variant>
    </vt:vector>
  </HeadingPairs>
  <TitlesOfParts>
    <vt:vector size="83" baseType="lpstr">
      <vt:lpstr>Control &amp; Parameters</vt:lpstr>
      <vt:lpstr>Sheet2</vt:lpstr>
      <vt:lpstr>Scenarios</vt:lpstr>
      <vt:lpstr>Macro &amp; Indexation</vt:lpstr>
      <vt:lpstr>Growth Engine</vt:lpstr>
      <vt:lpstr>Capital &amp; Debt</vt:lpstr>
      <vt:lpstr>Asset Register</vt:lpstr>
      <vt:lpstr>Financial Statements</vt:lpstr>
      <vt:lpstr>Dashboard</vt:lpstr>
      <vt:lpstr>Monthly Cash Flow</vt:lpstr>
      <vt:lpstr>acct_early</vt:lpstr>
      <vt:lpstr>acct_target</vt:lpstr>
      <vt:lpstr>acq_month</vt:lpstr>
      <vt:lpstr>acq_year1</vt:lpstr>
      <vt:lpstr>acq_year2</vt:lpstr>
      <vt:lpstr>acq_year3</vt:lpstr>
      <vt:lpstr>admin_per_prop</vt:lpstr>
      <vt:lpstr>avg_price</vt:lpstr>
      <vt:lpstr>base_calendar_year</vt:lpstr>
      <vt:lpstr>beq_baseline</vt:lpstr>
      <vt:lpstr>beq_growth_mult</vt:lpstr>
      <vt:lpstr>board_early</vt:lpstr>
      <vt:lpstr>board_target</vt:lpstr>
      <vt:lpstr>constrain_growth</vt:lpstr>
      <vt:lpstr>conveyancing</vt:lpstr>
      <vt:lpstr>cpi_general</vt:lpstr>
      <vt:lpstr>cs_baseline_issue</vt:lpstr>
      <vt:lpstr>cs_dividend_rate</vt:lpstr>
      <vt:lpstr>cs_issue_cost_pct</vt:lpstr>
      <vt:lpstr>cs_max_pct_capital</vt:lpstr>
      <vt:lpstr>cs_takeup_mult</vt:lpstr>
      <vt:lpstr>cs_withdrawal_rate</vt:lpstr>
      <vt:lpstr>cs_withdrawal_years</vt:lpstr>
      <vt:lpstr>ct_exempt_toggle</vt:lpstr>
      <vt:lpstr>ct_rate</vt:lpstr>
      <vt:lpstr>debt_pay_freq</vt:lpstr>
      <vt:lpstr>div_month</vt:lpstr>
      <vt:lpstr>fca_early</vt:lpstr>
      <vt:lpstr>fca_target</vt:lpstr>
      <vt:lpstr>founding_capital</vt:lpstr>
      <vt:lpstr>gift_aid_rate</vt:lpstr>
      <vt:lpstr>gift_aid_toggle</vt:lpstr>
      <vt:lpstr>gift_baseline</vt:lpstr>
      <vt:lpstr>gross_yield</vt:lpstr>
      <vt:lpstr>hpi_premium</vt:lpstr>
      <vt:lpstr>hpi_shock_pct</vt:lpstr>
      <vt:lpstr>hpi_shock_year</vt:lpstr>
      <vt:lpstr>ins_early</vt:lpstr>
      <vt:lpstr>ins_target</vt:lpstr>
      <vt:lpstr>lc_share</vt:lpstr>
      <vt:lpstr>logistic_ceiling</vt:lpstr>
      <vt:lpstr>logistic_dbl_yrs</vt:lpstr>
      <vt:lpstr>logistic_floor</vt:lpstr>
      <vt:lpstr>logistic_start_yr</vt:lpstr>
      <vt:lpstr>maint_per_prop</vt:lpstr>
      <vt:lpstr>min_cash_buffer</vt:lpstr>
      <vt:lpstr>pf_coupon_spread</vt:lpstr>
      <vt:lpstr>pf_fund_op_margin</vt:lpstr>
      <vt:lpstr>pf_fund_reg_charge</vt:lpstr>
      <vt:lpstr>pf_index_label</vt:lpstr>
      <vt:lpstr>pf_invest_phase_yrs</vt:lpstr>
      <vt:lpstr>pf_investor_rate</vt:lpstr>
      <vt:lpstr>pf_ltv_limit</vt:lpstr>
      <vt:lpstr>pf_max_raise</vt:lpstr>
      <vt:lpstr>pf_refi_amort_yrs</vt:lpstr>
      <vt:lpstr>pf_refi_rate</vt:lpstr>
      <vt:lpstr>pf_refi_toggle</vt:lpstr>
      <vt:lpstr>pf_refi_year</vt:lpstr>
      <vt:lpstr>pf_release_rate</vt:lpstr>
      <vt:lpstr>pf_release_start_yr</vt:lpstr>
      <vt:lpstr>rent_inflation</vt:lpstr>
      <vt:lpstr>rent_shock_rate</vt:lpstr>
      <vt:lpstr>rent_shock_years</vt:lpstr>
      <vt:lpstr>reserve_build_year</vt:lpstr>
      <vt:lpstr>reserve_min_months</vt:lpstr>
      <vt:lpstr>reserve_tgt_months</vt:lpstr>
      <vt:lpstr>retrofit_cost</vt:lpstr>
      <vt:lpstr>scenario_id</vt:lpstr>
      <vt:lpstr>sdlt_rate</vt:lpstr>
      <vt:lpstr>sinking_per_prop</vt:lpstr>
      <vt:lpstr>sinking_return</vt:lpstr>
      <vt:lpstr>survey_cost</vt:lpstr>
      <vt:lpstr>void_rate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Chikara Shimasaki</dc:creator>
  <cp:lastModifiedBy>Chikara Shimasaki</cp:lastModifiedBy>
  <dcterms:created xsi:type="dcterms:W3CDTF">2026-07-24T21:31:41Z</dcterms:created>
  <dcterms:modified xsi:type="dcterms:W3CDTF">2026-07-27T08:54:24Z</dcterms:modified>
</cp:coreProperties>
</file>